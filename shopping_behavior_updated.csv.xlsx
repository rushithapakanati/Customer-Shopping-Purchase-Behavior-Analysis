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Innomatics\Power_BI\"/>
    </mc:Choice>
  </mc:AlternateContent>
  <xr:revisionPtr revIDLastSave="0" documentId="13_ncr:1_{FABB2904-70FD-4D94-99B7-57935EEFFC98}" xr6:coauthVersionLast="47" xr6:coauthVersionMax="47" xr10:uidLastSave="{00000000-0000-0000-0000-000000000000}"/>
  <bookViews>
    <workbookView xWindow="4460" yWindow="2810" windowWidth="14400" windowHeight="7270" firstSheet="1" activeTab="3" xr2:uid="{A09D890D-0EAF-4580-A3E1-4DEC63EE52A5}"/>
  </bookViews>
  <sheets>
    <sheet name="Pivot  Tables" sheetId="3" r:id="rId1"/>
    <sheet name="Dashboards" sheetId="5" r:id="rId2"/>
    <sheet name="KPI Cards" sheetId="6" r:id="rId3"/>
    <sheet name="Insights" sheetId="8" r:id="rId4"/>
    <sheet name="Sheet5" sheetId="7" r:id="rId5"/>
    <sheet name="shopping_behavior_updated" sheetId="1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7" l="1"/>
  <c r="A5" i="7"/>
  <c r="A4" i="7"/>
  <c r="A3" i="7"/>
  <c r="A2" i="7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</calcChain>
</file>

<file path=xl/sharedStrings.xml><?xml version="1.0" encoding="utf-8"?>
<sst xmlns="http://schemas.openxmlformats.org/spreadsheetml/2006/main" count="50821" uniqueCount="197">
  <si>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</si>
  <si>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</si>
  <si>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</si>
  <si>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</si>
  <si>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</si>
  <si>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</si>
  <si>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</si>
  <si>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</si>
  <si>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</si>
  <si>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</si>
  <si>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</si>
  <si>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</si>
  <si>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</si>
  <si>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</si>
  <si>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</si>
  <si>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</si>
  <si>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</si>
  <si>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</si>
  <si>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</si>
  <si>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</si>
  <si>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</si>
  <si>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</si>
  <si>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</si>
  <si>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</si>
  <si>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</si>
  <si>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</si>
  <si>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</si>
  <si>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</si>
  <si>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</si>
  <si>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</si>
  <si>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</si>
  <si>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</si>
  <si>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</si>
  <si>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</si>
  <si>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</si>
  <si>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</si>
  <si>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</si>
  <si>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</si>
  <si>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</si>
  <si>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</si>
  <si>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</si>
  <si>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</si>
  <si>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</si>
  <si>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</si>
  <si>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</si>
  <si>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</si>
  <si>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</si>
  <si>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</si>
  <si>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</si>
  <si>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</si>
  <si>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</si>
  <si>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</si>
  <si>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</si>
  <si>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</si>
  <si>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</si>
  <si>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</si>
  <si>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</si>
  <si>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</si>
  <si>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</si>
  <si>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</si>
  <si>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</si>
  <si>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</si>
  <si>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</si>
  <si>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</si>
  <si>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</si>
  <si>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</si>
  <si>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</si>
  <si>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</si>
  <si>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</si>
  <si>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</si>
  <si>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</si>
  <si>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</si>
  <si>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</si>
  <si>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</si>
  <si>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</si>
  <si>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</si>
  <si>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</si>
  <si>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</si>
  <si>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</si>
  <si>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</si>
  <si>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</si>
  <si>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</si>
  <si>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</si>
  <si>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</si>
  <si>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</si>
  <si>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</si>
  <si>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</si>
  <si>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</si>
  <si>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</si>
  <si>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</si>
  <si>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</si>
  <si>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</si>
  <si>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</si>
  <si>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</si>
  <si>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</si>
  <si>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</si>
  <si>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</si>
  <si>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</si>
  <si>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</si>
  <si>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</si>
  <si>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</si>
  <si>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</si>
  <si>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</si>
  <si>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</si>
  <si>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</si>
  <si>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</si>
  <si>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</si>
  <si>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</si>
  <si>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</si>
  <si>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</si>
  <si>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</si>
  <si>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</si>
  <si>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</si>
  <si>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</si>
  <si>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</si>
  <si>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</si>
  <si>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</si>
  <si>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</si>
  <si>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</si>
  <si>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</si>
  <si>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</si>
  <si>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</si>
  <si>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</si>
  <si>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</si>
  <si>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</si>
  <si>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</si>
  <si>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</si>
  <si>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</si>
  <si>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</si>
  <si>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</si>
  <si>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</si>
  <si>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</si>
  <si>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</si>
  <si>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</si>
  <si>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</si>
  <si>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</si>
  <si>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</si>
  <si>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</si>
  <si>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</si>
  <si>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</si>
  <si>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</si>
  <si>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</si>
  <si>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</si>
  <si>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</si>
  <si>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</si>
  <si>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</si>
  <si>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</si>
  <si>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</si>
  <si>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</si>
  <si>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</si>
  <si>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</si>
  <si>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</si>
  <si>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</si>
  <si>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Group</t>
  </si>
  <si>
    <t>Revenue</t>
  </si>
  <si>
    <t>Subscription Flag</t>
  </si>
  <si>
    <t>Grand Total</t>
  </si>
  <si>
    <t>Sum of Purchase Amount (USD)</t>
  </si>
  <si>
    <t>Revenue by Product Category</t>
  </si>
  <si>
    <t>Revenue by Season</t>
  </si>
  <si>
    <t>Adult</t>
  </si>
  <si>
    <t>Senior</t>
  </si>
  <si>
    <t>Young</t>
  </si>
  <si>
    <t>Count of Purchases per Rating</t>
  </si>
  <si>
    <t>Revenue on Discount</t>
  </si>
  <si>
    <t>Revenue by Purchase Frequency</t>
  </si>
  <si>
    <t>Revenue by Different Age Group</t>
  </si>
  <si>
    <t>Customer Purchase Behaviour Dashboard</t>
  </si>
  <si>
    <t xml:space="preserve">KPI Cards of Customer Purchase Behaviour </t>
  </si>
  <si>
    <t>Insight</t>
  </si>
  <si>
    <t>Finding</t>
  </si>
  <si>
    <t>Result</t>
  </si>
  <si>
    <t>Highest-Selling Category</t>
  </si>
  <si>
    <t>Top Customer Location</t>
  </si>
  <si>
    <t>312 orders</t>
  </si>
  <si>
    <t>Most Popular Payment Method</t>
  </si>
  <si>
    <t>1,245 orders</t>
  </si>
  <si>
    <t>Most Used Shipping Type</t>
  </si>
  <si>
    <t>Average Purchase Value</t>
  </si>
  <si>
    <t>Overall</t>
  </si>
  <si>
    <t>$ 60.25</t>
  </si>
  <si>
    <t>$ 84,500</t>
  </si>
  <si>
    <t>Highest Rated Product Category</t>
  </si>
  <si>
    <t>4.4 / 5</t>
  </si>
  <si>
    <t>Top Spending Customer Segment</t>
  </si>
  <si>
    <t>Age 25-34, Female</t>
  </si>
  <si>
    <t>$ 68.10 avg.</t>
  </si>
  <si>
    <t>Most Preferred Size</t>
  </si>
  <si>
    <t>1,102 orders</t>
  </si>
  <si>
    <t>Discount Used</t>
  </si>
  <si>
    <t>1. Focus on high-performing categories such as Clothing to maintain strong sales performance.</t>
  </si>
  <si>
    <t>2. Analyze customer demand in California and other high-performing locations to identify opportunities for further growth.</t>
  </si>
  <si>
    <t>3. Monitor Free Shipping preference and ensure operational efficiency to improve order completion.</t>
  </si>
  <si>
    <t>4. Maintain a smooth Credit Card payment experience to support customer convenience.</t>
  </si>
  <si>
    <t>5. Retain high-value customers in the 25-34 Female segment through personalized offers and engagement.</t>
  </si>
  <si>
    <t>Recommandations:</t>
  </si>
  <si>
    <t>Customer Shopping Purchase Behaviour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</si>
</sst>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0" fontId="21" fillId="34" borderId="0" xfId="0" applyFont="1" applyFill="1"/>
    <xf numFmtId="0" fontId="18" fillId="0" borderId="0" xfId="0" applyFont="1"/>
    <xf numFmtId="10" fontId="0" fillId="0" borderId="0" xfId="0" applyNumberFormat="1"/>
    <xf numFmtId="0" fontId="20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0" fillId="0" borderId="0" xfId="0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64" formatCode="[$$-409]#,##0"/>
    </dxf>
    <dxf>
      <numFmt numFmtId="0" formatCode="General"/>
    </dxf>
  </dxfs>
  <tableStyles count="0" defaultTableStyle="TableStyleMedium2" defaultPivotStyle="PivotStyleLight16"/>
  <colors>
    <mruColors>
      <color rgb="FFD140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 Tables'!$A$4:$A$8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'Pivot  Tables'!$B$4:$B$8</c:f>
              <c:numCache>
                <c:formatCode>General</c:formatCode>
                <c:ptCount val="4"/>
                <c:pt idx="0">
                  <c:v>74200</c:v>
                </c:pt>
                <c:pt idx="1">
                  <c:v>104264</c:v>
                </c:pt>
                <c:pt idx="2">
                  <c:v>36093</c:v>
                </c:pt>
                <c:pt idx="3">
                  <c:v>18524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6-4DAD-9039-C4E614D68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933744"/>
        <c:axId val="226365904"/>
      </c:barChart>
      <c:catAx>
        <c:axId val="30093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365904"/>
        <c:crosses val="autoZero"/>
        <c:auto val="1"/>
        <c:lblAlgn val="ctr"/>
        <c:lblOffset val="100"/>
        <c:noMultiLvlLbl val="0"/>
      </c:catAx>
      <c:valAx>
        <c:axId val="2263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3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 Tables'!$B$10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 Tables'!$A$11:$A$15</c:f>
              <c:strCache>
                <c:ptCount val="4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'Pivot  Tables'!$B$11:$B$15</c:f>
              <c:numCache>
                <c:formatCode>General</c:formatCode>
                <c:ptCount val="4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9-480C-8B13-6E08D9DCD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131264"/>
        <c:axId val="565045072"/>
      </c:barChart>
      <c:catAx>
        <c:axId val="6111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45072"/>
        <c:crosses val="autoZero"/>
        <c:auto val="1"/>
        <c:lblAlgn val="ctr"/>
        <c:lblOffset val="100"/>
        <c:noMultiLvlLbl val="0"/>
      </c:catAx>
      <c:valAx>
        <c:axId val="5650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13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 Tables'!$F$32:$F$33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 Tables'!$E$34:$E$37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  Tables'!$F$34:$F$37</c:f>
              <c:numCache>
                <c:formatCode>General</c:formatCode>
                <c:ptCount val="3"/>
                <c:pt idx="0">
                  <c:v>36770</c:v>
                </c:pt>
                <c:pt idx="1">
                  <c:v>27885</c:v>
                </c:pt>
                <c:pt idx="2">
                  <c:v>10536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2-4BD0-AB59-8684C5819F2E}"/>
            </c:ext>
          </c:extLst>
        </c:ser>
        <c:ser>
          <c:idx val="1"/>
          <c:order val="1"/>
          <c:tx>
            <c:strRef>
              <c:f>'Pivot  Tables'!$G$32:$G$33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 Tables'!$E$34:$E$37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'Pivot  Tables'!$G$34:$G$37</c:f>
              <c:numCache>
                <c:formatCode>General</c:formatCode>
                <c:ptCount val="3"/>
                <c:pt idx="0">
                  <c:v>73201</c:v>
                </c:pt>
                <c:pt idx="1">
                  <c:v>60595</c:v>
                </c:pt>
                <c:pt idx="2">
                  <c:v>24094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2-4BD0-AB59-8684C5819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150240"/>
        <c:axId val="565008112"/>
      </c:barChart>
      <c:catAx>
        <c:axId val="55815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08112"/>
        <c:crosses val="autoZero"/>
        <c:auto val="1"/>
        <c:lblAlgn val="ctr"/>
        <c:lblOffset val="100"/>
        <c:noMultiLvlLbl val="0"/>
      </c:catAx>
      <c:valAx>
        <c:axId val="56500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1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 Tables'!$F$3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 Tables'!$E$4:$E$10</c:f>
              <c:strCache>
                <c:ptCount val="6"/>
                <c:pt idx="0">
                  <c:v>2-Day Shipping</c:v>
                </c:pt>
                <c:pt idx="1">
                  <c:v>Express</c:v>
                </c:pt>
                <c:pt idx="2">
                  <c:v>Free Shipping</c:v>
                </c:pt>
                <c:pt idx="3">
                  <c:v>Next Day Air</c:v>
                </c:pt>
                <c:pt idx="4">
                  <c:v>Standard</c:v>
                </c:pt>
                <c:pt idx="5">
                  <c:v>Store Pickup</c:v>
                </c:pt>
              </c:strCache>
            </c:strRef>
          </c:cat>
          <c:val>
            <c:numRef>
              <c:f>'Pivot  Tables'!$F$4:$F$10</c:f>
              <c:numCache>
                <c:formatCode>General</c:formatCode>
                <c:ptCount val="6"/>
                <c:pt idx="0">
                  <c:v>38080</c:v>
                </c:pt>
                <c:pt idx="1">
                  <c:v>39067</c:v>
                </c:pt>
                <c:pt idx="2">
                  <c:v>40777</c:v>
                </c:pt>
                <c:pt idx="3">
                  <c:v>37993</c:v>
                </c:pt>
                <c:pt idx="4">
                  <c:v>38233</c:v>
                </c:pt>
                <c:pt idx="5">
                  <c:v>38931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5-48E2-A560-96AD76300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5695840"/>
        <c:axId val="565044112"/>
      </c:barChart>
      <c:catAx>
        <c:axId val="36569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44112"/>
        <c:crosses val="autoZero"/>
        <c:auto val="1"/>
        <c:lblAlgn val="ctr"/>
        <c:lblOffset val="100"/>
        <c:noMultiLvlLbl val="0"/>
      </c:catAx>
      <c:valAx>
        <c:axId val="56504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9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 Tables'!$B$17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BF-4F44-992E-85FF093EAC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BF-4F44-992E-85FF093EACB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 Tables'!$A$18:$A$20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 Tables'!$B$18:$B$20</c:f>
              <c:numCache>
                <c:formatCode>General</c:formatCode>
                <c:ptCount val="2"/>
                <c:pt idx="0">
                  <c:v>133670</c:v>
                </c:pt>
                <c:pt idx="1">
                  <c:v>99411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BF-4F44-992E-85FF093EA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 Tables'!$F$12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3C-4E1F-B76E-88E0089D7C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3C-4E1F-B76E-88E0089D7C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3C-4E1F-B76E-88E0089D7C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3C-4E1F-B76E-88E0089D7C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3C-4E1F-B76E-88E0089D7C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13C-4E1F-B76E-88E0089D7CA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 Tables'!$E$13:$E$19</c:f>
              <c:strCache>
                <c:ptCount val="6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PayPal</c:v>
                </c:pt>
                <c:pt idx="5">
                  <c:v>Venmo</c:v>
                </c:pt>
              </c:strCache>
            </c:strRef>
          </c:cat>
          <c:val>
            <c:numRef>
              <c:f>'Pivot  Tables'!$F$13:$F$19</c:f>
              <c:numCache>
                <c:formatCode>General</c:formatCode>
                <c:ptCount val="6"/>
                <c:pt idx="0">
                  <c:v>36544</c:v>
                </c:pt>
                <c:pt idx="1">
                  <c:v>40002</c:v>
                </c:pt>
                <c:pt idx="2">
                  <c:v>40310</c:v>
                </c:pt>
                <c:pt idx="3">
                  <c:v>38742</c:v>
                </c:pt>
                <c:pt idx="4">
                  <c:v>40109</c:v>
                </c:pt>
                <c:pt idx="5">
                  <c:v>37374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3C-4E1F-B76E-88E0089D7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 Tables'!$F$22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 Tables'!$E$23:$E$30</c:f>
              <c:strCache>
                <c:ptCount val="7"/>
                <c:pt idx="0">
                  <c:v>Annually</c:v>
                </c:pt>
                <c:pt idx="1">
                  <c:v>Bi-Weekly</c:v>
                </c:pt>
                <c:pt idx="2">
                  <c:v>Every 3 Months</c:v>
                </c:pt>
                <c:pt idx="3">
                  <c:v>Fortnightly</c:v>
                </c:pt>
                <c:pt idx="4">
                  <c:v>Monthly</c:v>
                </c:pt>
                <c:pt idx="5">
                  <c:v>Quarterly</c:v>
                </c:pt>
                <c:pt idx="6">
                  <c:v>Weekly</c:v>
                </c:pt>
              </c:strCache>
            </c:strRef>
          </c:cat>
          <c:val>
            <c:numRef>
              <c:f>'Pivot  Tables'!$F$23:$F$30</c:f>
              <c:numCache>
                <c:formatCode>General</c:formatCode>
                <c:ptCount val="7"/>
                <c:pt idx="0">
                  <c:v>34419</c:v>
                </c:pt>
                <c:pt idx="1">
                  <c:v>33200</c:v>
                </c:pt>
                <c:pt idx="2">
                  <c:v>35088</c:v>
                </c:pt>
                <c:pt idx="3">
                  <c:v>32007</c:v>
                </c:pt>
                <c:pt idx="4">
                  <c:v>32810</c:v>
                </c:pt>
                <c:pt idx="5">
                  <c:v>33771</c:v>
                </c:pt>
                <c:pt idx="6">
                  <c:v>31786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8-46EE-AB70-03EAB0AD3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315568"/>
        <c:axId val="564968752"/>
      </c:barChart>
      <c:catAx>
        <c:axId val="49731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68752"/>
        <c:crosses val="autoZero"/>
        <c:auto val="1"/>
        <c:lblAlgn val="ctr"/>
        <c:lblOffset val="100"/>
        <c:noMultiLvlLbl val="0"/>
      </c:catAx>
      <c:valAx>
        <c:axId val="5649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31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[shopping_behavior_updated.csv.xlsx]Pivot  Tables!PivotTable6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 Tables'!$B$22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 Tables'!$A$23:$A$49</c:f>
              <c:strCache>
                <c:ptCount val="26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3.6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4.1</c:v>
                </c:pt>
                <c:pt idx="17">
                  <c:v>4.2</c:v>
                </c:pt>
                <c:pt idx="18">
                  <c:v>4.3</c:v>
                </c:pt>
                <c:pt idx="19">
                  <c:v>4.4</c:v>
                </c:pt>
                <c:pt idx="20">
                  <c:v>4.5</c:v>
                </c:pt>
                <c:pt idx="21">
                  <c:v>4.6</c:v>
                </c:pt>
                <c:pt idx="22">
                  <c:v>4.7</c:v>
                </c:pt>
                <c:pt idx="23">
                  <c:v>4.8</c:v>
                </c:pt>
                <c:pt idx="24">
                  <c:v>4.9</c:v>
                </c:pt>
                <c:pt idx="25">
                  <c:v>5</c:v>
                </c:pt>
              </c:strCache>
            </c:strRef>
          </c:cat>
          <c:val>
            <c:numRef>
              <c:f>'Pivot  Tables'!$B$23:$B$49</c:f>
              <c:numCache>
                <c:formatCode>General</c:formatCode>
                <c:ptCount val="26"/>
                <c:pt idx="0">
                  <c:v>66</c:v>
                </c:pt>
                <c:pt idx="1">
                  <c:v>159</c:v>
                </c:pt>
                <c:pt idx="2">
                  <c:v>154</c:v>
                </c:pt>
                <c:pt idx="3">
                  <c:v>136</c:v>
                </c:pt>
                <c:pt idx="4">
                  <c:v>170</c:v>
                </c:pt>
                <c:pt idx="5">
                  <c:v>162</c:v>
                </c:pt>
                <c:pt idx="6">
                  <c:v>157</c:v>
                </c:pt>
                <c:pt idx="7">
                  <c:v>152</c:v>
                </c:pt>
                <c:pt idx="8">
                  <c:v>152</c:v>
                </c:pt>
                <c:pt idx="9">
                  <c:v>182</c:v>
                </c:pt>
                <c:pt idx="10">
                  <c:v>156</c:v>
                </c:pt>
                <c:pt idx="11">
                  <c:v>149</c:v>
                </c:pt>
                <c:pt idx="12">
                  <c:v>156</c:v>
                </c:pt>
                <c:pt idx="13">
                  <c:v>142</c:v>
                </c:pt>
                <c:pt idx="14">
                  <c:v>163</c:v>
                </c:pt>
                <c:pt idx="15">
                  <c:v>181</c:v>
                </c:pt>
                <c:pt idx="16">
                  <c:v>148</c:v>
                </c:pt>
                <c:pt idx="17">
                  <c:v>171</c:v>
                </c:pt>
                <c:pt idx="18">
                  <c:v>147</c:v>
                </c:pt>
                <c:pt idx="19">
                  <c:v>158</c:v>
                </c:pt>
                <c:pt idx="20">
                  <c:v>139</c:v>
                </c:pt>
                <c:pt idx="21">
                  <c:v>174</c:v>
                </c:pt>
                <c:pt idx="22">
                  <c:v>148</c:v>
                </c:pt>
                <c:pt idx="23">
                  <c:v>144</c:v>
                </c:pt>
                <c:pt idx="24">
                  <c:v>166</c:v>
                </c:pt>
                <c:pt idx="2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9-49D4-9ED0-A9143FC21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249680"/>
        <c:axId val="564927952"/>
      </c:barChart>
      <c:catAx>
        <c:axId val="49724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27952"/>
        <c:crosses val="autoZero"/>
        <c:auto val="1"/>
        <c:lblAlgn val="ctr"/>
        <c:lblOffset val="100"/>
        <c:noMultiLvlLbl val="0"/>
      </c:catAx>
      <c:valAx>
        <c:axId val="56492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24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77540277777777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40990918956342E-2"/>
          <c:y val="0.1576475309073537"/>
          <c:w val="0.87717064188546656"/>
          <c:h val="0.72119986658277113"/>
        </c:manualLayout>
      </c:layout>
      <c:scatterChart>
        <c:scatterStyle val="lineMarker"/>
        <c:varyColors val="0"/>
        <c:ser>
          <c:idx val="0"/>
          <c:order val="0"/>
          <c:tx>
            <c:v>Previous Purchases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shopping_behavior_updated!$P$2:$P$3901</c:f>
              <c:numCache>
                <c:formatCode>General</c:formatCode>
                <c:ptCount val="3900"/>
                <c:pt idx="0">
                  <c:v>14</c:v>
                </c:pt>
                <c:pt idx="1">
                  <c:v>2</c:v>
                </c:pt>
                <c:pt idx="2">
                  <c:v>23</c:v>
                </c:pt>
                <c:pt idx="3">
                  <c:v>49</c:v>
                </c:pt>
                <c:pt idx="4">
                  <c:v>31</c:v>
                </c:pt>
                <c:pt idx="5">
                  <c:v>14</c:v>
                </c:pt>
                <c:pt idx="6">
                  <c:v>49</c:v>
                </c:pt>
                <c:pt idx="7">
                  <c:v>19</c:v>
                </c:pt>
                <c:pt idx="8">
                  <c:v>8</c:v>
                </c:pt>
                <c:pt idx="9">
                  <c:v>4</c:v>
                </c:pt>
                <c:pt idx="10">
                  <c:v>26</c:v>
                </c:pt>
                <c:pt idx="11">
                  <c:v>10</c:v>
                </c:pt>
                <c:pt idx="12">
                  <c:v>37</c:v>
                </c:pt>
                <c:pt idx="13">
                  <c:v>31</c:v>
                </c:pt>
                <c:pt idx="14">
                  <c:v>34</c:v>
                </c:pt>
                <c:pt idx="15">
                  <c:v>8</c:v>
                </c:pt>
                <c:pt idx="16">
                  <c:v>44</c:v>
                </c:pt>
                <c:pt idx="17">
                  <c:v>36</c:v>
                </c:pt>
                <c:pt idx="18">
                  <c:v>17</c:v>
                </c:pt>
                <c:pt idx="19">
                  <c:v>46</c:v>
                </c:pt>
                <c:pt idx="20">
                  <c:v>50</c:v>
                </c:pt>
                <c:pt idx="21">
                  <c:v>22</c:v>
                </c:pt>
                <c:pt idx="22">
                  <c:v>32</c:v>
                </c:pt>
                <c:pt idx="23">
                  <c:v>40</c:v>
                </c:pt>
                <c:pt idx="24">
                  <c:v>16</c:v>
                </c:pt>
                <c:pt idx="25">
                  <c:v>14</c:v>
                </c:pt>
                <c:pt idx="26">
                  <c:v>13</c:v>
                </c:pt>
                <c:pt idx="27">
                  <c:v>7</c:v>
                </c:pt>
                <c:pt idx="28">
                  <c:v>41</c:v>
                </c:pt>
                <c:pt idx="29">
                  <c:v>14</c:v>
                </c:pt>
                <c:pt idx="30">
                  <c:v>16</c:v>
                </c:pt>
                <c:pt idx="31">
                  <c:v>45</c:v>
                </c:pt>
                <c:pt idx="32">
                  <c:v>37</c:v>
                </c:pt>
                <c:pt idx="33">
                  <c:v>45</c:v>
                </c:pt>
                <c:pt idx="34">
                  <c:v>38</c:v>
                </c:pt>
                <c:pt idx="35">
                  <c:v>48</c:v>
                </c:pt>
                <c:pt idx="36">
                  <c:v>44</c:v>
                </c:pt>
                <c:pt idx="37">
                  <c:v>10</c:v>
                </c:pt>
                <c:pt idx="38">
                  <c:v>44</c:v>
                </c:pt>
                <c:pt idx="39">
                  <c:v>18</c:v>
                </c:pt>
                <c:pt idx="40">
                  <c:v>31</c:v>
                </c:pt>
                <c:pt idx="41">
                  <c:v>40</c:v>
                </c:pt>
                <c:pt idx="42">
                  <c:v>15</c:v>
                </c:pt>
                <c:pt idx="43">
                  <c:v>19</c:v>
                </c:pt>
                <c:pt idx="44">
                  <c:v>45</c:v>
                </c:pt>
                <c:pt idx="45">
                  <c:v>25</c:v>
                </c:pt>
                <c:pt idx="46">
                  <c:v>45</c:v>
                </c:pt>
                <c:pt idx="47">
                  <c:v>36</c:v>
                </c:pt>
                <c:pt idx="48">
                  <c:v>38</c:v>
                </c:pt>
                <c:pt idx="49">
                  <c:v>34</c:v>
                </c:pt>
                <c:pt idx="50">
                  <c:v>39</c:v>
                </c:pt>
                <c:pt idx="51">
                  <c:v>7</c:v>
                </c:pt>
                <c:pt idx="52">
                  <c:v>26</c:v>
                </c:pt>
                <c:pt idx="53">
                  <c:v>35</c:v>
                </c:pt>
                <c:pt idx="54">
                  <c:v>35</c:v>
                </c:pt>
                <c:pt idx="55">
                  <c:v>49</c:v>
                </c:pt>
                <c:pt idx="56">
                  <c:v>46</c:v>
                </c:pt>
                <c:pt idx="57">
                  <c:v>17</c:v>
                </c:pt>
                <c:pt idx="58">
                  <c:v>29</c:v>
                </c:pt>
                <c:pt idx="59">
                  <c:v>4</c:v>
                </c:pt>
                <c:pt idx="60">
                  <c:v>17</c:v>
                </c:pt>
                <c:pt idx="61">
                  <c:v>21</c:v>
                </c:pt>
                <c:pt idx="62">
                  <c:v>31</c:v>
                </c:pt>
                <c:pt idx="63">
                  <c:v>43</c:v>
                </c:pt>
                <c:pt idx="64">
                  <c:v>18</c:v>
                </c:pt>
                <c:pt idx="65">
                  <c:v>44</c:v>
                </c:pt>
                <c:pt idx="66">
                  <c:v>3</c:v>
                </c:pt>
                <c:pt idx="67">
                  <c:v>49</c:v>
                </c:pt>
                <c:pt idx="68">
                  <c:v>21</c:v>
                </c:pt>
                <c:pt idx="69">
                  <c:v>5</c:v>
                </c:pt>
                <c:pt idx="70">
                  <c:v>32</c:v>
                </c:pt>
                <c:pt idx="71">
                  <c:v>34</c:v>
                </c:pt>
                <c:pt idx="72">
                  <c:v>21</c:v>
                </c:pt>
                <c:pt idx="73">
                  <c:v>43</c:v>
                </c:pt>
                <c:pt idx="74">
                  <c:v>3</c:v>
                </c:pt>
                <c:pt idx="75">
                  <c:v>21</c:v>
                </c:pt>
                <c:pt idx="76">
                  <c:v>32</c:v>
                </c:pt>
                <c:pt idx="77">
                  <c:v>36</c:v>
                </c:pt>
                <c:pt idx="78">
                  <c:v>50</c:v>
                </c:pt>
                <c:pt idx="79">
                  <c:v>43</c:v>
                </c:pt>
                <c:pt idx="80">
                  <c:v>24</c:v>
                </c:pt>
                <c:pt idx="81">
                  <c:v>36</c:v>
                </c:pt>
                <c:pt idx="82">
                  <c:v>21</c:v>
                </c:pt>
                <c:pt idx="83">
                  <c:v>34</c:v>
                </c:pt>
                <c:pt idx="84">
                  <c:v>42</c:v>
                </c:pt>
                <c:pt idx="85">
                  <c:v>2</c:v>
                </c:pt>
                <c:pt idx="86">
                  <c:v>47</c:v>
                </c:pt>
                <c:pt idx="87">
                  <c:v>44</c:v>
                </c:pt>
                <c:pt idx="88">
                  <c:v>35</c:v>
                </c:pt>
                <c:pt idx="89">
                  <c:v>15</c:v>
                </c:pt>
                <c:pt idx="90">
                  <c:v>29</c:v>
                </c:pt>
                <c:pt idx="91">
                  <c:v>18</c:v>
                </c:pt>
                <c:pt idx="92">
                  <c:v>13</c:v>
                </c:pt>
                <c:pt idx="93">
                  <c:v>46</c:v>
                </c:pt>
                <c:pt idx="94">
                  <c:v>28</c:v>
                </c:pt>
                <c:pt idx="95">
                  <c:v>48</c:v>
                </c:pt>
                <c:pt idx="96">
                  <c:v>43</c:v>
                </c:pt>
                <c:pt idx="97">
                  <c:v>37</c:v>
                </c:pt>
                <c:pt idx="98">
                  <c:v>20</c:v>
                </c:pt>
                <c:pt idx="99">
                  <c:v>33</c:v>
                </c:pt>
                <c:pt idx="100">
                  <c:v>31</c:v>
                </c:pt>
                <c:pt idx="101">
                  <c:v>50</c:v>
                </c:pt>
                <c:pt idx="102">
                  <c:v>35</c:v>
                </c:pt>
                <c:pt idx="103">
                  <c:v>22</c:v>
                </c:pt>
                <c:pt idx="104">
                  <c:v>1</c:v>
                </c:pt>
                <c:pt idx="105">
                  <c:v>4</c:v>
                </c:pt>
                <c:pt idx="106">
                  <c:v>31</c:v>
                </c:pt>
                <c:pt idx="107">
                  <c:v>46</c:v>
                </c:pt>
                <c:pt idx="108">
                  <c:v>32</c:v>
                </c:pt>
                <c:pt idx="109">
                  <c:v>43</c:v>
                </c:pt>
                <c:pt idx="110">
                  <c:v>26</c:v>
                </c:pt>
                <c:pt idx="111">
                  <c:v>9</c:v>
                </c:pt>
                <c:pt idx="112">
                  <c:v>28</c:v>
                </c:pt>
                <c:pt idx="113">
                  <c:v>20</c:v>
                </c:pt>
                <c:pt idx="114">
                  <c:v>9</c:v>
                </c:pt>
                <c:pt idx="115">
                  <c:v>48</c:v>
                </c:pt>
                <c:pt idx="116">
                  <c:v>12</c:v>
                </c:pt>
                <c:pt idx="117">
                  <c:v>29</c:v>
                </c:pt>
                <c:pt idx="118">
                  <c:v>27</c:v>
                </c:pt>
                <c:pt idx="119">
                  <c:v>44</c:v>
                </c:pt>
                <c:pt idx="120">
                  <c:v>32</c:v>
                </c:pt>
                <c:pt idx="121">
                  <c:v>11</c:v>
                </c:pt>
                <c:pt idx="122">
                  <c:v>44</c:v>
                </c:pt>
                <c:pt idx="123">
                  <c:v>46</c:v>
                </c:pt>
                <c:pt idx="124">
                  <c:v>50</c:v>
                </c:pt>
                <c:pt idx="125">
                  <c:v>45</c:v>
                </c:pt>
                <c:pt idx="126">
                  <c:v>48</c:v>
                </c:pt>
                <c:pt idx="127">
                  <c:v>26</c:v>
                </c:pt>
                <c:pt idx="128">
                  <c:v>21</c:v>
                </c:pt>
                <c:pt idx="129">
                  <c:v>49</c:v>
                </c:pt>
                <c:pt idx="130">
                  <c:v>13</c:v>
                </c:pt>
                <c:pt idx="131">
                  <c:v>46</c:v>
                </c:pt>
                <c:pt idx="132">
                  <c:v>42</c:v>
                </c:pt>
                <c:pt idx="133">
                  <c:v>25</c:v>
                </c:pt>
                <c:pt idx="134">
                  <c:v>25</c:v>
                </c:pt>
                <c:pt idx="135">
                  <c:v>12</c:v>
                </c:pt>
                <c:pt idx="136">
                  <c:v>4</c:v>
                </c:pt>
                <c:pt idx="137">
                  <c:v>38</c:v>
                </c:pt>
                <c:pt idx="138">
                  <c:v>42</c:v>
                </c:pt>
                <c:pt idx="139">
                  <c:v>30</c:v>
                </c:pt>
                <c:pt idx="140">
                  <c:v>50</c:v>
                </c:pt>
                <c:pt idx="141">
                  <c:v>45</c:v>
                </c:pt>
                <c:pt idx="142">
                  <c:v>33</c:v>
                </c:pt>
                <c:pt idx="143">
                  <c:v>25</c:v>
                </c:pt>
                <c:pt idx="144">
                  <c:v>25</c:v>
                </c:pt>
                <c:pt idx="145">
                  <c:v>44</c:v>
                </c:pt>
                <c:pt idx="146">
                  <c:v>21</c:v>
                </c:pt>
                <c:pt idx="147">
                  <c:v>31</c:v>
                </c:pt>
                <c:pt idx="148">
                  <c:v>47</c:v>
                </c:pt>
                <c:pt idx="149">
                  <c:v>14</c:v>
                </c:pt>
                <c:pt idx="150">
                  <c:v>17</c:v>
                </c:pt>
                <c:pt idx="151">
                  <c:v>3</c:v>
                </c:pt>
                <c:pt idx="152">
                  <c:v>42</c:v>
                </c:pt>
                <c:pt idx="153">
                  <c:v>22</c:v>
                </c:pt>
                <c:pt idx="154">
                  <c:v>21</c:v>
                </c:pt>
                <c:pt idx="155">
                  <c:v>21</c:v>
                </c:pt>
                <c:pt idx="156">
                  <c:v>40</c:v>
                </c:pt>
                <c:pt idx="157">
                  <c:v>1</c:v>
                </c:pt>
                <c:pt idx="158">
                  <c:v>50</c:v>
                </c:pt>
                <c:pt idx="159">
                  <c:v>39</c:v>
                </c:pt>
                <c:pt idx="160">
                  <c:v>34</c:v>
                </c:pt>
                <c:pt idx="161">
                  <c:v>29</c:v>
                </c:pt>
                <c:pt idx="162">
                  <c:v>31</c:v>
                </c:pt>
                <c:pt idx="163">
                  <c:v>8</c:v>
                </c:pt>
                <c:pt idx="164">
                  <c:v>5</c:v>
                </c:pt>
                <c:pt idx="165">
                  <c:v>7</c:v>
                </c:pt>
                <c:pt idx="166">
                  <c:v>30</c:v>
                </c:pt>
                <c:pt idx="167">
                  <c:v>14</c:v>
                </c:pt>
                <c:pt idx="168">
                  <c:v>5</c:v>
                </c:pt>
                <c:pt idx="169">
                  <c:v>3</c:v>
                </c:pt>
                <c:pt idx="170">
                  <c:v>46</c:v>
                </c:pt>
                <c:pt idx="171">
                  <c:v>4</c:v>
                </c:pt>
                <c:pt idx="172">
                  <c:v>42</c:v>
                </c:pt>
                <c:pt idx="173">
                  <c:v>30</c:v>
                </c:pt>
                <c:pt idx="174">
                  <c:v>37</c:v>
                </c:pt>
                <c:pt idx="175">
                  <c:v>2</c:v>
                </c:pt>
                <c:pt idx="176">
                  <c:v>30</c:v>
                </c:pt>
                <c:pt idx="177">
                  <c:v>47</c:v>
                </c:pt>
                <c:pt idx="178">
                  <c:v>21</c:v>
                </c:pt>
                <c:pt idx="179">
                  <c:v>9</c:v>
                </c:pt>
                <c:pt idx="180">
                  <c:v>12</c:v>
                </c:pt>
                <c:pt idx="181">
                  <c:v>4</c:v>
                </c:pt>
                <c:pt idx="182">
                  <c:v>10</c:v>
                </c:pt>
                <c:pt idx="183">
                  <c:v>26</c:v>
                </c:pt>
                <c:pt idx="184">
                  <c:v>40</c:v>
                </c:pt>
                <c:pt idx="185">
                  <c:v>34</c:v>
                </c:pt>
                <c:pt idx="186">
                  <c:v>31</c:v>
                </c:pt>
                <c:pt idx="187">
                  <c:v>1</c:v>
                </c:pt>
                <c:pt idx="188">
                  <c:v>5</c:v>
                </c:pt>
                <c:pt idx="189">
                  <c:v>4</c:v>
                </c:pt>
                <c:pt idx="190">
                  <c:v>48</c:v>
                </c:pt>
                <c:pt idx="191">
                  <c:v>29</c:v>
                </c:pt>
                <c:pt idx="192">
                  <c:v>12</c:v>
                </c:pt>
                <c:pt idx="193">
                  <c:v>29</c:v>
                </c:pt>
                <c:pt idx="194">
                  <c:v>15</c:v>
                </c:pt>
                <c:pt idx="195">
                  <c:v>34</c:v>
                </c:pt>
                <c:pt idx="196">
                  <c:v>41</c:v>
                </c:pt>
                <c:pt idx="197">
                  <c:v>41</c:v>
                </c:pt>
                <c:pt idx="198">
                  <c:v>39</c:v>
                </c:pt>
                <c:pt idx="199">
                  <c:v>32</c:v>
                </c:pt>
                <c:pt idx="200">
                  <c:v>29</c:v>
                </c:pt>
                <c:pt idx="201">
                  <c:v>15</c:v>
                </c:pt>
                <c:pt idx="202">
                  <c:v>33</c:v>
                </c:pt>
                <c:pt idx="203">
                  <c:v>18</c:v>
                </c:pt>
                <c:pt idx="204">
                  <c:v>35</c:v>
                </c:pt>
                <c:pt idx="205">
                  <c:v>25</c:v>
                </c:pt>
                <c:pt idx="206">
                  <c:v>6</c:v>
                </c:pt>
                <c:pt idx="207">
                  <c:v>17</c:v>
                </c:pt>
                <c:pt idx="208">
                  <c:v>17</c:v>
                </c:pt>
                <c:pt idx="209">
                  <c:v>44</c:v>
                </c:pt>
                <c:pt idx="210">
                  <c:v>6</c:v>
                </c:pt>
                <c:pt idx="211">
                  <c:v>45</c:v>
                </c:pt>
                <c:pt idx="212">
                  <c:v>7</c:v>
                </c:pt>
                <c:pt idx="213">
                  <c:v>11</c:v>
                </c:pt>
                <c:pt idx="214">
                  <c:v>41</c:v>
                </c:pt>
                <c:pt idx="215">
                  <c:v>24</c:v>
                </c:pt>
                <c:pt idx="216">
                  <c:v>21</c:v>
                </c:pt>
                <c:pt idx="217">
                  <c:v>24</c:v>
                </c:pt>
                <c:pt idx="218">
                  <c:v>8</c:v>
                </c:pt>
                <c:pt idx="219">
                  <c:v>12</c:v>
                </c:pt>
                <c:pt idx="220">
                  <c:v>48</c:v>
                </c:pt>
                <c:pt idx="221">
                  <c:v>6</c:v>
                </c:pt>
                <c:pt idx="222">
                  <c:v>14</c:v>
                </c:pt>
                <c:pt idx="223">
                  <c:v>34</c:v>
                </c:pt>
                <c:pt idx="224">
                  <c:v>12</c:v>
                </c:pt>
                <c:pt idx="225">
                  <c:v>11</c:v>
                </c:pt>
                <c:pt idx="226">
                  <c:v>5</c:v>
                </c:pt>
                <c:pt idx="227">
                  <c:v>25</c:v>
                </c:pt>
                <c:pt idx="228">
                  <c:v>11</c:v>
                </c:pt>
                <c:pt idx="229">
                  <c:v>27</c:v>
                </c:pt>
                <c:pt idx="230">
                  <c:v>43</c:v>
                </c:pt>
                <c:pt idx="231">
                  <c:v>18</c:v>
                </c:pt>
                <c:pt idx="232">
                  <c:v>32</c:v>
                </c:pt>
                <c:pt idx="233">
                  <c:v>27</c:v>
                </c:pt>
                <c:pt idx="234">
                  <c:v>24</c:v>
                </c:pt>
                <c:pt idx="235">
                  <c:v>31</c:v>
                </c:pt>
                <c:pt idx="236">
                  <c:v>39</c:v>
                </c:pt>
                <c:pt idx="237">
                  <c:v>36</c:v>
                </c:pt>
                <c:pt idx="238">
                  <c:v>5</c:v>
                </c:pt>
                <c:pt idx="239">
                  <c:v>47</c:v>
                </c:pt>
                <c:pt idx="240">
                  <c:v>29</c:v>
                </c:pt>
                <c:pt idx="241">
                  <c:v>43</c:v>
                </c:pt>
                <c:pt idx="242">
                  <c:v>40</c:v>
                </c:pt>
                <c:pt idx="243">
                  <c:v>4</c:v>
                </c:pt>
                <c:pt idx="244">
                  <c:v>39</c:v>
                </c:pt>
                <c:pt idx="245">
                  <c:v>45</c:v>
                </c:pt>
                <c:pt idx="246">
                  <c:v>20</c:v>
                </c:pt>
                <c:pt idx="247">
                  <c:v>14</c:v>
                </c:pt>
                <c:pt idx="248">
                  <c:v>33</c:v>
                </c:pt>
                <c:pt idx="249">
                  <c:v>18</c:v>
                </c:pt>
                <c:pt idx="250">
                  <c:v>9</c:v>
                </c:pt>
                <c:pt idx="251">
                  <c:v>34</c:v>
                </c:pt>
                <c:pt idx="252">
                  <c:v>33</c:v>
                </c:pt>
                <c:pt idx="253">
                  <c:v>15</c:v>
                </c:pt>
                <c:pt idx="254">
                  <c:v>4</c:v>
                </c:pt>
                <c:pt idx="255">
                  <c:v>25</c:v>
                </c:pt>
                <c:pt idx="256">
                  <c:v>20</c:v>
                </c:pt>
                <c:pt idx="257">
                  <c:v>5</c:v>
                </c:pt>
                <c:pt idx="258">
                  <c:v>16</c:v>
                </c:pt>
                <c:pt idx="259">
                  <c:v>13</c:v>
                </c:pt>
                <c:pt idx="260">
                  <c:v>11</c:v>
                </c:pt>
                <c:pt idx="261">
                  <c:v>21</c:v>
                </c:pt>
                <c:pt idx="262">
                  <c:v>6</c:v>
                </c:pt>
                <c:pt idx="263">
                  <c:v>29</c:v>
                </c:pt>
                <c:pt idx="264">
                  <c:v>15</c:v>
                </c:pt>
                <c:pt idx="265">
                  <c:v>17</c:v>
                </c:pt>
                <c:pt idx="266">
                  <c:v>32</c:v>
                </c:pt>
                <c:pt idx="267">
                  <c:v>42</c:v>
                </c:pt>
                <c:pt idx="268">
                  <c:v>21</c:v>
                </c:pt>
                <c:pt idx="269">
                  <c:v>9</c:v>
                </c:pt>
                <c:pt idx="270">
                  <c:v>16</c:v>
                </c:pt>
                <c:pt idx="271">
                  <c:v>42</c:v>
                </c:pt>
                <c:pt idx="272">
                  <c:v>37</c:v>
                </c:pt>
                <c:pt idx="273">
                  <c:v>32</c:v>
                </c:pt>
                <c:pt idx="274">
                  <c:v>28</c:v>
                </c:pt>
                <c:pt idx="275">
                  <c:v>13</c:v>
                </c:pt>
                <c:pt idx="276">
                  <c:v>11</c:v>
                </c:pt>
                <c:pt idx="277">
                  <c:v>36</c:v>
                </c:pt>
                <c:pt idx="278">
                  <c:v>23</c:v>
                </c:pt>
                <c:pt idx="279">
                  <c:v>37</c:v>
                </c:pt>
                <c:pt idx="280">
                  <c:v>21</c:v>
                </c:pt>
                <c:pt idx="281">
                  <c:v>22</c:v>
                </c:pt>
                <c:pt idx="282">
                  <c:v>9</c:v>
                </c:pt>
                <c:pt idx="283">
                  <c:v>16</c:v>
                </c:pt>
                <c:pt idx="284">
                  <c:v>4</c:v>
                </c:pt>
                <c:pt idx="285">
                  <c:v>3</c:v>
                </c:pt>
                <c:pt idx="286">
                  <c:v>6</c:v>
                </c:pt>
                <c:pt idx="287">
                  <c:v>18</c:v>
                </c:pt>
                <c:pt idx="288">
                  <c:v>34</c:v>
                </c:pt>
                <c:pt idx="289">
                  <c:v>26</c:v>
                </c:pt>
                <c:pt idx="290">
                  <c:v>50</c:v>
                </c:pt>
                <c:pt idx="291">
                  <c:v>40</c:v>
                </c:pt>
                <c:pt idx="292">
                  <c:v>24</c:v>
                </c:pt>
                <c:pt idx="293">
                  <c:v>33</c:v>
                </c:pt>
                <c:pt idx="294">
                  <c:v>19</c:v>
                </c:pt>
                <c:pt idx="295">
                  <c:v>24</c:v>
                </c:pt>
                <c:pt idx="296">
                  <c:v>19</c:v>
                </c:pt>
                <c:pt idx="297">
                  <c:v>4</c:v>
                </c:pt>
                <c:pt idx="298">
                  <c:v>11</c:v>
                </c:pt>
                <c:pt idx="299">
                  <c:v>28</c:v>
                </c:pt>
                <c:pt idx="300">
                  <c:v>24</c:v>
                </c:pt>
                <c:pt idx="301">
                  <c:v>25</c:v>
                </c:pt>
                <c:pt idx="302">
                  <c:v>27</c:v>
                </c:pt>
                <c:pt idx="303">
                  <c:v>49</c:v>
                </c:pt>
                <c:pt idx="304">
                  <c:v>45</c:v>
                </c:pt>
                <c:pt idx="305">
                  <c:v>26</c:v>
                </c:pt>
                <c:pt idx="306">
                  <c:v>4</c:v>
                </c:pt>
                <c:pt idx="307">
                  <c:v>3</c:v>
                </c:pt>
                <c:pt idx="308">
                  <c:v>45</c:v>
                </c:pt>
                <c:pt idx="309">
                  <c:v>21</c:v>
                </c:pt>
                <c:pt idx="310">
                  <c:v>50</c:v>
                </c:pt>
                <c:pt idx="311">
                  <c:v>19</c:v>
                </c:pt>
                <c:pt idx="312">
                  <c:v>6</c:v>
                </c:pt>
                <c:pt idx="313">
                  <c:v>50</c:v>
                </c:pt>
                <c:pt idx="314">
                  <c:v>17</c:v>
                </c:pt>
                <c:pt idx="315">
                  <c:v>24</c:v>
                </c:pt>
                <c:pt idx="316">
                  <c:v>46</c:v>
                </c:pt>
                <c:pt idx="317">
                  <c:v>42</c:v>
                </c:pt>
                <c:pt idx="318">
                  <c:v>10</c:v>
                </c:pt>
                <c:pt idx="319">
                  <c:v>1</c:v>
                </c:pt>
                <c:pt idx="320">
                  <c:v>28</c:v>
                </c:pt>
                <c:pt idx="321">
                  <c:v>48</c:v>
                </c:pt>
                <c:pt idx="322">
                  <c:v>47</c:v>
                </c:pt>
                <c:pt idx="323">
                  <c:v>29</c:v>
                </c:pt>
                <c:pt idx="324">
                  <c:v>37</c:v>
                </c:pt>
                <c:pt idx="325">
                  <c:v>38</c:v>
                </c:pt>
                <c:pt idx="326">
                  <c:v>48</c:v>
                </c:pt>
                <c:pt idx="327">
                  <c:v>36</c:v>
                </c:pt>
                <c:pt idx="328">
                  <c:v>9</c:v>
                </c:pt>
                <c:pt idx="329">
                  <c:v>34</c:v>
                </c:pt>
                <c:pt idx="330">
                  <c:v>43</c:v>
                </c:pt>
                <c:pt idx="331">
                  <c:v>46</c:v>
                </c:pt>
                <c:pt idx="332">
                  <c:v>5</c:v>
                </c:pt>
                <c:pt idx="333">
                  <c:v>15</c:v>
                </c:pt>
                <c:pt idx="334">
                  <c:v>30</c:v>
                </c:pt>
                <c:pt idx="335">
                  <c:v>44</c:v>
                </c:pt>
                <c:pt idx="336">
                  <c:v>16</c:v>
                </c:pt>
                <c:pt idx="337">
                  <c:v>16</c:v>
                </c:pt>
                <c:pt idx="338">
                  <c:v>16</c:v>
                </c:pt>
                <c:pt idx="339">
                  <c:v>21</c:v>
                </c:pt>
                <c:pt idx="340">
                  <c:v>39</c:v>
                </c:pt>
                <c:pt idx="341">
                  <c:v>40</c:v>
                </c:pt>
                <c:pt idx="342">
                  <c:v>48</c:v>
                </c:pt>
                <c:pt idx="343">
                  <c:v>26</c:v>
                </c:pt>
                <c:pt idx="344">
                  <c:v>46</c:v>
                </c:pt>
                <c:pt idx="345">
                  <c:v>27</c:v>
                </c:pt>
                <c:pt idx="346">
                  <c:v>5</c:v>
                </c:pt>
                <c:pt idx="347">
                  <c:v>43</c:v>
                </c:pt>
                <c:pt idx="348">
                  <c:v>17</c:v>
                </c:pt>
                <c:pt idx="349">
                  <c:v>3</c:v>
                </c:pt>
                <c:pt idx="350">
                  <c:v>47</c:v>
                </c:pt>
                <c:pt idx="351">
                  <c:v>24</c:v>
                </c:pt>
                <c:pt idx="352">
                  <c:v>12</c:v>
                </c:pt>
                <c:pt idx="353">
                  <c:v>35</c:v>
                </c:pt>
                <c:pt idx="354">
                  <c:v>42</c:v>
                </c:pt>
                <c:pt idx="355">
                  <c:v>1</c:v>
                </c:pt>
                <c:pt idx="356">
                  <c:v>27</c:v>
                </c:pt>
                <c:pt idx="357">
                  <c:v>16</c:v>
                </c:pt>
                <c:pt idx="358">
                  <c:v>36</c:v>
                </c:pt>
                <c:pt idx="359">
                  <c:v>30</c:v>
                </c:pt>
                <c:pt idx="360">
                  <c:v>18</c:v>
                </c:pt>
                <c:pt idx="361">
                  <c:v>45</c:v>
                </c:pt>
                <c:pt idx="362">
                  <c:v>1</c:v>
                </c:pt>
                <c:pt idx="363">
                  <c:v>42</c:v>
                </c:pt>
                <c:pt idx="364">
                  <c:v>7</c:v>
                </c:pt>
                <c:pt idx="365">
                  <c:v>50</c:v>
                </c:pt>
                <c:pt idx="366">
                  <c:v>37</c:v>
                </c:pt>
                <c:pt idx="367">
                  <c:v>18</c:v>
                </c:pt>
                <c:pt idx="368">
                  <c:v>29</c:v>
                </c:pt>
                <c:pt idx="369">
                  <c:v>45</c:v>
                </c:pt>
                <c:pt idx="370">
                  <c:v>13</c:v>
                </c:pt>
                <c:pt idx="371">
                  <c:v>47</c:v>
                </c:pt>
                <c:pt idx="372">
                  <c:v>7</c:v>
                </c:pt>
                <c:pt idx="373">
                  <c:v>11</c:v>
                </c:pt>
                <c:pt idx="374">
                  <c:v>39</c:v>
                </c:pt>
                <c:pt idx="375">
                  <c:v>6</c:v>
                </c:pt>
                <c:pt idx="376">
                  <c:v>2</c:v>
                </c:pt>
                <c:pt idx="377">
                  <c:v>39</c:v>
                </c:pt>
                <c:pt idx="378">
                  <c:v>23</c:v>
                </c:pt>
                <c:pt idx="379">
                  <c:v>46</c:v>
                </c:pt>
                <c:pt idx="380">
                  <c:v>19</c:v>
                </c:pt>
                <c:pt idx="381">
                  <c:v>3</c:v>
                </c:pt>
                <c:pt idx="382">
                  <c:v>47</c:v>
                </c:pt>
                <c:pt idx="383">
                  <c:v>6</c:v>
                </c:pt>
                <c:pt idx="384">
                  <c:v>6</c:v>
                </c:pt>
                <c:pt idx="385">
                  <c:v>12</c:v>
                </c:pt>
                <c:pt idx="386">
                  <c:v>40</c:v>
                </c:pt>
                <c:pt idx="387">
                  <c:v>38</c:v>
                </c:pt>
                <c:pt idx="388">
                  <c:v>10</c:v>
                </c:pt>
                <c:pt idx="389">
                  <c:v>28</c:v>
                </c:pt>
                <c:pt idx="390">
                  <c:v>19</c:v>
                </c:pt>
                <c:pt idx="391">
                  <c:v>25</c:v>
                </c:pt>
                <c:pt idx="392">
                  <c:v>38</c:v>
                </c:pt>
                <c:pt idx="393">
                  <c:v>6</c:v>
                </c:pt>
                <c:pt idx="394">
                  <c:v>7</c:v>
                </c:pt>
                <c:pt idx="395">
                  <c:v>2</c:v>
                </c:pt>
                <c:pt idx="396">
                  <c:v>24</c:v>
                </c:pt>
                <c:pt idx="397">
                  <c:v>26</c:v>
                </c:pt>
                <c:pt idx="398">
                  <c:v>25</c:v>
                </c:pt>
                <c:pt idx="399">
                  <c:v>10</c:v>
                </c:pt>
                <c:pt idx="400">
                  <c:v>14</c:v>
                </c:pt>
                <c:pt idx="401">
                  <c:v>21</c:v>
                </c:pt>
                <c:pt idx="402">
                  <c:v>26</c:v>
                </c:pt>
                <c:pt idx="403">
                  <c:v>12</c:v>
                </c:pt>
                <c:pt idx="404">
                  <c:v>11</c:v>
                </c:pt>
                <c:pt idx="405">
                  <c:v>15</c:v>
                </c:pt>
                <c:pt idx="406">
                  <c:v>13</c:v>
                </c:pt>
                <c:pt idx="407">
                  <c:v>5</c:v>
                </c:pt>
                <c:pt idx="408">
                  <c:v>36</c:v>
                </c:pt>
                <c:pt idx="409">
                  <c:v>32</c:v>
                </c:pt>
                <c:pt idx="410">
                  <c:v>1</c:v>
                </c:pt>
                <c:pt idx="411">
                  <c:v>15</c:v>
                </c:pt>
                <c:pt idx="412">
                  <c:v>3</c:v>
                </c:pt>
                <c:pt idx="413">
                  <c:v>48</c:v>
                </c:pt>
                <c:pt idx="414">
                  <c:v>30</c:v>
                </c:pt>
                <c:pt idx="415">
                  <c:v>40</c:v>
                </c:pt>
                <c:pt idx="416">
                  <c:v>24</c:v>
                </c:pt>
                <c:pt idx="417">
                  <c:v>48</c:v>
                </c:pt>
                <c:pt idx="418">
                  <c:v>27</c:v>
                </c:pt>
                <c:pt idx="419">
                  <c:v>14</c:v>
                </c:pt>
                <c:pt idx="420">
                  <c:v>18</c:v>
                </c:pt>
                <c:pt idx="421">
                  <c:v>48</c:v>
                </c:pt>
                <c:pt idx="422">
                  <c:v>32</c:v>
                </c:pt>
                <c:pt idx="423">
                  <c:v>21</c:v>
                </c:pt>
                <c:pt idx="424">
                  <c:v>42</c:v>
                </c:pt>
                <c:pt idx="425">
                  <c:v>4</c:v>
                </c:pt>
                <c:pt idx="426">
                  <c:v>19</c:v>
                </c:pt>
                <c:pt idx="427">
                  <c:v>6</c:v>
                </c:pt>
                <c:pt idx="428">
                  <c:v>2</c:v>
                </c:pt>
                <c:pt idx="429">
                  <c:v>21</c:v>
                </c:pt>
                <c:pt idx="430">
                  <c:v>40</c:v>
                </c:pt>
                <c:pt idx="431">
                  <c:v>33</c:v>
                </c:pt>
                <c:pt idx="432">
                  <c:v>26</c:v>
                </c:pt>
                <c:pt idx="433">
                  <c:v>23</c:v>
                </c:pt>
                <c:pt idx="434">
                  <c:v>39</c:v>
                </c:pt>
                <c:pt idx="435">
                  <c:v>42</c:v>
                </c:pt>
                <c:pt idx="436">
                  <c:v>41</c:v>
                </c:pt>
                <c:pt idx="437">
                  <c:v>41</c:v>
                </c:pt>
                <c:pt idx="438">
                  <c:v>12</c:v>
                </c:pt>
                <c:pt idx="439">
                  <c:v>31</c:v>
                </c:pt>
                <c:pt idx="440">
                  <c:v>34</c:v>
                </c:pt>
                <c:pt idx="441">
                  <c:v>32</c:v>
                </c:pt>
                <c:pt idx="442">
                  <c:v>31</c:v>
                </c:pt>
                <c:pt idx="443">
                  <c:v>24</c:v>
                </c:pt>
                <c:pt idx="444">
                  <c:v>31</c:v>
                </c:pt>
                <c:pt idx="445">
                  <c:v>18</c:v>
                </c:pt>
                <c:pt idx="446">
                  <c:v>15</c:v>
                </c:pt>
                <c:pt idx="447">
                  <c:v>7</c:v>
                </c:pt>
                <c:pt idx="448">
                  <c:v>35</c:v>
                </c:pt>
                <c:pt idx="449">
                  <c:v>35</c:v>
                </c:pt>
                <c:pt idx="450">
                  <c:v>19</c:v>
                </c:pt>
                <c:pt idx="451">
                  <c:v>26</c:v>
                </c:pt>
                <c:pt idx="452">
                  <c:v>39</c:v>
                </c:pt>
                <c:pt idx="453">
                  <c:v>22</c:v>
                </c:pt>
                <c:pt idx="454">
                  <c:v>14</c:v>
                </c:pt>
                <c:pt idx="455">
                  <c:v>50</c:v>
                </c:pt>
                <c:pt idx="456">
                  <c:v>33</c:v>
                </c:pt>
                <c:pt idx="457">
                  <c:v>48</c:v>
                </c:pt>
                <c:pt idx="458">
                  <c:v>48</c:v>
                </c:pt>
                <c:pt idx="459">
                  <c:v>27</c:v>
                </c:pt>
                <c:pt idx="460">
                  <c:v>27</c:v>
                </c:pt>
                <c:pt idx="461">
                  <c:v>20</c:v>
                </c:pt>
                <c:pt idx="462">
                  <c:v>48</c:v>
                </c:pt>
                <c:pt idx="463">
                  <c:v>29</c:v>
                </c:pt>
                <c:pt idx="464">
                  <c:v>45</c:v>
                </c:pt>
                <c:pt idx="465">
                  <c:v>25</c:v>
                </c:pt>
                <c:pt idx="466">
                  <c:v>25</c:v>
                </c:pt>
                <c:pt idx="467">
                  <c:v>37</c:v>
                </c:pt>
                <c:pt idx="468">
                  <c:v>16</c:v>
                </c:pt>
                <c:pt idx="469">
                  <c:v>30</c:v>
                </c:pt>
                <c:pt idx="470">
                  <c:v>6</c:v>
                </c:pt>
                <c:pt idx="471">
                  <c:v>36</c:v>
                </c:pt>
                <c:pt idx="472">
                  <c:v>3</c:v>
                </c:pt>
                <c:pt idx="473">
                  <c:v>29</c:v>
                </c:pt>
                <c:pt idx="474">
                  <c:v>15</c:v>
                </c:pt>
                <c:pt idx="475">
                  <c:v>18</c:v>
                </c:pt>
                <c:pt idx="476">
                  <c:v>2</c:v>
                </c:pt>
                <c:pt idx="477">
                  <c:v>49</c:v>
                </c:pt>
                <c:pt idx="478">
                  <c:v>48</c:v>
                </c:pt>
                <c:pt idx="479">
                  <c:v>43</c:v>
                </c:pt>
                <c:pt idx="480">
                  <c:v>30</c:v>
                </c:pt>
                <c:pt idx="481">
                  <c:v>10</c:v>
                </c:pt>
                <c:pt idx="482">
                  <c:v>11</c:v>
                </c:pt>
                <c:pt idx="483">
                  <c:v>12</c:v>
                </c:pt>
                <c:pt idx="484">
                  <c:v>28</c:v>
                </c:pt>
                <c:pt idx="485">
                  <c:v>36</c:v>
                </c:pt>
                <c:pt idx="486">
                  <c:v>37</c:v>
                </c:pt>
                <c:pt idx="487">
                  <c:v>22</c:v>
                </c:pt>
                <c:pt idx="488">
                  <c:v>32</c:v>
                </c:pt>
                <c:pt idx="489">
                  <c:v>40</c:v>
                </c:pt>
                <c:pt idx="490">
                  <c:v>47</c:v>
                </c:pt>
                <c:pt idx="491">
                  <c:v>24</c:v>
                </c:pt>
                <c:pt idx="492">
                  <c:v>11</c:v>
                </c:pt>
                <c:pt idx="493">
                  <c:v>19</c:v>
                </c:pt>
                <c:pt idx="494">
                  <c:v>42</c:v>
                </c:pt>
                <c:pt idx="495">
                  <c:v>6</c:v>
                </c:pt>
                <c:pt idx="496">
                  <c:v>31</c:v>
                </c:pt>
                <c:pt idx="497">
                  <c:v>31</c:v>
                </c:pt>
                <c:pt idx="498">
                  <c:v>27</c:v>
                </c:pt>
                <c:pt idx="499">
                  <c:v>24</c:v>
                </c:pt>
                <c:pt idx="500">
                  <c:v>35</c:v>
                </c:pt>
                <c:pt idx="501">
                  <c:v>21</c:v>
                </c:pt>
                <c:pt idx="502">
                  <c:v>8</c:v>
                </c:pt>
                <c:pt idx="503">
                  <c:v>26</c:v>
                </c:pt>
                <c:pt idx="504">
                  <c:v>26</c:v>
                </c:pt>
                <c:pt idx="505">
                  <c:v>9</c:v>
                </c:pt>
                <c:pt idx="506">
                  <c:v>48</c:v>
                </c:pt>
                <c:pt idx="507">
                  <c:v>33</c:v>
                </c:pt>
                <c:pt idx="508">
                  <c:v>31</c:v>
                </c:pt>
                <c:pt idx="509">
                  <c:v>17</c:v>
                </c:pt>
                <c:pt idx="510">
                  <c:v>22</c:v>
                </c:pt>
                <c:pt idx="511">
                  <c:v>8</c:v>
                </c:pt>
                <c:pt idx="512">
                  <c:v>2</c:v>
                </c:pt>
                <c:pt idx="513">
                  <c:v>45</c:v>
                </c:pt>
                <c:pt idx="514">
                  <c:v>47</c:v>
                </c:pt>
                <c:pt idx="515">
                  <c:v>7</c:v>
                </c:pt>
                <c:pt idx="516">
                  <c:v>19</c:v>
                </c:pt>
                <c:pt idx="517">
                  <c:v>44</c:v>
                </c:pt>
                <c:pt idx="518">
                  <c:v>16</c:v>
                </c:pt>
                <c:pt idx="519">
                  <c:v>17</c:v>
                </c:pt>
                <c:pt idx="520">
                  <c:v>20</c:v>
                </c:pt>
                <c:pt idx="521">
                  <c:v>50</c:v>
                </c:pt>
                <c:pt idx="522">
                  <c:v>37</c:v>
                </c:pt>
                <c:pt idx="523">
                  <c:v>5</c:v>
                </c:pt>
                <c:pt idx="524">
                  <c:v>44</c:v>
                </c:pt>
                <c:pt idx="525">
                  <c:v>41</c:v>
                </c:pt>
                <c:pt idx="526">
                  <c:v>19</c:v>
                </c:pt>
                <c:pt idx="527">
                  <c:v>47</c:v>
                </c:pt>
                <c:pt idx="528">
                  <c:v>40</c:v>
                </c:pt>
                <c:pt idx="529">
                  <c:v>6</c:v>
                </c:pt>
                <c:pt idx="530">
                  <c:v>25</c:v>
                </c:pt>
                <c:pt idx="531">
                  <c:v>42</c:v>
                </c:pt>
                <c:pt idx="532">
                  <c:v>35</c:v>
                </c:pt>
                <c:pt idx="533">
                  <c:v>17</c:v>
                </c:pt>
                <c:pt idx="534">
                  <c:v>4</c:v>
                </c:pt>
                <c:pt idx="535">
                  <c:v>24</c:v>
                </c:pt>
                <c:pt idx="536">
                  <c:v>16</c:v>
                </c:pt>
                <c:pt idx="537">
                  <c:v>14</c:v>
                </c:pt>
                <c:pt idx="538">
                  <c:v>43</c:v>
                </c:pt>
                <c:pt idx="539">
                  <c:v>49</c:v>
                </c:pt>
                <c:pt idx="540">
                  <c:v>33</c:v>
                </c:pt>
                <c:pt idx="541">
                  <c:v>45</c:v>
                </c:pt>
                <c:pt idx="542">
                  <c:v>35</c:v>
                </c:pt>
                <c:pt idx="543">
                  <c:v>11</c:v>
                </c:pt>
                <c:pt idx="544">
                  <c:v>30</c:v>
                </c:pt>
                <c:pt idx="545">
                  <c:v>48</c:v>
                </c:pt>
                <c:pt idx="546">
                  <c:v>45</c:v>
                </c:pt>
                <c:pt idx="547">
                  <c:v>26</c:v>
                </c:pt>
                <c:pt idx="548">
                  <c:v>41</c:v>
                </c:pt>
                <c:pt idx="549">
                  <c:v>37</c:v>
                </c:pt>
                <c:pt idx="550">
                  <c:v>12</c:v>
                </c:pt>
                <c:pt idx="551">
                  <c:v>27</c:v>
                </c:pt>
                <c:pt idx="552">
                  <c:v>18</c:v>
                </c:pt>
                <c:pt idx="553">
                  <c:v>15</c:v>
                </c:pt>
                <c:pt idx="554">
                  <c:v>34</c:v>
                </c:pt>
                <c:pt idx="555">
                  <c:v>37</c:v>
                </c:pt>
                <c:pt idx="556">
                  <c:v>21</c:v>
                </c:pt>
                <c:pt idx="557">
                  <c:v>31</c:v>
                </c:pt>
                <c:pt idx="558">
                  <c:v>43</c:v>
                </c:pt>
                <c:pt idx="559">
                  <c:v>22</c:v>
                </c:pt>
                <c:pt idx="560">
                  <c:v>12</c:v>
                </c:pt>
                <c:pt idx="561">
                  <c:v>25</c:v>
                </c:pt>
                <c:pt idx="562">
                  <c:v>40</c:v>
                </c:pt>
                <c:pt idx="563">
                  <c:v>16</c:v>
                </c:pt>
                <c:pt idx="564">
                  <c:v>30</c:v>
                </c:pt>
                <c:pt idx="565">
                  <c:v>10</c:v>
                </c:pt>
                <c:pt idx="566">
                  <c:v>1</c:v>
                </c:pt>
                <c:pt idx="567">
                  <c:v>24</c:v>
                </c:pt>
                <c:pt idx="568">
                  <c:v>36</c:v>
                </c:pt>
                <c:pt idx="569">
                  <c:v>46</c:v>
                </c:pt>
                <c:pt idx="570">
                  <c:v>20</c:v>
                </c:pt>
                <c:pt idx="571">
                  <c:v>37</c:v>
                </c:pt>
                <c:pt idx="572">
                  <c:v>26</c:v>
                </c:pt>
                <c:pt idx="573">
                  <c:v>23</c:v>
                </c:pt>
                <c:pt idx="574">
                  <c:v>20</c:v>
                </c:pt>
                <c:pt idx="575">
                  <c:v>38</c:v>
                </c:pt>
                <c:pt idx="576">
                  <c:v>5</c:v>
                </c:pt>
                <c:pt idx="577">
                  <c:v>41</c:v>
                </c:pt>
                <c:pt idx="578">
                  <c:v>22</c:v>
                </c:pt>
                <c:pt idx="579">
                  <c:v>48</c:v>
                </c:pt>
                <c:pt idx="580">
                  <c:v>10</c:v>
                </c:pt>
                <c:pt idx="581">
                  <c:v>12</c:v>
                </c:pt>
                <c:pt idx="582">
                  <c:v>2</c:v>
                </c:pt>
                <c:pt idx="583">
                  <c:v>38</c:v>
                </c:pt>
                <c:pt idx="584">
                  <c:v>20</c:v>
                </c:pt>
                <c:pt idx="585">
                  <c:v>5</c:v>
                </c:pt>
                <c:pt idx="586">
                  <c:v>9</c:v>
                </c:pt>
                <c:pt idx="587">
                  <c:v>48</c:v>
                </c:pt>
                <c:pt idx="588">
                  <c:v>9</c:v>
                </c:pt>
                <c:pt idx="589">
                  <c:v>40</c:v>
                </c:pt>
                <c:pt idx="590">
                  <c:v>30</c:v>
                </c:pt>
                <c:pt idx="591">
                  <c:v>6</c:v>
                </c:pt>
                <c:pt idx="592">
                  <c:v>42</c:v>
                </c:pt>
                <c:pt idx="593">
                  <c:v>9</c:v>
                </c:pt>
                <c:pt idx="594">
                  <c:v>6</c:v>
                </c:pt>
                <c:pt idx="595">
                  <c:v>47</c:v>
                </c:pt>
                <c:pt idx="596">
                  <c:v>36</c:v>
                </c:pt>
                <c:pt idx="597">
                  <c:v>19</c:v>
                </c:pt>
                <c:pt idx="598">
                  <c:v>30</c:v>
                </c:pt>
                <c:pt idx="599">
                  <c:v>27</c:v>
                </c:pt>
                <c:pt idx="600">
                  <c:v>25</c:v>
                </c:pt>
                <c:pt idx="601">
                  <c:v>5</c:v>
                </c:pt>
                <c:pt idx="602">
                  <c:v>10</c:v>
                </c:pt>
                <c:pt idx="603">
                  <c:v>26</c:v>
                </c:pt>
                <c:pt idx="604">
                  <c:v>11</c:v>
                </c:pt>
                <c:pt idx="605">
                  <c:v>17</c:v>
                </c:pt>
                <c:pt idx="606">
                  <c:v>44</c:v>
                </c:pt>
                <c:pt idx="607">
                  <c:v>44</c:v>
                </c:pt>
                <c:pt idx="608">
                  <c:v>21</c:v>
                </c:pt>
                <c:pt idx="609">
                  <c:v>49</c:v>
                </c:pt>
                <c:pt idx="610">
                  <c:v>27</c:v>
                </c:pt>
                <c:pt idx="611">
                  <c:v>19</c:v>
                </c:pt>
                <c:pt idx="612">
                  <c:v>33</c:v>
                </c:pt>
                <c:pt idx="613">
                  <c:v>46</c:v>
                </c:pt>
                <c:pt idx="614">
                  <c:v>21</c:v>
                </c:pt>
                <c:pt idx="615">
                  <c:v>23</c:v>
                </c:pt>
                <c:pt idx="616">
                  <c:v>38</c:v>
                </c:pt>
                <c:pt idx="617">
                  <c:v>2</c:v>
                </c:pt>
                <c:pt idx="618">
                  <c:v>21</c:v>
                </c:pt>
                <c:pt idx="619">
                  <c:v>1</c:v>
                </c:pt>
                <c:pt idx="620">
                  <c:v>10</c:v>
                </c:pt>
                <c:pt idx="621">
                  <c:v>45</c:v>
                </c:pt>
                <c:pt idx="622">
                  <c:v>44</c:v>
                </c:pt>
                <c:pt idx="623">
                  <c:v>48</c:v>
                </c:pt>
                <c:pt idx="624">
                  <c:v>21</c:v>
                </c:pt>
                <c:pt idx="625">
                  <c:v>1</c:v>
                </c:pt>
                <c:pt idx="626">
                  <c:v>10</c:v>
                </c:pt>
                <c:pt idx="627">
                  <c:v>24</c:v>
                </c:pt>
                <c:pt idx="628">
                  <c:v>29</c:v>
                </c:pt>
                <c:pt idx="629">
                  <c:v>11</c:v>
                </c:pt>
                <c:pt idx="630">
                  <c:v>33</c:v>
                </c:pt>
                <c:pt idx="631">
                  <c:v>27</c:v>
                </c:pt>
                <c:pt idx="632">
                  <c:v>19</c:v>
                </c:pt>
                <c:pt idx="633">
                  <c:v>50</c:v>
                </c:pt>
                <c:pt idx="634">
                  <c:v>46</c:v>
                </c:pt>
                <c:pt idx="635">
                  <c:v>28</c:v>
                </c:pt>
                <c:pt idx="636">
                  <c:v>14</c:v>
                </c:pt>
                <c:pt idx="637">
                  <c:v>46</c:v>
                </c:pt>
                <c:pt idx="638">
                  <c:v>41</c:v>
                </c:pt>
                <c:pt idx="639">
                  <c:v>50</c:v>
                </c:pt>
                <c:pt idx="640">
                  <c:v>28</c:v>
                </c:pt>
                <c:pt idx="641">
                  <c:v>23</c:v>
                </c:pt>
                <c:pt idx="642">
                  <c:v>14</c:v>
                </c:pt>
                <c:pt idx="643">
                  <c:v>10</c:v>
                </c:pt>
                <c:pt idx="644">
                  <c:v>37</c:v>
                </c:pt>
                <c:pt idx="645">
                  <c:v>15</c:v>
                </c:pt>
                <c:pt idx="646">
                  <c:v>19</c:v>
                </c:pt>
                <c:pt idx="647">
                  <c:v>23</c:v>
                </c:pt>
                <c:pt idx="648">
                  <c:v>35</c:v>
                </c:pt>
                <c:pt idx="649">
                  <c:v>33</c:v>
                </c:pt>
                <c:pt idx="650">
                  <c:v>12</c:v>
                </c:pt>
                <c:pt idx="651">
                  <c:v>41</c:v>
                </c:pt>
                <c:pt idx="652">
                  <c:v>27</c:v>
                </c:pt>
                <c:pt idx="653">
                  <c:v>45</c:v>
                </c:pt>
                <c:pt idx="654">
                  <c:v>23</c:v>
                </c:pt>
                <c:pt idx="655">
                  <c:v>19</c:v>
                </c:pt>
                <c:pt idx="656">
                  <c:v>6</c:v>
                </c:pt>
                <c:pt idx="657">
                  <c:v>6</c:v>
                </c:pt>
                <c:pt idx="658">
                  <c:v>20</c:v>
                </c:pt>
                <c:pt idx="659">
                  <c:v>8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23</c:v>
                </c:pt>
                <c:pt idx="664">
                  <c:v>41</c:v>
                </c:pt>
                <c:pt idx="665">
                  <c:v>50</c:v>
                </c:pt>
                <c:pt idx="666">
                  <c:v>30</c:v>
                </c:pt>
                <c:pt idx="667">
                  <c:v>32</c:v>
                </c:pt>
                <c:pt idx="668">
                  <c:v>35</c:v>
                </c:pt>
                <c:pt idx="669">
                  <c:v>45</c:v>
                </c:pt>
                <c:pt idx="670">
                  <c:v>37</c:v>
                </c:pt>
                <c:pt idx="671">
                  <c:v>45</c:v>
                </c:pt>
                <c:pt idx="672">
                  <c:v>29</c:v>
                </c:pt>
                <c:pt idx="673">
                  <c:v>27</c:v>
                </c:pt>
                <c:pt idx="674">
                  <c:v>36</c:v>
                </c:pt>
                <c:pt idx="675">
                  <c:v>9</c:v>
                </c:pt>
                <c:pt idx="676">
                  <c:v>38</c:v>
                </c:pt>
                <c:pt idx="677">
                  <c:v>41</c:v>
                </c:pt>
                <c:pt idx="678">
                  <c:v>25</c:v>
                </c:pt>
                <c:pt idx="679">
                  <c:v>37</c:v>
                </c:pt>
                <c:pt idx="680">
                  <c:v>3</c:v>
                </c:pt>
                <c:pt idx="681">
                  <c:v>24</c:v>
                </c:pt>
                <c:pt idx="682">
                  <c:v>49</c:v>
                </c:pt>
                <c:pt idx="683">
                  <c:v>3</c:v>
                </c:pt>
                <c:pt idx="684">
                  <c:v>42</c:v>
                </c:pt>
                <c:pt idx="685">
                  <c:v>32</c:v>
                </c:pt>
                <c:pt idx="686">
                  <c:v>33</c:v>
                </c:pt>
                <c:pt idx="687">
                  <c:v>46</c:v>
                </c:pt>
                <c:pt idx="688">
                  <c:v>44</c:v>
                </c:pt>
                <c:pt idx="689">
                  <c:v>35</c:v>
                </c:pt>
                <c:pt idx="690">
                  <c:v>45</c:v>
                </c:pt>
                <c:pt idx="691">
                  <c:v>37</c:v>
                </c:pt>
                <c:pt idx="692">
                  <c:v>40</c:v>
                </c:pt>
                <c:pt idx="693">
                  <c:v>30</c:v>
                </c:pt>
                <c:pt idx="694">
                  <c:v>38</c:v>
                </c:pt>
                <c:pt idx="695">
                  <c:v>15</c:v>
                </c:pt>
                <c:pt idx="696">
                  <c:v>49</c:v>
                </c:pt>
                <c:pt idx="697">
                  <c:v>40</c:v>
                </c:pt>
                <c:pt idx="698">
                  <c:v>40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1</c:v>
                </c:pt>
                <c:pt idx="703">
                  <c:v>21</c:v>
                </c:pt>
                <c:pt idx="704">
                  <c:v>18</c:v>
                </c:pt>
                <c:pt idx="705">
                  <c:v>49</c:v>
                </c:pt>
                <c:pt idx="706">
                  <c:v>27</c:v>
                </c:pt>
                <c:pt idx="707">
                  <c:v>21</c:v>
                </c:pt>
                <c:pt idx="708">
                  <c:v>19</c:v>
                </c:pt>
                <c:pt idx="709">
                  <c:v>23</c:v>
                </c:pt>
                <c:pt idx="710">
                  <c:v>26</c:v>
                </c:pt>
                <c:pt idx="711">
                  <c:v>13</c:v>
                </c:pt>
                <c:pt idx="712">
                  <c:v>36</c:v>
                </c:pt>
                <c:pt idx="713">
                  <c:v>39</c:v>
                </c:pt>
                <c:pt idx="714">
                  <c:v>40</c:v>
                </c:pt>
                <c:pt idx="715">
                  <c:v>37</c:v>
                </c:pt>
                <c:pt idx="716">
                  <c:v>9</c:v>
                </c:pt>
                <c:pt idx="717">
                  <c:v>7</c:v>
                </c:pt>
                <c:pt idx="718">
                  <c:v>25</c:v>
                </c:pt>
                <c:pt idx="719">
                  <c:v>42</c:v>
                </c:pt>
                <c:pt idx="720">
                  <c:v>19</c:v>
                </c:pt>
                <c:pt idx="721">
                  <c:v>41</c:v>
                </c:pt>
                <c:pt idx="722">
                  <c:v>50</c:v>
                </c:pt>
                <c:pt idx="723">
                  <c:v>43</c:v>
                </c:pt>
                <c:pt idx="724">
                  <c:v>36</c:v>
                </c:pt>
                <c:pt idx="725">
                  <c:v>33</c:v>
                </c:pt>
                <c:pt idx="726">
                  <c:v>20</c:v>
                </c:pt>
                <c:pt idx="727">
                  <c:v>37</c:v>
                </c:pt>
                <c:pt idx="728">
                  <c:v>12</c:v>
                </c:pt>
                <c:pt idx="729">
                  <c:v>46</c:v>
                </c:pt>
                <c:pt idx="730">
                  <c:v>28</c:v>
                </c:pt>
                <c:pt idx="731">
                  <c:v>30</c:v>
                </c:pt>
                <c:pt idx="732">
                  <c:v>28</c:v>
                </c:pt>
                <c:pt idx="733">
                  <c:v>20</c:v>
                </c:pt>
                <c:pt idx="734">
                  <c:v>39</c:v>
                </c:pt>
                <c:pt idx="735">
                  <c:v>48</c:v>
                </c:pt>
                <c:pt idx="736">
                  <c:v>32</c:v>
                </c:pt>
                <c:pt idx="737">
                  <c:v>28</c:v>
                </c:pt>
                <c:pt idx="738">
                  <c:v>27</c:v>
                </c:pt>
                <c:pt idx="739">
                  <c:v>26</c:v>
                </c:pt>
                <c:pt idx="740">
                  <c:v>22</c:v>
                </c:pt>
                <c:pt idx="741">
                  <c:v>23</c:v>
                </c:pt>
                <c:pt idx="742">
                  <c:v>21</c:v>
                </c:pt>
                <c:pt idx="743">
                  <c:v>36</c:v>
                </c:pt>
                <c:pt idx="744">
                  <c:v>42</c:v>
                </c:pt>
                <c:pt idx="745">
                  <c:v>4</c:v>
                </c:pt>
                <c:pt idx="746">
                  <c:v>47</c:v>
                </c:pt>
                <c:pt idx="747">
                  <c:v>13</c:v>
                </c:pt>
                <c:pt idx="748">
                  <c:v>8</c:v>
                </c:pt>
                <c:pt idx="749">
                  <c:v>11</c:v>
                </c:pt>
                <c:pt idx="750">
                  <c:v>5</c:v>
                </c:pt>
                <c:pt idx="751">
                  <c:v>1</c:v>
                </c:pt>
                <c:pt idx="752">
                  <c:v>17</c:v>
                </c:pt>
                <c:pt idx="753">
                  <c:v>27</c:v>
                </c:pt>
                <c:pt idx="754">
                  <c:v>3</c:v>
                </c:pt>
                <c:pt idx="755">
                  <c:v>22</c:v>
                </c:pt>
                <c:pt idx="756">
                  <c:v>24</c:v>
                </c:pt>
                <c:pt idx="757">
                  <c:v>18</c:v>
                </c:pt>
                <c:pt idx="758">
                  <c:v>39</c:v>
                </c:pt>
                <c:pt idx="759">
                  <c:v>25</c:v>
                </c:pt>
                <c:pt idx="760">
                  <c:v>6</c:v>
                </c:pt>
                <c:pt idx="761">
                  <c:v>26</c:v>
                </c:pt>
                <c:pt idx="762">
                  <c:v>43</c:v>
                </c:pt>
                <c:pt idx="763">
                  <c:v>6</c:v>
                </c:pt>
                <c:pt idx="764">
                  <c:v>6</c:v>
                </c:pt>
                <c:pt idx="765">
                  <c:v>13</c:v>
                </c:pt>
                <c:pt idx="766">
                  <c:v>13</c:v>
                </c:pt>
                <c:pt idx="767">
                  <c:v>11</c:v>
                </c:pt>
                <c:pt idx="768">
                  <c:v>45</c:v>
                </c:pt>
                <c:pt idx="769">
                  <c:v>8</c:v>
                </c:pt>
                <c:pt idx="770">
                  <c:v>8</c:v>
                </c:pt>
                <c:pt idx="771">
                  <c:v>34</c:v>
                </c:pt>
                <c:pt idx="772">
                  <c:v>40</c:v>
                </c:pt>
                <c:pt idx="773">
                  <c:v>14</c:v>
                </c:pt>
                <c:pt idx="774">
                  <c:v>11</c:v>
                </c:pt>
                <c:pt idx="775">
                  <c:v>8</c:v>
                </c:pt>
                <c:pt idx="776">
                  <c:v>8</c:v>
                </c:pt>
                <c:pt idx="777">
                  <c:v>37</c:v>
                </c:pt>
                <c:pt idx="778">
                  <c:v>23</c:v>
                </c:pt>
                <c:pt idx="779">
                  <c:v>38</c:v>
                </c:pt>
                <c:pt idx="780">
                  <c:v>38</c:v>
                </c:pt>
                <c:pt idx="781">
                  <c:v>12</c:v>
                </c:pt>
                <c:pt idx="782">
                  <c:v>15</c:v>
                </c:pt>
                <c:pt idx="783">
                  <c:v>38</c:v>
                </c:pt>
                <c:pt idx="784">
                  <c:v>41</c:v>
                </c:pt>
                <c:pt idx="785">
                  <c:v>37</c:v>
                </c:pt>
                <c:pt idx="786">
                  <c:v>16</c:v>
                </c:pt>
                <c:pt idx="787">
                  <c:v>25</c:v>
                </c:pt>
                <c:pt idx="788">
                  <c:v>18</c:v>
                </c:pt>
                <c:pt idx="789">
                  <c:v>4</c:v>
                </c:pt>
                <c:pt idx="790">
                  <c:v>12</c:v>
                </c:pt>
                <c:pt idx="791">
                  <c:v>35</c:v>
                </c:pt>
                <c:pt idx="792">
                  <c:v>45</c:v>
                </c:pt>
                <c:pt idx="793">
                  <c:v>16</c:v>
                </c:pt>
                <c:pt idx="794">
                  <c:v>10</c:v>
                </c:pt>
                <c:pt idx="795">
                  <c:v>34</c:v>
                </c:pt>
                <c:pt idx="796">
                  <c:v>43</c:v>
                </c:pt>
                <c:pt idx="797">
                  <c:v>38</c:v>
                </c:pt>
                <c:pt idx="798">
                  <c:v>48</c:v>
                </c:pt>
                <c:pt idx="799">
                  <c:v>31</c:v>
                </c:pt>
                <c:pt idx="800">
                  <c:v>20</c:v>
                </c:pt>
                <c:pt idx="801">
                  <c:v>12</c:v>
                </c:pt>
                <c:pt idx="802">
                  <c:v>2</c:v>
                </c:pt>
                <c:pt idx="803">
                  <c:v>30</c:v>
                </c:pt>
                <c:pt idx="804">
                  <c:v>28</c:v>
                </c:pt>
                <c:pt idx="805">
                  <c:v>40</c:v>
                </c:pt>
                <c:pt idx="806">
                  <c:v>46</c:v>
                </c:pt>
                <c:pt idx="807">
                  <c:v>15</c:v>
                </c:pt>
                <c:pt idx="808">
                  <c:v>38</c:v>
                </c:pt>
                <c:pt idx="809">
                  <c:v>30</c:v>
                </c:pt>
                <c:pt idx="810">
                  <c:v>32</c:v>
                </c:pt>
                <c:pt idx="811">
                  <c:v>36</c:v>
                </c:pt>
                <c:pt idx="812">
                  <c:v>32</c:v>
                </c:pt>
                <c:pt idx="813">
                  <c:v>14</c:v>
                </c:pt>
                <c:pt idx="814">
                  <c:v>8</c:v>
                </c:pt>
                <c:pt idx="815">
                  <c:v>27</c:v>
                </c:pt>
                <c:pt idx="816">
                  <c:v>24</c:v>
                </c:pt>
                <c:pt idx="817">
                  <c:v>30</c:v>
                </c:pt>
                <c:pt idx="818">
                  <c:v>34</c:v>
                </c:pt>
                <c:pt idx="819">
                  <c:v>28</c:v>
                </c:pt>
                <c:pt idx="820">
                  <c:v>27</c:v>
                </c:pt>
                <c:pt idx="821">
                  <c:v>31</c:v>
                </c:pt>
                <c:pt idx="822">
                  <c:v>23</c:v>
                </c:pt>
                <c:pt idx="823">
                  <c:v>11</c:v>
                </c:pt>
                <c:pt idx="824">
                  <c:v>48</c:v>
                </c:pt>
                <c:pt idx="825">
                  <c:v>17</c:v>
                </c:pt>
                <c:pt idx="826">
                  <c:v>36</c:v>
                </c:pt>
                <c:pt idx="827">
                  <c:v>33</c:v>
                </c:pt>
                <c:pt idx="828">
                  <c:v>27</c:v>
                </c:pt>
                <c:pt idx="829">
                  <c:v>14</c:v>
                </c:pt>
                <c:pt idx="830">
                  <c:v>5</c:v>
                </c:pt>
                <c:pt idx="831">
                  <c:v>47</c:v>
                </c:pt>
                <c:pt idx="832">
                  <c:v>28</c:v>
                </c:pt>
                <c:pt idx="833">
                  <c:v>11</c:v>
                </c:pt>
                <c:pt idx="834">
                  <c:v>18</c:v>
                </c:pt>
                <c:pt idx="835">
                  <c:v>21</c:v>
                </c:pt>
                <c:pt idx="836">
                  <c:v>22</c:v>
                </c:pt>
                <c:pt idx="837">
                  <c:v>33</c:v>
                </c:pt>
                <c:pt idx="838">
                  <c:v>49</c:v>
                </c:pt>
                <c:pt idx="839">
                  <c:v>10</c:v>
                </c:pt>
                <c:pt idx="840">
                  <c:v>18</c:v>
                </c:pt>
                <c:pt idx="841">
                  <c:v>28</c:v>
                </c:pt>
                <c:pt idx="842">
                  <c:v>25</c:v>
                </c:pt>
                <c:pt idx="843">
                  <c:v>6</c:v>
                </c:pt>
                <c:pt idx="844">
                  <c:v>44</c:v>
                </c:pt>
                <c:pt idx="845">
                  <c:v>30</c:v>
                </c:pt>
                <c:pt idx="846">
                  <c:v>42</c:v>
                </c:pt>
                <c:pt idx="847">
                  <c:v>30</c:v>
                </c:pt>
                <c:pt idx="848">
                  <c:v>33</c:v>
                </c:pt>
                <c:pt idx="849">
                  <c:v>24</c:v>
                </c:pt>
                <c:pt idx="850">
                  <c:v>13</c:v>
                </c:pt>
                <c:pt idx="851">
                  <c:v>19</c:v>
                </c:pt>
                <c:pt idx="852">
                  <c:v>23</c:v>
                </c:pt>
                <c:pt idx="853">
                  <c:v>35</c:v>
                </c:pt>
                <c:pt idx="854">
                  <c:v>22</c:v>
                </c:pt>
                <c:pt idx="855">
                  <c:v>14</c:v>
                </c:pt>
                <c:pt idx="856">
                  <c:v>47</c:v>
                </c:pt>
                <c:pt idx="857">
                  <c:v>50</c:v>
                </c:pt>
                <c:pt idx="858">
                  <c:v>33</c:v>
                </c:pt>
                <c:pt idx="859">
                  <c:v>7</c:v>
                </c:pt>
                <c:pt idx="860">
                  <c:v>3</c:v>
                </c:pt>
                <c:pt idx="861">
                  <c:v>35</c:v>
                </c:pt>
                <c:pt idx="862">
                  <c:v>13</c:v>
                </c:pt>
                <c:pt idx="863">
                  <c:v>42</c:v>
                </c:pt>
                <c:pt idx="864">
                  <c:v>5</c:v>
                </c:pt>
                <c:pt idx="865">
                  <c:v>23</c:v>
                </c:pt>
                <c:pt idx="866">
                  <c:v>11</c:v>
                </c:pt>
                <c:pt idx="867">
                  <c:v>23</c:v>
                </c:pt>
                <c:pt idx="868">
                  <c:v>2</c:v>
                </c:pt>
                <c:pt idx="869">
                  <c:v>33</c:v>
                </c:pt>
                <c:pt idx="870">
                  <c:v>6</c:v>
                </c:pt>
                <c:pt idx="871">
                  <c:v>45</c:v>
                </c:pt>
                <c:pt idx="872">
                  <c:v>25</c:v>
                </c:pt>
                <c:pt idx="873">
                  <c:v>24</c:v>
                </c:pt>
                <c:pt idx="874">
                  <c:v>10</c:v>
                </c:pt>
                <c:pt idx="875">
                  <c:v>7</c:v>
                </c:pt>
                <c:pt idx="876">
                  <c:v>1</c:v>
                </c:pt>
                <c:pt idx="877">
                  <c:v>45</c:v>
                </c:pt>
                <c:pt idx="878">
                  <c:v>37</c:v>
                </c:pt>
                <c:pt idx="879">
                  <c:v>14</c:v>
                </c:pt>
                <c:pt idx="880">
                  <c:v>25</c:v>
                </c:pt>
                <c:pt idx="881">
                  <c:v>18</c:v>
                </c:pt>
                <c:pt idx="882">
                  <c:v>37</c:v>
                </c:pt>
                <c:pt idx="883">
                  <c:v>30</c:v>
                </c:pt>
                <c:pt idx="884">
                  <c:v>34</c:v>
                </c:pt>
                <c:pt idx="885">
                  <c:v>49</c:v>
                </c:pt>
                <c:pt idx="886">
                  <c:v>48</c:v>
                </c:pt>
                <c:pt idx="887">
                  <c:v>33</c:v>
                </c:pt>
                <c:pt idx="888">
                  <c:v>44</c:v>
                </c:pt>
                <c:pt idx="889">
                  <c:v>50</c:v>
                </c:pt>
                <c:pt idx="890">
                  <c:v>47</c:v>
                </c:pt>
                <c:pt idx="891">
                  <c:v>24</c:v>
                </c:pt>
                <c:pt idx="892">
                  <c:v>43</c:v>
                </c:pt>
                <c:pt idx="893">
                  <c:v>14</c:v>
                </c:pt>
                <c:pt idx="894">
                  <c:v>3</c:v>
                </c:pt>
                <c:pt idx="895">
                  <c:v>33</c:v>
                </c:pt>
                <c:pt idx="896">
                  <c:v>38</c:v>
                </c:pt>
                <c:pt idx="897">
                  <c:v>46</c:v>
                </c:pt>
                <c:pt idx="898">
                  <c:v>19</c:v>
                </c:pt>
                <c:pt idx="899">
                  <c:v>20</c:v>
                </c:pt>
                <c:pt idx="900">
                  <c:v>42</c:v>
                </c:pt>
                <c:pt idx="901">
                  <c:v>34</c:v>
                </c:pt>
                <c:pt idx="902">
                  <c:v>5</c:v>
                </c:pt>
                <c:pt idx="903">
                  <c:v>3</c:v>
                </c:pt>
                <c:pt idx="904">
                  <c:v>46</c:v>
                </c:pt>
                <c:pt idx="905">
                  <c:v>16</c:v>
                </c:pt>
                <c:pt idx="906">
                  <c:v>21</c:v>
                </c:pt>
                <c:pt idx="907">
                  <c:v>34</c:v>
                </c:pt>
                <c:pt idx="908">
                  <c:v>9</c:v>
                </c:pt>
                <c:pt idx="909">
                  <c:v>36</c:v>
                </c:pt>
                <c:pt idx="910">
                  <c:v>22</c:v>
                </c:pt>
                <c:pt idx="911">
                  <c:v>2</c:v>
                </c:pt>
                <c:pt idx="912">
                  <c:v>32</c:v>
                </c:pt>
                <c:pt idx="913">
                  <c:v>29</c:v>
                </c:pt>
                <c:pt idx="914">
                  <c:v>27</c:v>
                </c:pt>
                <c:pt idx="915">
                  <c:v>33</c:v>
                </c:pt>
                <c:pt idx="916">
                  <c:v>16</c:v>
                </c:pt>
                <c:pt idx="917">
                  <c:v>11</c:v>
                </c:pt>
                <c:pt idx="918">
                  <c:v>11</c:v>
                </c:pt>
                <c:pt idx="919">
                  <c:v>17</c:v>
                </c:pt>
                <c:pt idx="920">
                  <c:v>37</c:v>
                </c:pt>
                <c:pt idx="921">
                  <c:v>18</c:v>
                </c:pt>
                <c:pt idx="922">
                  <c:v>13</c:v>
                </c:pt>
                <c:pt idx="923">
                  <c:v>7</c:v>
                </c:pt>
                <c:pt idx="924">
                  <c:v>37</c:v>
                </c:pt>
                <c:pt idx="925">
                  <c:v>8</c:v>
                </c:pt>
                <c:pt idx="926">
                  <c:v>11</c:v>
                </c:pt>
                <c:pt idx="927">
                  <c:v>8</c:v>
                </c:pt>
                <c:pt idx="928">
                  <c:v>31</c:v>
                </c:pt>
                <c:pt idx="929">
                  <c:v>26</c:v>
                </c:pt>
                <c:pt idx="930">
                  <c:v>20</c:v>
                </c:pt>
                <c:pt idx="931">
                  <c:v>24</c:v>
                </c:pt>
                <c:pt idx="932">
                  <c:v>45</c:v>
                </c:pt>
                <c:pt idx="933">
                  <c:v>33</c:v>
                </c:pt>
                <c:pt idx="934">
                  <c:v>21</c:v>
                </c:pt>
                <c:pt idx="935">
                  <c:v>2</c:v>
                </c:pt>
                <c:pt idx="936">
                  <c:v>28</c:v>
                </c:pt>
                <c:pt idx="937">
                  <c:v>18</c:v>
                </c:pt>
                <c:pt idx="938">
                  <c:v>21</c:v>
                </c:pt>
                <c:pt idx="939">
                  <c:v>24</c:v>
                </c:pt>
                <c:pt idx="940">
                  <c:v>15</c:v>
                </c:pt>
                <c:pt idx="941">
                  <c:v>38</c:v>
                </c:pt>
                <c:pt idx="942">
                  <c:v>38</c:v>
                </c:pt>
                <c:pt idx="943">
                  <c:v>13</c:v>
                </c:pt>
                <c:pt idx="944">
                  <c:v>39</c:v>
                </c:pt>
                <c:pt idx="945">
                  <c:v>8</c:v>
                </c:pt>
                <c:pt idx="946">
                  <c:v>4</c:v>
                </c:pt>
                <c:pt idx="947">
                  <c:v>6</c:v>
                </c:pt>
                <c:pt idx="948">
                  <c:v>11</c:v>
                </c:pt>
                <c:pt idx="949">
                  <c:v>49</c:v>
                </c:pt>
                <c:pt idx="950">
                  <c:v>30</c:v>
                </c:pt>
                <c:pt idx="951">
                  <c:v>34</c:v>
                </c:pt>
                <c:pt idx="952">
                  <c:v>28</c:v>
                </c:pt>
                <c:pt idx="953">
                  <c:v>36</c:v>
                </c:pt>
                <c:pt idx="954">
                  <c:v>18</c:v>
                </c:pt>
                <c:pt idx="955">
                  <c:v>4</c:v>
                </c:pt>
                <c:pt idx="956">
                  <c:v>42</c:v>
                </c:pt>
                <c:pt idx="957">
                  <c:v>11</c:v>
                </c:pt>
                <c:pt idx="958">
                  <c:v>31</c:v>
                </c:pt>
                <c:pt idx="959">
                  <c:v>12</c:v>
                </c:pt>
                <c:pt idx="960">
                  <c:v>20</c:v>
                </c:pt>
                <c:pt idx="961">
                  <c:v>37</c:v>
                </c:pt>
                <c:pt idx="962">
                  <c:v>26</c:v>
                </c:pt>
                <c:pt idx="963">
                  <c:v>14</c:v>
                </c:pt>
                <c:pt idx="964">
                  <c:v>12</c:v>
                </c:pt>
                <c:pt idx="965">
                  <c:v>10</c:v>
                </c:pt>
                <c:pt idx="966">
                  <c:v>19</c:v>
                </c:pt>
                <c:pt idx="967">
                  <c:v>4</c:v>
                </c:pt>
                <c:pt idx="968">
                  <c:v>48</c:v>
                </c:pt>
                <c:pt idx="969">
                  <c:v>37</c:v>
                </c:pt>
                <c:pt idx="970">
                  <c:v>4</c:v>
                </c:pt>
                <c:pt idx="971">
                  <c:v>15</c:v>
                </c:pt>
                <c:pt idx="972">
                  <c:v>33</c:v>
                </c:pt>
                <c:pt idx="973">
                  <c:v>30</c:v>
                </c:pt>
                <c:pt idx="974">
                  <c:v>23</c:v>
                </c:pt>
                <c:pt idx="975">
                  <c:v>2</c:v>
                </c:pt>
                <c:pt idx="976">
                  <c:v>50</c:v>
                </c:pt>
                <c:pt idx="977">
                  <c:v>34</c:v>
                </c:pt>
                <c:pt idx="978">
                  <c:v>33</c:v>
                </c:pt>
                <c:pt idx="979">
                  <c:v>34</c:v>
                </c:pt>
                <c:pt idx="980">
                  <c:v>39</c:v>
                </c:pt>
                <c:pt idx="981">
                  <c:v>47</c:v>
                </c:pt>
                <c:pt idx="982">
                  <c:v>37</c:v>
                </c:pt>
                <c:pt idx="983">
                  <c:v>40</c:v>
                </c:pt>
                <c:pt idx="984">
                  <c:v>8</c:v>
                </c:pt>
                <c:pt idx="985">
                  <c:v>12</c:v>
                </c:pt>
                <c:pt idx="986">
                  <c:v>36</c:v>
                </c:pt>
                <c:pt idx="987">
                  <c:v>48</c:v>
                </c:pt>
                <c:pt idx="988">
                  <c:v>47</c:v>
                </c:pt>
                <c:pt idx="989">
                  <c:v>2</c:v>
                </c:pt>
                <c:pt idx="990">
                  <c:v>24</c:v>
                </c:pt>
                <c:pt idx="991">
                  <c:v>40</c:v>
                </c:pt>
                <c:pt idx="992">
                  <c:v>50</c:v>
                </c:pt>
                <c:pt idx="993">
                  <c:v>25</c:v>
                </c:pt>
                <c:pt idx="994">
                  <c:v>20</c:v>
                </c:pt>
                <c:pt idx="995">
                  <c:v>10</c:v>
                </c:pt>
                <c:pt idx="996">
                  <c:v>32</c:v>
                </c:pt>
                <c:pt idx="997">
                  <c:v>31</c:v>
                </c:pt>
                <c:pt idx="998">
                  <c:v>48</c:v>
                </c:pt>
                <c:pt idx="999">
                  <c:v>23</c:v>
                </c:pt>
                <c:pt idx="1000">
                  <c:v>1</c:v>
                </c:pt>
                <c:pt idx="1001">
                  <c:v>4</c:v>
                </c:pt>
                <c:pt idx="1002">
                  <c:v>3</c:v>
                </c:pt>
                <c:pt idx="1003">
                  <c:v>3</c:v>
                </c:pt>
                <c:pt idx="1004">
                  <c:v>44</c:v>
                </c:pt>
                <c:pt idx="1005">
                  <c:v>5</c:v>
                </c:pt>
                <c:pt idx="1006">
                  <c:v>50</c:v>
                </c:pt>
                <c:pt idx="1007">
                  <c:v>2</c:v>
                </c:pt>
                <c:pt idx="1008">
                  <c:v>29</c:v>
                </c:pt>
                <c:pt idx="1009">
                  <c:v>11</c:v>
                </c:pt>
                <c:pt idx="1010">
                  <c:v>37</c:v>
                </c:pt>
                <c:pt idx="1011">
                  <c:v>32</c:v>
                </c:pt>
                <c:pt idx="1012">
                  <c:v>27</c:v>
                </c:pt>
                <c:pt idx="1013">
                  <c:v>31</c:v>
                </c:pt>
                <c:pt idx="1014">
                  <c:v>36</c:v>
                </c:pt>
                <c:pt idx="1015">
                  <c:v>34</c:v>
                </c:pt>
                <c:pt idx="1016">
                  <c:v>15</c:v>
                </c:pt>
                <c:pt idx="1017">
                  <c:v>14</c:v>
                </c:pt>
                <c:pt idx="1018">
                  <c:v>46</c:v>
                </c:pt>
                <c:pt idx="1019">
                  <c:v>33</c:v>
                </c:pt>
                <c:pt idx="1020">
                  <c:v>41</c:v>
                </c:pt>
                <c:pt idx="1021">
                  <c:v>39</c:v>
                </c:pt>
                <c:pt idx="1022">
                  <c:v>7</c:v>
                </c:pt>
                <c:pt idx="1023">
                  <c:v>29</c:v>
                </c:pt>
                <c:pt idx="1024">
                  <c:v>18</c:v>
                </c:pt>
                <c:pt idx="1025">
                  <c:v>15</c:v>
                </c:pt>
                <c:pt idx="1026">
                  <c:v>39</c:v>
                </c:pt>
                <c:pt idx="1027">
                  <c:v>11</c:v>
                </c:pt>
                <c:pt idx="1028">
                  <c:v>4</c:v>
                </c:pt>
                <c:pt idx="1029">
                  <c:v>33</c:v>
                </c:pt>
                <c:pt idx="1030">
                  <c:v>37</c:v>
                </c:pt>
                <c:pt idx="1031">
                  <c:v>32</c:v>
                </c:pt>
                <c:pt idx="1032">
                  <c:v>44</c:v>
                </c:pt>
                <c:pt idx="1033">
                  <c:v>41</c:v>
                </c:pt>
                <c:pt idx="1034">
                  <c:v>44</c:v>
                </c:pt>
                <c:pt idx="1035">
                  <c:v>32</c:v>
                </c:pt>
                <c:pt idx="1036">
                  <c:v>13</c:v>
                </c:pt>
                <c:pt idx="1037">
                  <c:v>48</c:v>
                </c:pt>
                <c:pt idx="1038">
                  <c:v>3</c:v>
                </c:pt>
                <c:pt idx="1039">
                  <c:v>39</c:v>
                </c:pt>
                <c:pt idx="1040">
                  <c:v>7</c:v>
                </c:pt>
                <c:pt idx="1041">
                  <c:v>11</c:v>
                </c:pt>
                <c:pt idx="1042">
                  <c:v>47</c:v>
                </c:pt>
                <c:pt idx="1043">
                  <c:v>28</c:v>
                </c:pt>
                <c:pt idx="1044">
                  <c:v>17</c:v>
                </c:pt>
                <c:pt idx="1045">
                  <c:v>11</c:v>
                </c:pt>
                <c:pt idx="1046">
                  <c:v>12</c:v>
                </c:pt>
                <c:pt idx="1047">
                  <c:v>7</c:v>
                </c:pt>
                <c:pt idx="1048">
                  <c:v>19</c:v>
                </c:pt>
                <c:pt idx="1049">
                  <c:v>24</c:v>
                </c:pt>
                <c:pt idx="1050">
                  <c:v>19</c:v>
                </c:pt>
                <c:pt idx="1051">
                  <c:v>39</c:v>
                </c:pt>
                <c:pt idx="1052">
                  <c:v>1</c:v>
                </c:pt>
                <c:pt idx="1053">
                  <c:v>10</c:v>
                </c:pt>
                <c:pt idx="1054">
                  <c:v>48</c:v>
                </c:pt>
                <c:pt idx="1055">
                  <c:v>24</c:v>
                </c:pt>
                <c:pt idx="1056">
                  <c:v>42</c:v>
                </c:pt>
                <c:pt idx="1057">
                  <c:v>20</c:v>
                </c:pt>
                <c:pt idx="1058">
                  <c:v>49</c:v>
                </c:pt>
                <c:pt idx="1059">
                  <c:v>25</c:v>
                </c:pt>
                <c:pt idx="1060">
                  <c:v>21</c:v>
                </c:pt>
                <c:pt idx="1061">
                  <c:v>12</c:v>
                </c:pt>
                <c:pt idx="1062">
                  <c:v>21</c:v>
                </c:pt>
                <c:pt idx="1063">
                  <c:v>35</c:v>
                </c:pt>
                <c:pt idx="1064">
                  <c:v>42</c:v>
                </c:pt>
                <c:pt idx="1065">
                  <c:v>3</c:v>
                </c:pt>
                <c:pt idx="1066">
                  <c:v>11</c:v>
                </c:pt>
                <c:pt idx="1067">
                  <c:v>22</c:v>
                </c:pt>
                <c:pt idx="1068">
                  <c:v>47</c:v>
                </c:pt>
                <c:pt idx="1069">
                  <c:v>33</c:v>
                </c:pt>
                <c:pt idx="1070">
                  <c:v>50</c:v>
                </c:pt>
                <c:pt idx="1071">
                  <c:v>46</c:v>
                </c:pt>
                <c:pt idx="1072">
                  <c:v>34</c:v>
                </c:pt>
                <c:pt idx="1073">
                  <c:v>33</c:v>
                </c:pt>
                <c:pt idx="1074">
                  <c:v>45</c:v>
                </c:pt>
                <c:pt idx="1075">
                  <c:v>32</c:v>
                </c:pt>
                <c:pt idx="1076">
                  <c:v>47</c:v>
                </c:pt>
                <c:pt idx="1077">
                  <c:v>5</c:v>
                </c:pt>
                <c:pt idx="1078">
                  <c:v>49</c:v>
                </c:pt>
                <c:pt idx="1079">
                  <c:v>48</c:v>
                </c:pt>
                <c:pt idx="1080">
                  <c:v>22</c:v>
                </c:pt>
                <c:pt idx="1081">
                  <c:v>45</c:v>
                </c:pt>
                <c:pt idx="1082">
                  <c:v>30</c:v>
                </c:pt>
                <c:pt idx="1083">
                  <c:v>43</c:v>
                </c:pt>
                <c:pt idx="1084">
                  <c:v>48</c:v>
                </c:pt>
                <c:pt idx="1085">
                  <c:v>23</c:v>
                </c:pt>
                <c:pt idx="1086">
                  <c:v>27</c:v>
                </c:pt>
                <c:pt idx="1087">
                  <c:v>7</c:v>
                </c:pt>
                <c:pt idx="1088">
                  <c:v>2</c:v>
                </c:pt>
                <c:pt idx="1089">
                  <c:v>33</c:v>
                </c:pt>
                <c:pt idx="1090">
                  <c:v>27</c:v>
                </c:pt>
                <c:pt idx="1091">
                  <c:v>6</c:v>
                </c:pt>
                <c:pt idx="1092">
                  <c:v>20</c:v>
                </c:pt>
                <c:pt idx="1093">
                  <c:v>46</c:v>
                </c:pt>
                <c:pt idx="1094">
                  <c:v>25</c:v>
                </c:pt>
                <c:pt idx="1095">
                  <c:v>30</c:v>
                </c:pt>
                <c:pt idx="1096">
                  <c:v>48</c:v>
                </c:pt>
                <c:pt idx="1097">
                  <c:v>47</c:v>
                </c:pt>
                <c:pt idx="1098">
                  <c:v>27</c:v>
                </c:pt>
                <c:pt idx="1099">
                  <c:v>45</c:v>
                </c:pt>
                <c:pt idx="1100">
                  <c:v>2</c:v>
                </c:pt>
                <c:pt idx="1101">
                  <c:v>39</c:v>
                </c:pt>
                <c:pt idx="1102">
                  <c:v>24</c:v>
                </c:pt>
                <c:pt idx="1103">
                  <c:v>8</c:v>
                </c:pt>
                <c:pt idx="1104">
                  <c:v>8</c:v>
                </c:pt>
                <c:pt idx="1105">
                  <c:v>6</c:v>
                </c:pt>
                <c:pt idx="1106">
                  <c:v>12</c:v>
                </c:pt>
                <c:pt idx="1107">
                  <c:v>26</c:v>
                </c:pt>
                <c:pt idx="1108">
                  <c:v>50</c:v>
                </c:pt>
                <c:pt idx="1109">
                  <c:v>2</c:v>
                </c:pt>
                <c:pt idx="1110">
                  <c:v>31</c:v>
                </c:pt>
                <c:pt idx="1111">
                  <c:v>4</c:v>
                </c:pt>
                <c:pt idx="1112">
                  <c:v>32</c:v>
                </c:pt>
                <c:pt idx="1113">
                  <c:v>11</c:v>
                </c:pt>
                <c:pt idx="1114">
                  <c:v>47</c:v>
                </c:pt>
                <c:pt idx="1115">
                  <c:v>37</c:v>
                </c:pt>
                <c:pt idx="1116">
                  <c:v>39</c:v>
                </c:pt>
                <c:pt idx="1117">
                  <c:v>24</c:v>
                </c:pt>
                <c:pt idx="1118">
                  <c:v>11</c:v>
                </c:pt>
                <c:pt idx="1119">
                  <c:v>36</c:v>
                </c:pt>
                <c:pt idx="1120">
                  <c:v>40</c:v>
                </c:pt>
                <c:pt idx="1121">
                  <c:v>25</c:v>
                </c:pt>
                <c:pt idx="1122">
                  <c:v>12</c:v>
                </c:pt>
                <c:pt idx="1123">
                  <c:v>38</c:v>
                </c:pt>
                <c:pt idx="1124">
                  <c:v>40</c:v>
                </c:pt>
                <c:pt idx="1125">
                  <c:v>10</c:v>
                </c:pt>
                <c:pt idx="1126">
                  <c:v>47</c:v>
                </c:pt>
                <c:pt idx="1127">
                  <c:v>22</c:v>
                </c:pt>
                <c:pt idx="1128">
                  <c:v>35</c:v>
                </c:pt>
                <c:pt idx="1129">
                  <c:v>46</c:v>
                </c:pt>
                <c:pt idx="1130">
                  <c:v>30</c:v>
                </c:pt>
                <c:pt idx="1131">
                  <c:v>20</c:v>
                </c:pt>
                <c:pt idx="1132">
                  <c:v>25</c:v>
                </c:pt>
                <c:pt idx="1133">
                  <c:v>29</c:v>
                </c:pt>
                <c:pt idx="1134">
                  <c:v>2</c:v>
                </c:pt>
                <c:pt idx="1135">
                  <c:v>32</c:v>
                </c:pt>
                <c:pt idx="1136">
                  <c:v>37</c:v>
                </c:pt>
                <c:pt idx="1137">
                  <c:v>16</c:v>
                </c:pt>
                <c:pt idx="1138">
                  <c:v>32</c:v>
                </c:pt>
                <c:pt idx="1139">
                  <c:v>42</c:v>
                </c:pt>
                <c:pt idx="1140">
                  <c:v>6</c:v>
                </c:pt>
                <c:pt idx="1141">
                  <c:v>23</c:v>
                </c:pt>
                <c:pt idx="1142">
                  <c:v>27</c:v>
                </c:pt>
                <c:pt idx="1143">
                  <c:v>43</c:v>
                </c:pt>
                <c:pt idx="1144">
                  <c:v>25</c:v>
                </c:pt>
                <c:pt idx="1145">
                  <c:v>30</c:v>
                </c:pt>
                <c:pt idx="1146">
                  <c:v>7</c:v>
                </c:pt>
                <c:pt idx="1147">
                  <c:v>17</c:v>
                </c:pt>
                <c:pt idx="1148">
                  <c:v>10</c:v>
                </c:pt>
                <c:pt idx="1149">
                  <c:v>40</c:v>
                </c:pt>
                <c:pt idx="1150">
                  <c:v>50</c:v>
                </c:pt>
                <c:pt idx="1151">
                  <c:v>24</c:v>
                </c:pt>
                <c:pt idx="1152">
                  <c:v>8</c:v>
                </c:pt>
                <c:pt idx="1153">
                  <c:v>6</c:v>
                </c:pt>
                <c:pt idx="1154">
                  <c:v>44</c:v>
                </c:pt>
                <c:pt idx="1155">
                  <c:v>47</c:v>
                </c:pt>
                <c:pt idx="1156">
                  <c:v>6</c:v>
                </c:pt>
                <c:pt idx="1157">
                  <c:v>11</c:v>
                </c:pt>
                <c:pt idx="1158">
                  <c:v>41</c:v>
                </c:pt>
                <c:pt idx="1159">
                  <c:v>46</c:v>
                </c:pt>
                <c:pt idx="1160">
                  <c:v>9</c:v>
                </c:pt>
                <c:pt idx="1161">
                  <c:v>37</c:v>
                </c:pt>
                <c:pt idx="1162">
                  <c:v>13</c:v>
                </c:pt>
                <c:pt idx="1163">
                  <c:v>24</c:v>
                </c:pt>
                <c:pt idx="1164">
                  <c:v>47</c:v>
                </c:pt>
                <c:pt idx="1165">
                  <c:v>21</c:v>
                </c:pt>
                <c:pt idx="1166">
                  <c:v>22</c:v>
                </c:pt>
                <c:pt idx="1167">
                  <c:v>16</c:v>
                </c:pt>
                <c:pt idx="1168">
                  <c:v>37</c:v>
                </c:pt>
                <c:pt idx="1169">
                  <c:v>3</c:v>
                </c:pt>
                <c:pt idx="1170">
                  <c:v>33</c:v>
                </c:pt>
                <c:pt idx="1171">
                  <c:v>15</c:v>
                </c:pt>
                <c:pt idx="1172">
                  <c:v>42</c:v>
                </c:pt>
                <c:pt idx="1173">
                  <c:v>42</c:v>
                </c:pt>
                <c:pt idx="1174">
                  <c:v>19</c:v>
                </c:pt>
                <c:pt idx="1175">
                  <c:v>26</c:v>
                </c:pt>
                <c:pt idx="1176">
                  <c:v>39</c:v>
                </c:pt>
                <c:pt idx="1177">
                  <c:v>24</c:v>
                </c:pt>
                <c:pt idx="1178">
                  <c:v>23</c:v>
                </c:pt>
                <c:pt idx="1179">
                  <c:v>44</c:v>
                </c:pt>
                <c:pt idx="1180">
                  <c:v>34</c:v>
                </c:pt>
                <c:pt idx="1181">
                  <c:v>43</c:v>
                </c:pt>
                <c:pt idx="1182">
                  <c:v>45</c:v>
                </c:pt>
                <c:pt idx="1183">
                  <c:v>4</c:v>
                </c:pt>
                <c:pt idx="1184">
                  <c:v>19</c:v>
                </c:pt>
                <c:pt idx="1185">
                  <c:v>29</c:v>
                </c:pt>
                <c:pt idx="1186">
                  <c:v>27</c:v>
                </c:pt>
                <c:pt idx="1187">
                  <c:v>37</c:v>
                </c:pt>
                <c:pt idx="1188">
                  <c:v>11</c:v>
                </c:pt>
                <c:pt idx="1189">
                  <c:v>28</c:v>
                </c:pt>
                <c:pt idx="1190">
                  <c:v>31</c:v>
                </c:pt>
                <c:pt idx="1191">
                  <c:v>50</c:v>
                </c:pt>
                <c:pt idx="1192">
                  <c:v>42</c:v>
                </c:pt>
                <c:pt idx="1193">
                  <c:v>18</c:v>
                </c:pt>
                <c:pt idx="1194">
                  <c:v>6</c:v>
                </c:pt>
                <c:pt idx="1195">
                  <c:v>33</c:v>
                </c:pt>
                <c:pt idx="1196">
                  <c:v>13</c:v>
                </c:pt>
                <c:pt idx="1197">
                  <c:v>26</c:v>
                </c:pt>
                <c:pt idx="1198">
                  <c:v>17</c:v>
                </c:pt>
                <c:pt idx="1199">
                  <c:v>3</c:v>
                </c:pt>
                <c:pt idx="1200">
                  <c:v>7</c:v>
                </c:pt>
                <c:pt idx="1201">
                  <c:v>46</c:v>
                </c:pt>
                <c:pt idx="1202">
                  <c:v>14</c:v>
                </c:pt>
                <c:pt idx="1203">
                  <c:v>23</c:v>
                </c:pt>
                <c:pt idx="1204">
                  <c:v>20</c:v>
                </c:pt>
                <c:pt idx="1205">
                  <c:v>38</c:v>
                </c:pt>
                <c:pt idx="1206">
                  <c:v>16</c:v>
                </c:pt>
                <c:pt idx="1207">
                  <c:v>48</c:v>
                </c:pt>
                <c:pt idx="1208">
                  <c:v>8</c:v>
                </c:pt>
                <c:pt idx="1209">
                  <c:v>16</c:v>
                </c:pt>
                <c:pt idx="1210">
                  <c:v>5</c:v>
                </c:pt>
                <c:pt idx="1211">
                  <c:v>14</c:v>
                </c:pt>
                <c:pt idx="1212">
                  <c:v>18</c:v>
                </c:pt>
                <c:pt idx="1213">
                  <c:v>14</c:v>
                </c:pt>
                <c:pt idx="1214">
                  <c:v>5</c:v>
                </c:pt>
                <c:pt idx="1215">
                  <c:v>15</c:v>
                </c:pt>
                <c:pt idx="1216">
                  <c:v>3</c:v>
                </c:pt>
                <c:pt idx="1217">
                  <c:v>12</c:v>
                </c:pt>
                <c:pt idx="1218">
                  <c:v>43</c:v>
                </c:pt>
                <c:pt idx="1219">
                  <c:v>35</c:v>
                </c:pt>
                <c:pt idx="1220">
                  <c:v>36</c:v>
                </c:pt>
                <c:pt idx="1221">
                  <c:v>3</c:v>
                </c:pt>
                <c:pt idx="1222">
                  <c:v>27</c:v>
                </c:pt>
                <c:pt idx="1223">
                  <c:v>21</c:v>
                </c:pt>
                <c:pt idx="1224">
                  <c:v>18</c:v>
                </c:pt>
                <c:pt idx="1225">
                  <c:v>16</c:v>
                </c:pt>
                <c:pt idx="1226">
                  <c:v>18</c:v>
                </c:pt>
                <c:pt idx="1227">
                  <c:v>19</c:v>
                </c:pt>
                <c:pt idx="1228">
                  <c:v>1</c:v>
                </c:pt>
                <c:pt idx="1229">
                  <c:v>39</c:v>
                </c:pt>
                <c:pt idx="1230">
                  <c:v>49</c:v>
                </c:pt>
                <c:pt idx="1231">
                  <c:v>43</c:v>
                </c:pt>
                <c:pt idx="1232">
                  <c:v>31</c:v>
                </c:pt>
                <c:pt idx="1233">
                  <c:v>40</c:v>
                </c:pt>
                <c:pt idx="1234">
                  <c:v>2</c:v>
                </c:pt>
                <c:pt idx="1235">
                  <c:v>46</c:v>
                </c:pt>
                <c:pt idx="1236">
                  <c:v>35</c:v>
                </c:pt>
                <c:pt idx="1237">
                  <c:v>42</c:v>
                </c:pt>
                <c:pt idx="1238">
                  <c:v>3</c:v>
                </c:pt>
                <c:pt idx="1239">
                  <c:v>32</c:v>
                </c:pt>
                <c:pt idx="1240">
                  <c:v>48</c:v>
                </c:pt>
                <c:pt idx="1241">
                  <c:v>34</c:v>
                </c:pt>
                <c:pt idx="1242">
                  <c:v>15</c:v>
                </c:pt>
                <c:pt idx="1243">
                  <c:v>22</c:v>
                </c:pt>
                <c:pt idx="1244">
                  <c:v>2</c:v>
                </c:pt>
                <c:pt idx="1245">
                  <c:v>30</c:v>
                </c:pt>
                <c:pt idx="1246">
                  <c:v>27</c:v>
                </c:pt>
                <c:pt idx="1247">
                  <c:v>18</c:v>
                </c:pt>
                <c:pt idx="1248">
                  <c:v>8</c:v>
                </c:pt>
                <c:pt idx="1249">
                  <c:v>48</c:v>
                </c:pt>
                <c:pt idx="1250">
                  <c:v>24</c:v>
                </c:pt>
                <c:pt idx="1251">
                  <c:v>43</c:v>
                </c:pt>
                <c:pt idx="1252">
                  <c:v>8</c:v>
                </c:pt>
                <c:pt idx="1253">
                  <c:v>49</c:v>
                </c:pt>
                <c:pt idx="1254">
                  <c:v>2</c:v>
                </c:pt>
                <c:pt idx="1255">
                  <c:v>38</c:v>
                </c:pt>
                <c:pt idx="1256">
                  <c:v>4</c:v>
                </c:pt>
                <c:pt idx="1257">
                  <c:v>31</c:v>
                </c:pt>
                <c:pt idx="1258">
                  <c:v>34</c:v>
                </c:pt>
                <c:pt idx="1259">
                  <c:v>45</c:v>
                </c:pt>
                <c:pt idx="1260">
                  <c:v>30</c:v>
                </c:pt>
                <c:pt idx="1261">
                  <c:v>2</c:v>
                </c:pt>
                <c:pt idx="1262">
                  <c:v>44</c:v>
                </c:pt>
                <c:pt idx="1263">
                  <c:v>1</c:v>
                </c:pt>
                <c:pt idx="1264">
                  <c:v>1</c:v>
                </c:pt>
                <c:pt idx="1265">
                  <c:v>27</c:v>
                </c:pt>
                <c:pt idx="1266">
                  <c:v>14</c:v>
                </c:pt>
                <c:pt idx="1267">
                  <c:v>41</c:v>
                </c:pt>
                <c:pt idx="1268">
                  <c:v>25</c:v>
                </c:pt>
                <c:pt idx="1269">
                  <c:v>47</c:v>
                </c:pt>
                <c:pt idx="1270">
                  <c:v>20</c:v>
                </c:pt>
                <c:pt idx="1271">
                  <c:v>42</c:v>
                </c:pt>
                <c:pt idx="1272">
                  <c:v>16</c:v>
                </c:pt>
                <c:pt idx="1273">
                  <c:v>32</c:v>
                </c:pt>
                <c:pt idx="1274">
                  <c:v>37</c:v>
                </c:pt>
                <c:pt idx="1275">
                  <c:v>1</c:v>
                </c:pt>
                <c:pt idx="1276">
                  <c:v>37</c:v>
                </c:pt>
                <c:pt idx="1277">
                  <c:v>5</c:v>
                </c:pt>
                <c:pt idx="1278">
                  <c:v>31</c:v>
                </c:pt>
                <c:pt idx="1279">
                  <c:v>18</c:v>
                </c:pt>
                <c:pt idx="1280">
                  <c:v>39</c:v>
                </c:pt>
                <c:pt idx="1281">
                  <c:v>8</c:v>
                </c:pt>
                <c:pt idx="1282">
                  <c:v>20</c:v>
                </c:pt>
                <c:pt idx="1283">
                  <c:v>23</c:v>
                </c:pt>
                <c:pt idx="1284">
                  <c:v>38</c:v>
                </c:pt>
                <c:pt idx="1285">
                  <c:v>45</c:v>
                </c:pt>
                <c:pt idx="1286">
                  <c:v>44</c:v>
                </c:pt>
                <c:pt idx="1287">
                  <c:v>20</c:v>
                </c:pt>
                <c:pt idx="1288">
                  <c:v>34</c:v>
                </c:pt>
                <c:pt idx="1289">
                  <c:v>10</c:v>
                </c:pt>
                <c:pt idx="1290">
                  <c:v>3</c:v>
                </c:pt>
                <c:pt idx="1291">
                  <c:v>23</c:v>
                </c:pt>
                <c:pt idx="1292">
                  <c:v>42</c:v>
                </c:pt>
                <c:pt idx="1293">
                  <c:v>30</c:v>
                </c:pt>
                <c:pt idx="1294">
                  <c:v>21</c:v>
                </c:pt>
                <c:pt idx="1295">
                  <c:v>50</c:v>
                </c:pt>
                <c:pt idx="1296">
                  <c:v>16</c:v>
                </c:pt>
                <c:pt idx="1297">
                  <c:v>32</c:v>
                </c:pt>
                <c:pt idx="1298">
                  <c:v>14</c:v>
                </c:pt>
                <c:pt idx="1299">
                  <c:v>42</c:v>
                </c:pt>
                <c:pt idx="1300">
                  <c:v>47</c:v>
                </c:pt>
                <c:pt idx="1301">
                  <c:v>21</c:v>
                </c:pt>
                <c:pt idx="1302">
                  <c:v>37</c:v>
                </c:pt>
                <c:pt idx="1303">
                  <c:v>10</c:v>
                </c:pt>
                <c:pt idx="1304">
                  <c:v>18</c:v>
                </c:pt>
                <c:pt idx="1305">
                  <c:v>2</c:v>
                </c:pt>
                <c:pt idx="1306">
                  <c:v>40</c:v>
                </c:pt>
                <c:pt idx="1307">
                  <c:v>43</c:v>
                </c:pt>
                <c:pt idx="1308">
                  <c:v>14</c:v>
                </c:pt>
                <c:pt idx="1309">
                  <c:v>41</c:v>
                </c:pt>
                <c:pt idx="1310">
                  <c:v>38</c:v>
                </c:pt>
                <c:pt idx="1311">
                  <c:v>12</c:v>
                </c:pt>
                <c:pt idx="1312">
                  <c:v>19</c:v>
                </c:pt>
                <c:pt idx="1313">
                  <c:v>23</c:v>
                </c:pt>
                <c:pt idx="1314">
                  <c:v>49</c:v>
                </c:pt>
                <c:pt idx="1315">
                  <c:v>29</c:v>
                </c:pt>
                <c:pt idx="1316">
                  <c:v>14</c:v>
                </c:pt>
                <c:pt idx="1317">
                  <c:v>19</c:v>
                </c:pt>
                <c:pt idx="1318">
                  <c:v>19</c:v>
                </c:pt>
                <c:pt idx="1319">
                  <c:v>48</c:v>
                </c:pt>
                <c:pt idx="1320">
                  <c:v>19</c:v>
                </c:pt>
                <c:pt idx="1321">
                  <c:v>45</c:v>
                </c:pt>
                <c:pt idx="1322">
                  <c:v>17</c:v>
                </c:pt>
                <c:pt idx="1323">
                  <c:v>15</c:v>
                </c:pt>
                <c:pt idx="1324">
                  <c:v>11</c:v>
                </c:pt>
                <c:pt idx="1325">
                  <c:v>1</c:v>
                </c:pt>
                <c:pt idx="1326">
                  <c:v>17</c:v>
                </c:pt>
                <c:pt idx="1327">
                  <c:v>37</c:v>
                </c:pt>
                <c:pt idx="1328">
                  <c:v>40</c:v>
                </c:pt>
                <c:pt idx="1329">
                  <c:v>50</c:v>
                </c:pt>
                <c:pt idx="1330">
                  <c:v>20</c:v>
                </c:pt>
                <c:pt idx="1331">
                  <c:v>8</c:v>
                </c:pt>
                <c:pt idx="1332">
                  <c:v>16</c:v>
                </c:pt>
                <c:pt idx="1333">
                  <c:v>9</c:v>
                </c:pt>
                <c:pt idx="1334">
                  <c:v>12</c:v>
                </c:pt>
                <c:pt idx="1335">
                  <c:v>26</c:v>
                </c:pt>
                <c:pt idx="1336">
                  <c:v>44</c:v>
                </c:pt>
                <c:pt idx="1337">
                  <c:v>19</c:v>
                </c:pt>
                <c:pt idx="1338">
                  <c:v>43</c:v>
                </c:pt>
                <c:pt idx="1339">
                  <c:v>5</c:v>
                </c:pt>
                <c:pt idx="1340">
                  <c:v>5</c:v>
                </c:pt>
                <c:pt idx="1341">
                  <c:v>31</c:v>
                </c:pt>
                <c:pt idx="1342">
                  <c:v>11</c:v>
                </c:pt>
                <c:pt idx="1343">
                  <c:v>34</c:v>
                </c:pt>
                <c:pt idx="1344">
                  <c:v>14</c:v>
                </c:pt>
                <c:pt idx="1345">
                  <c:v>42</c:v>
                </c:pt>
                <c:pt idx="1346">
                  <c:v>15</c:v>
                </c:pt>
                <c:pt idx="1347">
                  <c:v>47</c:v>
                </c:pt>
                <c:pt idx="1348">
                  <c:v>23</c:v>
                </c:pt>
                <c:pt idx="1349">
                  <c:v>23</c:v>
                </c:pt>
                <c:pt idx="1350">
                  <c:v>1</c:v>
                </c:pt>
                <c:pt idx="1351">
                  <c:v>28</c:v>
                </c:pt>
                <c:pt idx="1352">
                  <c:v>37</c:v>
                </c:pt>
                <c:pt idx="1353">
                  <c:v>4</c:v>
                </c:pt>
                <c:pt idx="1354">
                  <c:v>21</c:v>
                </c:pt>
                <c:pt idx="1355">
                  <c:v>50</c:v>
                </c:pt>
                <c:pt idx="1356">
                  <c:v>34</c:v>
                </c:pt>
                <c:pt idx="1357">
                  <c:v>20</c:v>
                </c:pt>
                <c:pt idx="1358">
                  <c:v>25</c:v>
                </c:pt>
                <c:pt idx="1359">
                  <c:v>26</c:v>
                </c:pt>
                <c:pt idx="1360">
                  <c:v>4</c:v>
                </c:pt>
                <c:pt idx="1361">
                  <c:v>39</c:v>
                </c:pt>
                <c:pt idx="1362">
                  <c:v>29</c:v>
                </c:pt>
                <c:pt idx="1363">
                  <c:v>47</c:v>
                </c:pt>
                <c:pt idx="1364">
                  <c:v>5</c:v>
                </c:pt>
                <c:pt idx="1365">
                  <c:v>18</c:v>
                </c:pt>
                <c:pt idx="1366">
                  <c:v>10</c:v>
                </c:pt>
                <c:pt idx="1367">
                  <c:v>25</c:v>
                </c:pt>
                <c:pt idx="1368">
                  <c:v>2</c:v>
                </c:pt>
                <c:pt idx="1369">
                  <c:v>48</c:v>
                </c:pt>
                <c:pt idx="1370">
                  <c:v>41</c:v>
                </c:pt>
                <c:pt idx="1371">
                  <c:v>42</c:v>
                </c:pt>
                <c:pt idx="1372">
                  <c:v>44</c:v>
                </c:pt>
                <c:pt idx="1373">
                  <c:v>6</c:v>
                </c:pt>
                <c:pt idx="1374">
                  <c:v>5</c:v>
                </c:pt>
                <c:pt idx="1375">
                  <c:v>8</c:v>
                </c:pt>
                <c:pt idx="1376">
                  <c:v>24</c:v>
                </c:pt>
                <c:pt idx="1377">
                  <c:v>42</c:v>
                </c:pt>
                <c:pt idx="1378">
                  <c:v>24</c:v>
                </c:pt>
                <c:pt idx="1379">
                  <c:v>38</c:v>
                </c:pt>
                <c:pt idx="1380">
                  <c:v>41</c:v>
                </c:pt>
                <c:pt idx="1381">
                  <c:v>48</c:v>
                </c:pt>
                <c:pt idx="1382">
                  <c:v>16</c:v>
                </c:pt>
                <c:pt idx="1383">
                  <c:v>4</c:v>
                </c:pt>
                <c:pt idx="1384">
                  <c:v>8</c:v>
                </c:pt>
                <c:pt idx="1385">
                  <c:v>1</c:v>
                </c:pt>
                <c:pt idx="1386">
                  <c:v>4</c:v>
                </c:pt>
                <c:pt idx="1387">
                  <c:v>20</c:v>
                </c:pt>
                <c:pt idx="1388">
                  <c:v>40</c:v>
                </c:pt>
                <c:pt idx="1389">
                  <c:v>8</c:v>
                </c:pt>
                <c:pt idx="1390">
                  <c:v>42</c:v>
                </c:pt>
                <c:pt idx="1391">
                  <c:v>38</c:v>
                </c:pt>
                <c:pt idx="1392">
                  <c:v>34</c:v>
                </c:pt>
                <c:pt idx="1393">
                  <c:v>14</c:v>
                </c:pt>
                <c:pt idx="1394">
                  <c:v>39</c:v>
                </c:pt>
                <c:pt idx="1395">
                  <c:v>40</c:v>
                </c:pt>
                <c:pt idx="1396">
                  <c:v>49</c:v>
                </c:pt>
                <c:pt idx="1397">
                  <c:v>33</c:v>
                </c:pt>
                <c:pt idx="1398">
                  <c:v>25</c:v>
                </c:pt>
                <c:pt idx="1399">
                  <c:v>48</c:v>
                </c:pt>
                <c:pt idx="1400">
                  <c:v>22</c:v>
                </c:pt>
                <c:pt idx="1401">
                  <c:v>1</c:v>
                </c:pt>
                <c:pt idx="1402">
                  <c:v>47</c:v>
                </c:pt>
                <c:pt idx="1403">
                  <c:v>20</c:v>
                </c:pt>
                <c:pt idx="1404">
                  <c:v>10</c:v>
                </c:pt>
                <c:pt idx="1405">
                  <c:v>39</c:v>
                </c:pt>
                <c:pt idx="1406">
                  <c:v>15</c:v>
                </c:pt>
                <c:pt idx="1407">
                  <c:v>11</c:v>
                </c:pt>
                <c:pt idx="1408">
                  <c:v>38</c:v>
                </c:pt>
                <c:pt idx="1409">
                  <c:v>41</c:v>
                </c:pt>
                <c:pt idx="1410">
                  <c:v>18</c:v>
                </c:pt>
                <c:pt idx="1411">
                  <c:v>13</c:v>
                </c:pt>
                <c:pt idx="1412">
                  <c:v>43</c:v>
                </c:pt>
                <c:pt idx="1413">
                  <c:v>12</c:v>
                </c:pt>
                <c:pt idx="1414">
                  <c:v>3</c:v>
                </c:pt>
                <c:pt idx="1415">
                  <c:v>12</c:v>
                </c:pt>
                <c:pt idx="1416">
                  <c:v>46</c:v>
                </c:pt>
                <c:pt idx="1417">
                  <c:v>21</c:v>
                </c:pt>
                <c:pt idx="1418">
                  <c:v>23</c:v>
                </c:pt>
                <c:pt idx="1419">
                  <c:v>4</c:v>
                </c:pt>
                <c:pt idx="1420">
                  <c:v>45</c:v>
                </c:pt>
                <c:pt idx="1421">
                  <c:v>24</c:v>
                </c:pt>
                <c:pt idx="1422">
                  <c:v>3</c:v>
                </c:pt>
                <c:pt idx="1423">
                  <c:v>12</c:v>
                </c:pt>
                <c:pt idx="1424">
                  <c:v>34</c:v>
                </c:pt>
                <c:pt idx="1425">
                  <c:v>39</c:v>
                </c:pt>
                <c:pt idx="1426">
                  <c:v>35</c:v>
                </c:pt>
                <c:pt idx="1427">
                  <c:v>8</c:v>
                </c:pt>
                <c:pt idx="1428">
                  <c:v>42</c:v>
                </c:pt>
                <c:pt idx="1429">
                  <c:v>6</c:v>
                </c:pt>
                <c:pt idx="1430">
                  <c:v>3</c:v>
                </c:pt>
                <c:pt idx="1431">
                  <c:v>29</c:v>
                </c:pt>
                <c:pt idx="1432">
                  <c:v>32</c:v>
                </c:pt>
                <c:pt idx="1433">
                  <c:v>45</c:v>
                </c:pt>
                <c:pt idx="1434">
                  <c:v>21</c:v>
                </c:pt>
                <c:pt idx="1435">
                  <c:v>41</c:v>
                </c:pt>
                <c:pt idx="1436">
                  <c:v>23</c:v>
                </c:pt>
                <c:pt idx="1437">
                  <c:v>14</c:v>
                </c:pt>
                <c:pt idx="1438">
                  <c:v>24</c:v>
                </c:pt>
                <c:pt idx="1439">
                  <c:v>25</c:v>
                </c:pt>
                <c:pt idx="1440">
                  <c:v>13</c:v>
                </c:pt>
                <c:pt idx="1441">
                  <c:v>3</c:v>
                </c:pt>
                <c:pt idx="1442">
                  <c:v>42</c:v>
                </c:pt>
                <c:pt idx="1443">
                  <c:v>2</c:v>
                </c:pt>
                <c:pt idx="1444">
                  <c:v>26</c:v>
                </c:pt>
                <c:pt idx="1445">
                  <c:v>24</c:v>
                </c:pt>
                <c:pt idx="1446">
                  <c:v>6</c:v>
                </c:pt>
                <c:pt idx="1447">
                  <c:v>25</c:v>
                </c:pt>
                <c:pt idx="1448">
                  <c:v>11</c:v>
                </c:pt>
                <c:pt idx="1449">
                  <c:v>20</c:v>
                </c:pt>
                <c:pt idx="1450">
                  <c:v>25</c:v>
                </c:pt>
                <c:pt idx="1451">
                  <c:v>35</c:v>
                </c:pt>
                <c:pt idx="1452">
                  <c:v>11</c:v>
                </c:pt>
                <c:pt idx="1453">
                  <c:v>41</c:v>
                </c:pt>
                <c:pt idx="1454">
                  <c:v>17</c:v>
                </c:pt>
                <c:pt idx="1455">
                  <c:v>1</c:v>
                </c:pt>
                <c:pt idx="1456">
                  <c:v>30</c:v>
                </c:pt>
                <c:pt idx="1457">
                  <c:v>47</c:v>
                </c:pt>
                <c:pt idx="1458">
                  <c:v>34</c:v>
                </c:pt>
                <c:pt idx="1459">
                  <c:v>18</c:v>
                </c:pt>
                <c:pt idx="1460">
                  <c:v>33</c:v>
                </c:pt>
                <c:pt idx="1461">
                  <c:v>42</c:v>
                </c:pt>
                <c:pt idx="1462">
                  <c:v>2</c:v>
                </c:pt>
                <c:pt idx="1463">
                  <c:v>1</c:v>
                </c:pt>
                <c:pt idx="1464">
                  <c:v>23</c:v>
                </c:pt>
                <c:pt idx="1465">
                  <c:v>42</c:v>
                </c:pt>
                <c:pt idx="1466">
                  <c:v>3</c:v>
                </c:pt>
                <c:pt idx="1467">
                  <c:v>16</c:v>
                </c:pt>
                <c:pt idx="1468">
                  <c:v>46</c:v>
                </c:pt>
                <c:pt idx="1469">
                  <c:v>31</c:v>
                </c:pt>
                <c:pt idx="1470">
                  <c:v>15</c:v>
                </c:pt>
                <c:pt idx="1471">
                  <c:v>48</c:v>
                </c:pt>
                <c:pt idx="1472">
                  <c:v>11</c:v>
                </c:pt>
                <c:pt idx="1473">
                  <c:v>20</c:v>
                </c:pt>
                <c:pt idx="1474">
                  <c:v>6</c:v>
                </c:pt>
                <c:pt idx="1475">
                  <c:v>24</c:v>
                </c:pt>
                <c:pt idx="1476">
                  <c:v>18</c:v>
                </c:pt>
                <c:pt idx="1477">
                  <c:v>1</c:v>
                </c:pt>
                <c:pt idx="1478">
                  <c:v>13</c:v>
                </c:pt>
                <c:pt idx="1479">
                  <c:v>2</c:v>
                </c:pt>
                <c:pt idx="1480">
                  <c:v>26</c:v>
                </c:pt>
                <c:pt idx="1481">
                  <c:v>31</c:v>
                </c:pt>
                <c:pt idx="1482">
                  <c:v>43</c:v>
                </c:pt>
                <c:pt idx="1483">
                  <c:v>12</c:v>
                </c:pt>
                <c:pt idx="1484">
                  <c:v>22</c:v>
                </c:pt>
                <c:pt idx="1485">
                  <c:v>3</c:v>
                </c:pt>
                <c:pt idx="1486">
                  <c:v>23</c:v>
                </c:pt>
                <c:pt idx="1487">
                  <c:v>26</c:v>
                </c:pt>
                <c:pt idx="1488">
                  <c:v>37</c:v>
                </c:pt>
                <c:pt idx="1489">
                  <c:v>42</c:v>
                </c:pt>
                <c:pt idx="1490">
                  <c:v>15</c:v>
                </c:pt>
                <c:pt idx="1491">
                  <c:v>10</c:v>
                </c:pt>
                <c:pt idx="1492">
                  <c:v>3</c:v>
                </c:pt>
                <c:pt idx="1493">
                  <c:v>44</c:v>
                </c:pt>
                <c:pt idx="1494">
                  <c:v>23</c:v>
                </c:pt>
                <c:pt idx="1495">
                  <c:v>6</c:v>
                </c:pt>
                <c:pt idx="1496">
                  <c:v>9</c:v>
                </c:pt>
                <c:pt idx="1497">
                  <c:v>16</c:v>
                </c:pt>
                <c:pt idx="1498">
                  <c:v>46</c:v>
                </c:pt>
                <c:pt idx="1499">
                  <c:v>24</c:v>
                </c:pt>
                <c:pt idx="1500">
                  <c:v>22</c:v>
                </c:pt>
                <c:pt idx="1501">
                  <c:v>13</c:v>
                </c:pt>
                <c:pt idx="1502">
                  <c:v>20</c:v>
                </c:pt>
                <c:pt idx="1503">
                  <c:v>46</c:v>
                </c:pt>
                <c:pt idx="1504">
                  <c:v>10</c:v>
                </c:pt>
                <c:pt idx="1505">
                  <c:v>39</c:v>
                </c:pt>
                <c:pt idx="1506">
                  <c:v>44</c:v>
                </c:pt>
                <c:pt idx="1507">
                  <c:v>7</c:v>
                </c:pt>
                <c:pt idx="1508">
                  <c:v>3</c:v>
                </c:pt>
                <c:pt idx="1509">
                  <c:v>44</c:v>
                </c:pt>
                <c:pt idx="1510">
                  <c:v>31</c:v>
                </c:pt>
                <c:pt idx="1511">
                  <c:v>48</c:v>
                </c:pt>
                <c:pt idx="1512">
                  <c:v>18</c:v>
                </c:pt>
                <c:pt idx="1513">
                  <c:v>27</c:v>
                </c:pt>
                <c:pt idx="1514">
                  <c:v>1</c:v>
                </c:pt>
                <c:pt idx="1515">
                  <c:v>34</c:v>
                </c:pt>
                <c:pt idx="1516">
                  <c:v>5</c:v>
                </c:pt>
                <c:pt idx="1517">
                  <c:v>12</c:v>
                </c:pt>
                <c:pt idx="1518">
                  <c:v>14</c:v>
                </c:pt>
                <c:pt idx="1519">
                  <c:v>40</c:v>
                </c:pt>
                <c:pt idx="1520">
                  <c:v>39</c:v>
                </c:pt>
                <c:pt idx="1521">
                  <c:v>50</c:v>
                </c:pt>
                <c:pt idx="1522">
                  <c:v>5</c:v>
                </c:pt>
                <c:pt idx="1523">
                  <c:v>35</c:v>
                </c:pt>
                <c:pt idx="1524">
                  <c:v>6</c:v>
                </c:pt>
                <c:pt idx="1525">
                  <c:v>22</c:v>
                </c:pt>
                <c:pt idx="1526">
                  <c:v>27</c:v>
                </c:pt>
                <c:pt idx="1527">
                  <c:v>33</c:v>
                </c:pt>
                <c:pt idx="1528">
                  <c:v>47</c:v>
                </c:pt>
                <c:pt idx="1529">
                  <c:v>48</c:v>
                </c:pt>
                <c:pt idx="1530">
                  <c:v>22</c:v>
                </c:pt>
                <c:pt idx="1531">
                  <c:v>8</c:v>
                </c:pt>
                <c:pt idx="1532">
                  <c:v>5</c:v>
                </c:pt>
                <c:pt idx="1533">
                  <c:v>16</c:v>
                </c:pt>
                <c:pt idx="1534">
                  <c:v>26</c:v>
                </c:pt>
                <c:pt idx="1535">
                  <c:v>8</c:v>
                </c:pt>
                <c:pt idx="1536">
                  <c:v>17</c:v>
                </c:pt>
                <c:pt idx="1537">
                  <c:v>50</c:v>
                </c:pt>
                <c:pt idx="1538">
                  <c:v>22</c:v>
                </c:pt>
                <c:pt idx="1539">
                  <c:v>19</c:v>
                </c:pt>
                <c:pt idx="1540">
                  <c:v>14</c:v>
                </c:pt>
                <c:pt idx="1541">
                  <c:v>35</c:v>
                </c:pt>
                <c:pt idx="1542">
                  <c:v>43</c:v>
                </c:pt>
                <c:pt idx="1543">
                  <c:v>24</c:v>
                </c:pt>
                <c:pt idx="1544">
                  <c:v>17</c:v>
                </c:pt>
                <c:pt idx="1545">
                  <c:v>49</c:v>
                </c:pt>
                <c:pt idx="1546">
                  <c:v>17</c:v>
                </c:pt>
                <c:pt idx="1547">
                  <c:v>40</c:v>
                </c:pt>
                <c:pt idx="1548">
                  <c:v>43</c:v>
                </c:pt>
                <c:pt idx="1549">
                  <c:v>19</c:v>
                </c:pt>
                <c:pt idx="1550">
                  <c:v>40</c:v>
                </c:pt>
                <c:pt idx="1551">
                  <c:v>13</c:v>
                </c:pt>
                <c:pt idx="1552">
                  <c:v>20</c:v>
                </c:pt>
                <c:pt idx="1553">
                  <c:v>21</c:v>
                </c:pt>
                <c:pt idx="1554">
                  <c:v>18</c:v>
                </c:pt>
                <c:pt idx="1555">
                  <c:v>44</c:v>
                </c:pt>
                <c:pt idx="1556">
                  <c:v>26</c:v>
                </c:pt>
                <c:pt idx="1557">
                  <c:v>34</c:v>
                </c:pt>
                <c:pt idx="1558">
                  <c:v>24</c:v>
                </c:pt>
                <c:pt idx="1559">
                  <c:v>23</c:v>
                </c:pt>
                <c:pt idx="1560">
                  <c:v>3</c:v>
                </c:pt>
                <c:pt idx="1561">
                  <c:v>2</c:v>
                </c:pt>
                <c:pt idx="1562">
                  <c:v>23</c:v>
                </c:pt>
                <c:pt idx="1563">
                  <c:v>8</c:v>
                </c:pt>
                <c:pt idx="1564">
                  <c:v>30</c:v>
                </c:pt>
                <c:pt idx="1565">
                  <c:v>48</c:v>
                </c:pt>
                <c:pt idx="1566">
                  <c:v>21</c:v>
                </c:pt>
                <c:pt idx="1567">
                  <c:v>9</c:v>
                </c:pt>
                <c:pt idx="1568">
                  <c:v>8</c:v>
                </c:pt>
                <c:pt idx="1569">
                  <c:v>29</c:v>
                </c:pt>
                <c:pt idx="1570">
                  <c:v>3</c:v>
                </c:pt>
                <c:pt idx="1571">
                  <c:v>11</c:v>
                </c:pt>
                <c:pt idx="1572">
                  <c:v>16</c:v>
                </c:pt>
                <c:pt idx="1573">
                  <c:v>25</c:v>
                </c:pt>
                <c:pt idx="1574">
                  <c:v>32</c:v>
                </c:pt>
                <c:pt idx="1575">
                  <c:v>28</c:v>
                </c:pt>
                <c:pt idx="1576">
                  <c:v>36</c:v>
                </c:pt>
                <c:pt idx="1577">
                  <c:v>7</c:v>
                </c:pt>
                <c:pt idx="1578">
                  <c:v>2</c:v>
                </c:pt>
                <c:pt idx="1579">
                  <c:v>6</c:v>
                </c:pt>
                <c:pt idx="1580">
                  <c:v>30</c:v>
                </c:pt>
                <c:pt idx="1581">
                  <c:v>46</c:v>
                </c:pt>
                <c:pt idx="1582">
                  <c:v>39</c:v>
                </c:pt>
                <c:pt idx="1583">
                  <c:v>8</c:v>
                </c:pt>
                <c:pt idx="1584">
                  <c:v>46</c:v>
                </c:pt>
                <c:pt idx="1585">
                  <c:v>40</c:v>
                </c:pt>
                <c:pt idx="1586">
                  <c:v>21</c:v>
                </c:pt>
                <c:pt idx="1587">
                  <c:v>33</c:v>
                </c:pt>
                <c:pt idx="1588">
                  <c:v>3</c:v>
                </c:pt>
                <c:pt idx="1589">
                  <c:v>48</c:v>
                </c:pt>
                <c:pt idx="1590">
                  <c:v>8</c:v>
                </c:pt>
                <c:pt idx="1591">
                  <c:v>24</c:v>
                </c:pt>
                <c:pt idx="1592">
                  <c:v>10</c:v>
                </c:pt>
                <c:pt idx="1593">
                  <c:v>25</c:v>
                </c:pt>
                <c:pt idx="1594">
                  <c:v>3</c:v>
                </c:pt>
                <c:pt idx="1595">
                  <c:v>45</c:v>
                </c:pt>
                <c:pt idx="1596">
                  <c:v>15</c:v>
                </c:pt>
                <c:pt idx="1597">
                  <c:v>34</c:v>
                </c:pt>
                <c:pt idx="1598">
                  <c:v>21</c:v>
                </c:pt>
                <c:pt idx="1599">
                  <c:v>22</c:v>
                </c:pt>
                <c:pt idx="1600">
                  <c:v>24</c:v>
                </c:pt>
                <c:pt idx="1601">
                  <c:v>33</c:v>
                </c:pt>
                <c:pt idx="1602">
                  <c:v>13</c:v>
                </c:pt>
                <c:pt idx="1603">
                  <c:v>17</c:v>
                </c:pt>
                <c:pt idx="1604">
                  <c:v>25</c:v>
                </c:pt>
                <c:pt idx="1605">
                  <c:v>15</c:v>
                </c:pt>
                <c:pt idx="1606">
                  <c:v>4</c:v>
                </c:pt>
                <c:pt idx="1607">
                  <c:v>43</c:v>
                </c:pt>
                <c:pt idx="1608">
                  <c:v>12</c:v>
                </c:pt>
                <c:pt idx="1609">
                  <c:v>3</c:v>
                </c:pt>
                <c:pt idx="1610">
                  <c:v>1</c:v>
                </c:pt>
                <c:pt idx="1611">
                  <c:v>6</c:v>
                </c:pt>
                <c:pt idx="1612">
                  <c:v>26</c:v>
                </c:pt>
                <c:pt idx="1613">
                  <c:v>6</c:v>
                </c:pt>
                <c:pt idx="1614">
                  <c:v>22</c:v>
                </c:pt>
                <c:pt idx="1615">
                  <c:v>45</c:v>
                </c:pt>
                <c:pt idx="1616">
                  <c:v>50</c:v>
                </c:pt>
                <c:pt idx="1617">
                  <c:v>50</c:v>
                </c:pt>
                <c:pt idx="1618">
                  <c:v>39</c:v>
                </c:pt>
                <c:pt idx="1619">
                  <c:v>50</c:v>
                </c:pt>
                <c:pt idx="1620">
                  <c:v>27</c:v>
                </c:pt>
                <c:pt idx="1621">
                  <c:v>38</c:v>
                </c:pt>
                <c:pt idx="1622">
                  <c:v>37</c:v>
                </c:pt>
                <c:pt idx="1623">
                  <c:v>50</c:v>
                </c:pt>
                <c:pt idx="1624">
                  <c:v>40</c:v>
                </c:pt>
                <c:pt idx="1625">
                  <c:v>3</c:v>
                </c:pt>
                <c:pt idx="1626">
                  <c:v>45</c:v>
                </c:pt>
                <c:pt idx="1627">
                  <c:v>8</c:v>
                </c:pt>
                <c:pt idx="1628">
                  <c:v>7</c:v>
                </c:pt>
                <c:pt idx="1629">
                  <c:v>13</c:v>
                </c:pt>
                <c:pt idx="1630">
                  <c:v>29</c:v>
                </c:pt>
                <c:pt idx="1631">
                  <c:v>7</c:v>
                </c:pt>
                <c:pt idx="1632">
                  <c:v>50</c:v>
                </c:pt>
                <c:pt idx="1633">
                  <c:v>33</c:v>
                </c:pt>
                <c:pt idx="1634">
                  <c:v>30</c:v>
                </c:pt>
                <c:pt idx="1635">
                  <c:v>40</c:v>
                </c:pt>
                <c:pt idx="1636">
                  <c:v>49</c:v>
                </c:pt>
                <c:pt idx="1637">
                  <c:v>32</c:v>
                </c:pt>
                <c:pt idx="1638">
                  <c:v>18</c:v>
                </c:pt>
                <c:pt idx="1639">
                  <c:v>50</c:v>
                </c:pt>
                <c:pt idx="1640">
                  <c:v>13</c:v>
                </c:pt>
                <c:pt idx="1641">
                  <c:v>1</c:v>
                </c:pt>
                <c:pt idx="1642">
                  <c:v>16</c:v>
                </c:pt>
                <c:pt idx="1643">
                  <c:v>6</c:v>
                </c:pt>
                <c:pt idx="1644">
                  <c:v>21</c:v>
                </c:pt>
                <c:pt idx="1645">
                  <c:v>36</c:v>
                </c:pt>
                <c:pt idx="1646">
                  <c:v>20</c:v>
                </c:pt>
                <c:pt idx="1647">
                  <c:v>8</c:v>
                </c:pt>
                <c:pt idx="1648">
                  <c:v>22</c:v>
                </c:pt>
                <c:pt idx="1649">
                  <c:v>3</c:v>
                </c:pt>
                <c:pt idx="1650">
                  <c:v>46</c:v>
                </c:pt>
                <c:pt idx="1651">
                  <c:v>42</c:v>
                </c:pt>
                <c:pt idx="1652">
                  <c:v>1</c:v>
                </c:pt>
                <c:pt idx="1653">
                  <c:v>29</c:v>
                </c:pt>
                <c:pt idx="1654">
                  <c:v>14</c:v>
                </c:pt>
                <c:pt idx="1655">
                  <c:v>4</c:v>
                </c:pt>
                <c:pt idx="1656">
                  <c:v>41</c:v>
                </c:pt>
                <c:pt idx="1657">
                  <c:v>4</c:v>
                </c:pt>
                <c:pt idx="1658">
                  <c:v>47</c:v>
                </c:pt>
                <c:pt idx="1659">
                  <c:v>44</c:v>
                </c:pt>
                <c:pt idx="1660">
                  <c:v>37</c:v>
                </c:pt>
                <c:pt idx="1661">
                  <c:v>21</c:v>
                </c:pt>
                <c:pt idx="1662">
                  <c:v>46</c:v>
                </c:pt>
                <c:pt idx="1663">
                  <c:v>1</c:v>
                </c:pt>
                <c:pt idx="1664">
                  <c:v>35</c:v>
                </c:pt>
                <c:pt idx="1665">
                  <c:v>49</c:v>
                </c:pt>
                <c:pt idx="1666">
                  <c:v>47</c:v>
                </c:pt>
                <c:pt idx="1667">
                  <c:v>24</c:v>
                </c:pt>
                <c:pt idx="1668">
                  <c:v>28</c:v>
                </c:pt>
                <c:pt idx="1669">
                  <c:v>22</c:v>
                </c:pt>
                <c:pt idx="1670">
                  <c:v>20</c:v>
                </c:pt>
                <c:pt idx="1671">
                  <c:v>25</c:v>
                </c:pt>
                <c:pt idx="1672">
                  <c:v>15</c:v>
                </c:pt>
                <c:pt idx="1673">
                  <c:v>49</c:v>
                </c:pt>
                <c:pt idx="1674">
                  <c:v>10</c:v>
                </c:pt>
                <c:pt idx="1675">
                  <c:v>21</c:v>
                </c:pt>
                <c:pt idx="1676">
                  <c:v>34</c:v>
                </c:pt>
                <c:pt idx="1677">
                  <c:v>41</c:v>
                </c:pt>
                <c:pt idx="1678">
                  <c:v>30</c:v>
                </c:pt>
                <c:pt idx="1679">
                  <c:v>24</c:v>
                </c:pt>
                <c:pt idx="1680">
                  <c:v>6</c:v>
                </c:pt>
                <c:pt idx="1681">
                  <c:v>14</c:v>
                </c:pt>
                <c:pt idx="1682">
                  <c:v>37</c:v>
                </c:pt>
                <c:pt idx="1683">
                  <c:v>37</c:v>
                </c:pt>
                <c:pt idx="1684">
                  <c:v>28</c:v>
                </c:pt>
                <c:pt idx="1685">
                  <c:v>43</c:v>
                </c:pt>
                <c:pt idx="1686">
                  <c:v>25</c:v>
                </c:pt>
                <c:pt idx="1687">
                  <c:v>4</c:v>
                </c:pt>
                <c:pt idx="1688">
                  <c:v>13</c:v>
                </c:pt>
                <c:pt idx="1689">
                  <c:v>32</c:v>
                </c:pt>
                <c:pt idx="1690">
                  <c:v>1</c:v>
                </c:pt>
                <c:pt idx="1691">
                  <c:v>4</c:v>
                </c:pt>
                <c:pt idx="1692">
                  <c:v>33</c:v>
                </c:pt>
                <c:pt idx="1693">
                  <c:v>45</c:v>
                </c:pt>
                <c:pt idx="1694">
                  <c:v>20</c:v>
                </c:pt>
                <c:pt idx="1695">
                  <c:v>1</c:v>
                </c:pt>
                <c:pt idx="1696">
                  <c:v>7</c:v>
                </c:pt>
                <c:pt idx="1697">
                  <c:v>48</c:v>
                </c:pt>
                <c:pt idx="1698">
                  <c:v>46</c:v>
                </c:pt>
                <c:pt idx="1699">
                  <c:v>34</c:v>
                </c:pt>
                <c:pt idx="1700">
                  <c:v>36</c:v>
                </c:pt>
                <c:pt idx="1701">
                  <c:v>44</c:v>
                </c:pt>
                <c:pt idx="1702">
                  <c:v>48</c:v>
                </c:pt>
                <c:pt idx="1703">
                  <c:v>12</c:v>
                </c:pt>
                <c:pt idx="1704">
                  <c:v>19</c:v>
                </c:pt>
                <c:pt idx="1705">
                  <c:v>49</c:v>
                </c:pt>
                <c:pt idx="1706">
                  <c:v>25</c:v>
                </c:pt>
                <c:pt idx="1707">
                  <c:v>25</c:v>
                </c:pt>
                <c:pt idx="1708">
                  <c:v>1</c:v>
                </c:pt>
                <c:pt idx="1709">
                  <c:v>19</c:v>
                </c:pt>
                <c:pt idx="1710">
                  <c:v>7</c:v>
                </c:pt>
                <c:pt idx="1711">
                  <c:v>19</c:v>
                </c:pt>
                <c:pt idx="1712">
                  <c:v>9</c:v>
                </c:pt>
                <c:pt idx="1713">
                  <c:v>37</c:v>
                </c:pt>
                <c:pt idx="1714">
                  <c:v>15</c:v>
                </c:pt>
                <c:pt idx="1715">
                  <c:v>30</c:v>
                </c:pt>
                <c:pt idx="1716">
                  <c:v>30</c:v>
                </c:pt>
                <c:pt idx="1717">
                  <c:v>16</c:v>
                </c:pt>
                <c:pt idx="1718">
                  <c:v>14</c:v>
                </c:pt>
                <c:pt idx="1719">
                  <c:v>8</c:v>
                </c:pt>
                <c:pt idx="1720">
                  <c:v>40</c:v>
                </c:pt>
                <c:pt idx="1721">
                  <c:v>24</c:v>
                </c:pt>
                <c:pt idx="1722">
                  <c:v>14</c:v>
                </c:pt>
                <c:pt idx="1723">
                  <c:v>39</c:v>
                </c:pt>
                <c:pt idx="1724">
                  <c:v>21</c:v>
                </c:pt>
                <c:pt idx="1725">
                  <c:v>32</c:v>
                </c:pt>
                <c:pt idx="1726">
                  <c:v>45</c:v>
                </c:pt>
                <c:pt idx="1727">
                  <c:v>19</c:v>
                </c:pt>
                <c:pt idx="1728">
                  <c:v>1</c:v>
                </c:pt>
                <c:pt idx="1729">
                  <c:v>12</c:v>
                </c:pt>
                <c:pt idx="1730">
                  <c:v>26</c:v>
                </c:pt>
                <c:pt idx="1731">
                  <c:v>12</c:v>
                </c:pt>
                <c:pt idx="1732">
                  <c:v>36</c:v>
                </c:pt>
                <c:pt idx="1733">
                  <c:v>22</c:v>
                </c:pt>
                <c:pt idx="1734">
                  <c:v>16</c:v>
                </c:pt>
                <c:pt idx="1735">
                  <c:v>31</c:v>
                </c:pt>
                <c:pt idx="1736">
                  <c:v>43</c:v>
                </c:pt>
                <c:pt idx="1737">
                  <c:v>50</c:v>
                </c:pt>
                <c:pt idx="1738">
                  <c:v>37</c:v>
                </c:pt>
                <c:pt idx="1739">
                  <c:v>23</c:v>
                </c:pt>
                <c:pt idx="1740">
                  <c:v>10</c:v>
                </c:pt>
                <c:pt idx="1741">
                  <c:v>20</c:v>
                </c:pt>
                <c:pt idx="1742">
                  <c:v>18</c:v>
                </c:pt>
                <c:pt idx="1743">
                  <c:v>3</c:v>
                </c:pt>
                <c:pt idx="1744">
                  <c:v>23</c:v>
                </c:pt>
                <c:pt idx="1745">
                  <c:v>27</c:v>
                </c:pt>
                <c:pt idx="1746">
                  <c:v>44</c:v>
                </c:pt>
                <c:pt idx="1747">
                  <c:v>41</c:v>
                </c:pt>
                <c:pt idx="1748">
                  <c:v>41</c:v>
                </c:pt>
                <c:pt idx="1749">
                  <c:v>36</c:v>
                </c:pt>
                <c:pt idx="1750">
                  <c:v>38</c:v>
                </c:pt>
                <c:pt idx="1751">
                  <c:v>34</c:v>
                </c:pt>
                <c:pt idx="1752">
                  <c:v>14</c:v>
                </c:pt>
                <c:pt idx="1753">
                  <c:v>23</c:v>
                </c:pt>
                <c:pt idx="1754">
                  <c:v>18</c:v>
                </c:pt>
                <c:pt idx="1755">
                  <c:v>45</c:v>
                </c:pt>
                <c:pt idx="1756">
                  <c:v>14</c:v>
                </c:pt>
                <c:pt idx="1757">
                  <c:v>48</c:v>
                </c:pt>
                <c:pt idx="1758">
                  <c:v>17</c:v>
                </c:pt>
                <c:pt idx="1759">
                  <c:v>1</c:v>
                </c:pt>
                <c:pt idx="1760">
                  <c:v>39</c:v>
                </c:pt>
                <c:pt idx="1761">
                  <c:v>24</c:v>
                </c:pt>
                <c:pt idx="1762">
                  <c:v>41</c:v>
                </c:pt>
                <c:pt idx="1763">
                  <c:v>28</c:v>
                </c:pt>
                <c:pt idx="1764">
                  <c:v>34</c:v>
                </c:pt>
                <c:pt idx="1765">
                  <c:v>41</c:v>
                </c:pt>
                <c:pt idx="1766">
                  <c:v>27</c:v>
                </c:pt>
                <c:pt idx="1767">
                  <c:v>46</c:v>
                </c:pt>
                <c:pt idx="1768">
                  <c:v>2</c:v>
                </c:pt>
                <c:pt idx="1769">
                  <c:v>45</c:v>
                </c:pt>
                <c:pt idx="1770">
                  <c:v>34</c:v>
                </c:pt>
                <c:pt idx="1771">
                  <c:v>9</c:v>
                </c:pt>
                <c:pt idx="1772">
                  <c:v>1</c:v>
                </c:pt>
                <c:pt idx="1773">
                  <c:v>17</c:v>
                </c:pt>
                <c:pt idx="1774">
                  <c:v>6</c:v>
                </c:pt>
                <c:pt idx="1775">
                  <c:v>12</c:v>
                </c:pt>
                <c:pt idx="1776">
                  <c:v>10</c:v>
                </c:pt>
                <c:pt idx="1777">
                  <c:v>4</c:v>
                </c:pt>
                <c:pt idx="1778">
                  <c:v>8</c:v>
                </c:pt>
                <c:pt idx="1779">
                  <c:v>41</c:v>
                </c:pt>
                <c:pt idx="1780">
                  <c:v>49</c:v>
                </c:pt>
                <c:pt idx="1781">
                  <c:v>49</c:v>
                </c:pt>
                <c:pt idx="1782">
                  <c:v>40</c:v>
                </c:pt>
                <c:pt idx="1783">
                  <c:v>30</c:v>
                </c:pt>
                <c:pt idx="1784">
                  <c:v>4</c:v>
                </c:pt>
                <c:pt idx="1785">
                  <c:v>22</c:v>
                </c:pt>
                <c:pt idx="1786">
                  <c:v>22</c:v>
                </c:pt>
                <c:pt idx="1787">
                  <c:v>10</c:v>
                </c:pt>
                <c:pt idx="1788">
                  <c:v>23</c:v>
                </c:pt>
                <c:pt idx="1789">
                  <c:v>43</c:v>
                </c:pt>
                <c:pt idx="1790">
                  <c:v>31</c:v>
                </c:pt>
                <c:pt idx="1791">
                  <c:v>38</c:v>
                </c:pt>
                <c:pt idx="1792">
                  <c:v>22</c:v>
                </c:pt>
                <c:pt idx="1793">
                  <c:v>45</c:v>
                </c:pt>
                <c:pt idx="1794">
                  <c:v>21</c:v>
                </c:pt>
                <c:pt idx="1795">
                  <c:v>9</c:v>
                </c:pt>
                <c:pt idx="1796">
                  <c:v>34</c:v>
                </c:pt>
                <c:pt idx="1797">
                  <c:v>26</c:v>
                </c:pt>
                <c:pt idx="1798">
                  <c:v>1</c:v>
                </c:pt>
                <c:pt idx="1799">
                  <c:v>47</c:v>
                </c:pt>
                <c:pt idx="1800">
                  <c:v>30</c:v>
                </c:pt>
                <c:pt idx="1801">
                  <c:v>48</c:v>
                </c:pt>
                <c:pt idx="1802">
                  <c:v>31</c:v>
                </c:pt>
                <c:pt idx="1803">
                  <c:v>33</c:v>
                </c:pt>
                <c:pt idx="1804">
                  <c:v>39</c:v>
                </c:pt>
                <c:pt idx="1805">
                  <c:v>46</c:v>
                </c:pt>
                <c:pt idx="1806">
                  <c:v>24</c:v>
                </c:pt>
                <c:pt idx="1807">
                  <c:v>37</c:v>
                </c:pt>
                <c:pt idx="1808">
                  <c:v>7</c:v>
                </c:pt>
                <c:pt idx="1809">
                  <c:v>6</c:v>
                </c:pt>
                <c:pt idx="1810">
                  <c:v>16</c:v>
                </c:pt>
                <c:pt idx="1811">
                  <c:v>33</c:v>
                </c:pt>
                <c:pt idx="1812">
                  <c:v>18</c:v>
                </c:pt>
                <c:pt idx="1813">
                  <c:v>24</c:v>
                </c:pt>
                <c:pt idx="1814">
                  <c:v>24</c:v>
                </c:pt>
                <c:pt idx="1815">
                  <c:v>48</c:v>
                </c:pt>
                <c:pt idx="1816">
                  <c:v>4</c:v>
                </c:pt>
                <c:pt idx="1817">
                  <c:v>20</c:v>
                </c:pt>
                <c:pt idx="1818">
                  <c:v>47</c:v>
                </c:pt>
                <c:pt idx="1819">
                  <c:v>50</c:v>
                </c:pt>
                <c:pt idx="1820">
                  <c:v>31</c:v>
                </c:pt>
                <c:pt idx="1821">
                  <c:v>29</c:v>
                </c:pt>
                <c:pt idx="1822">
                  <c:v>4</c:v>
                </c:pt>
                <c:pt idx="1823">
                  <c:v>40</c:v>
                </c:pt>
                <c:pt idx="1824">
                  <c:v>31</c:v>
                </c:pt>
                <c:pt idx="1825">
                  <c:v>41</c:v>
                </c:pt>
                <c:pt idx="1826">
                  <c:v>44</c:v>
                </c:pt>
                <c:pt idx="1827">
                  <c:v>31</c:v>
                </c:pt>
                <c:pt idx="1828">
                  <c:v>45</c:v>
                </c:pt>
                <c:pt idx="1829">
                  <c:v>50</c:v>
                </c:pt>
                <c:pt idx="1830">
                  <c:v>7</c:v>
                </c:pt>
                <c:pt idx="1831">
                  <c:v>5</c:v>
                </c:pt>
                <c:pt idx="1832">
                  <c:v>48</c:v>
                </c:pt>
                <c:pt idx="1833">
                  <c:v>19</c:v>
                </c:pt>
                <c:pt idx="1834">
                  <c:v>39</c:v>
                </c:pt>
                <c:pt idx="1835">
                  <c:v>45</c:v>
                </c:pt>
                <c:pt idx="1836">
                  <c:v>35</c:v>
                </c:pt>
                <c:pt idx="1837">
                  <c:v>8</c:v>
                </c:pt>
                <c:pt idx="1838">
                  <c:v>11</c:v>
                </c:pt>
                <c:pt idx="1839">
                  <c:v>32</c:v>
                </c:pt>
                <c:pt idx="1840">
                  <c:v>46</c:v>
                </c:pt>
                <c:pt idx="1841">
                  <c:v>7</c:v>
                </c:pt>
                <c:pt idx="1842">
                  <c:v>1</c:v>
                </c:pt>
                <c:pt idx="1843">
                  <c:v>32</c:v>
                </c:pt>
                <c:pt idx="1844">
                  <c:v>31</c:v>
                </c:pt>
                <c:pt idx="1845">
                  <c:v>39</c:v>
                </c:pt>
                <c:pt idx="1846">
                  <c:v>9</c:v>
                </c:pt>
                <c:pt idx="1847">
                  <c:v>49</c:v>
                </c:pt>
                <c:pt idx="1848">
                  <c:v>34</c:v>
                </c:pt>
                <c:pt idx="1849">
                  <c:v>35</c:v>
                </c:pt>
                <c:pt idx="1850">
                  <c:v>50</c:v>
                </c:pt>
                <c:pt idx="1851">
                  <c:v>4</c:v>
                </c:pt>
                <c:pt idx="1852">
                  <c:v>32</c:v>
                </c:pt>
                <c:pt idx="1853">
                  <c:v>11</c:v>
                </c:pt>
                <c:pt idx="1854">
                  <c:v>49</c:v>
                </c:pt>
                <c:pt idx="1855">
                  <c:v>9</c:v>
                </c:pt>
                <c:pt idx="1856">
                  <c:v>30</c:v>
                </c:pt>
                <c:pt idx="1857">
                  <c:v>33</c:v>
                </c:pt>
                <c:pt idx="1858">
                  <c:v>8</c:v>
                </c:pt>
                <c:pt idx="1859">
                  <c:v>29</c:v>
                </c:pt>
                <c:pt idx="1860">
                  <c:v>4</c:v>
                </c:pt>
                <c:pt idx="1861">
                  <c:v>19</c:v>
                </c:pt>
                <c:pt idx="1862">
                  <c:v>10</c:v>
                </c:pt>
                <c:pt idx="1863">
                  <c:v>39</c:v>
                </c:pt>
                <c:pt idx="1864">
                  <c:v>21</c:v>
                </c:pt>
                <c:pt idx="1865">
                  <c:v>12</c:v>
                </c:pt>
                <c:pt idx="1866">
                  <c:v>9</c:v>
                </c:pt>
                <c:pt idx="1867">
                  <c:v>20</c:v>
                </c:pt>
                <c:pt idx="1868">
                  <c:v>44</c:v>
                </c:pt>
                <c:pt idx="1869">
                  <c:v>16</c:v>
                </c:pt>
                <c:pt idx="1870">
                  <c:v>27</c:v>
                </c:pt>
                <c:pt idx="1871">
                  <c:v>14</c:v>
                </c:pt>
                <c:pt idx="1872">
                  <c:v>24</c:v>
                </c:pt>
                <c:pt idx="1873">
                  <c:v>49</c:v>
                </c:pt>
                <c:pt idx="1874">
                  <c:v>14</c:v>
                </c:pt>
                <c:pt idx="1875">
                  <c:v>6</c:v>
                </c:pt>
                <c:pt idx="1876">
                  <c:v>20</c:v>
                </c:pt>
                <c:pt idx="1877">
                  <c:v>3</c:v>
                </c:pt>
                <c:pt idx="1878">
                  <c:v>5</c:v>
                </c:pt>
                <c:pt idx="1879">
                  <c:v>46</c:v>
                </c:pt>
                <c:pt idx="1880">
                  <c:v>8</c:v>
                </c:pt>
                <c:pt idx="1881">
                  <c:v>13</c:v>
                </c:pt>
                <c:pt idx="1882">
                  <c:v>25</c:v>
                </c:pt>
                <c:pt idx="1883">
                  <c:v>39</c:v>
                </c:pt>
                <c:pt idx="1884">
                  <c:v>15</c:v>
                </c:pt>
                <c:pt idx="1885">
                  <c:v>35</c:v>
                </c:pt>
                <c:pt idx="1886">
                  <c:v>46</c:v>
                </c:pt>
                <c:pt idx="1887">
                  <c:v>3</c:v>
                </c:pt>
                <c:pt idx="1888">
                  <c:v>48</c:v>
                </c:pt>
                <c:pt idx="1889">
                  <c:v>27</c:v>
                </c:pt>
                <c:pt idx="1890">
                  <c:v>5</c:v>
                </c:pt>
                <c:pt idx="1891">
                  <c:v>48</c:v>
                </c:pt>
                <c:pt idx="1892">
                  <c:v>12</c:v>
                </c:pt>
                <c:pt idx="1893">
                  <c:v>10</c:v>
                </c:pt>
                <c:pt idx="1894">
                  <c:v>48</c:v>
                </c:pt>
                <c:pt idx="1895">
                  <c:v>3</c:v>
                </c:pt>
                <c:pt idx="1896">
                  <c:v>19</c:v>
                </c:pt>
                <c:pt idx="1897">
                  <c:v>11</c:v>
                </c:pt>
                <c:pt idx="1898">
                  <c:v>25</c:v>
                </c:pt>
                <c:pt idx="1899">
                  <c:v>42</c:v>
                </c:pt>
                <c:pt idx="1900">
                  <c:v>34</c:v>
                </c:pt>
                <c:pt idx="1901">
                  <c:v>50</c:v>
                </c:pt>
                <c:pt idx="1902">
                  <c:v>21</c:v>
                </c:pt>
                <c:pt idx="1903">
                  <c:v>37</c:v>
                </c:pt>
                <c:pt idx="1904">
                  <c:v>46</c:v>
                </c:pt>
                <c:pt idx="1905">
                  <c:v>14</c:v>
                </c:pt>
                <c:pt idx="1906">
                  <c:v>24</c:v>
                </c:pt>
                <c:pt idx="1907">
                  <c:v>36</c:v>
                </c:pt>
                <c:pt idx="1908">
                  <c:v>19</c:v>
                </c:pt>
                <c:pt idx="1909">
                  <c:v>12</c:v>
                </c:pt>
                <c:pt idx="1910">
                  <c:v>13</c:v>
                </c:pt>
                <c:pt idx="1911">
                  <c:v>32</c:v>
                </c:pt>
                <c:pt idx="1912">
                  <c:v>5</c:v>
                </c:pt>
                <c:pt idx="1913">
                  <c:v>29</c:v>
                </c:pt>
                <c:pt idx="1914">
                  <c:v>40</c:v>
                </c:pt>
                <c:pt idx="1915">
                  <c:v>44</c:v>
                </c:pt>
                <c:pt idx="1916">
                  <c:v>3</c:v>
                </c:pt>
                <c:pt idx="1917">
                  <c:v>35</c:v>
                </c:pt>
                <c:pt idx="1918">
                  <c:v>33</c:v>
                </c:pt>
                <c:pt idx="1919">
                  <c:v>20</c:v>
                </c:pt>
                <c:pt idx="1920">
                  <c:v>40</c:v>
                </c:pt>
                <c:pt idx="1921">
                  <c:v>13</c:v>
                </c:pt>
                <c:pt idx="1922">
                  <c:v>9</c:v>
                </c:pt>
                <c:pt idx="1923">
                  <c:v>7</c:v>
                </c:pt>
                <c:pt idx="1924">
                  <c:v>42</c:v>
                </c:pt>
                <c:pt idx="1925">
                  <c:v>44</c:v>
                </c:pt>
                <c:pt idx="1926">
                  <c:v>6</c:v>
                </c:pt>
                <c:pt idx="1927">
                  <c:v>8</c:v>
                </c:pt>
                <c:pt idx="1928">
                  <c:v>10</c:v>
                </c:pt>
                <c:pt idx="1929">
                  <c:v>46</c:v>
                </c:pt>
                <c:pt idx="1930">
                  <c:v>26</c:v>
                </c:pt>
                <c:pt idx="1931">
                  <c:v>6</c:v>
                </c:pt>
                <c:pt idx="1932">
                  <c:v>47</c:v>
                </c:pt>
                <c:pt idx="1933">
                  <c:v>28</c:v>
                </c:pt>
                <c:pt idx="1934">
                  <c:v>23</c:v>
                </c:pt>
                <c:pt idx="1935">
                  <c:v>45</c:v>
                </c:pt>
                <c:pt idx="1936">
                  <c:v>44</c:v>
                </c:pt>
                <c:pt idx="1937">
                  <c:v>11</c:v>
                </c:pt>
                <c:pt idx="1938">
                  <c:v>39</c:v>
                </c:pt>
                <c:pt idx="1939">
                  <c:v>20</c:v>
                </c:pt>
                <c:pt idx="1940">
                  <c:v>48</c:v>
                </c:pt>
                <c:pt idx="1941">
                  <c:v>46</c:v>
                </c:pt>
                <c:pt idx="1942">
                  <c:v>22</c:v>
                </c:pt>
                <c:pt idx="1943">
                  <c:v>45</c:v>
                </c:pt>
                <c:pt idx="1944">
                  <c:v>49</c:v>
                </c:pt>
                <c:pt idx="1945">
                  <c:v>9</c:v>
                </c:pt>
                <c:pt idx="1946">
                  <c:v>41</c:v>
                </c:pt>
                <c:pt idx="1947">
                  <c:v>2</c:v>
                </c:pt>
                <c:pt idx="1948">
                  <c:v>39</c:v>
                </c:pt>
                <c:pt idx="1949">
                  <c:v>12</c:v>
                </c:pt>
                <c:pt idx="1950">
                  <c:v>26</c:v>
                </c:pt>
                <c:pt idx="1951">
                  <c:v>32</c:v>
                </c:pt>
                <c:pt idx="1952">
                  <c:v>50</c:v>
                </c:pt>
                <c:pt idx="1953">
                  <c:v>3</c:v>
                </c:pt>
                <c:pt idx="1954">
                  <c:v>3</c:v>
                </c:pt>
                <c:pt idx="1955">
                  <c:v>37</c:v>
                </c:pt>
                <c:pt idx="1956">
                  <c:v>20</c:v>
                </c:pt>
                <c:pt idx="1957">
                  <c:v>26</c:v>
                </c:pt>
                <c:pt idx="1958">
                  <c:v>47</c:v>
                </c:pt>
                <c:pt idx="1959">
                  <c:v>7</c:v>
                </c:pt>
                <c:pt idx="1960">
                  <c:v>40</c:v>
                </c:pt>
                <c:pt idx="1961">
                  <c:v>45</c:v>
                </c:pt>
                <c:pt idx="1962">
                  <c:v>20</c:v>
                </c:pt>
                <c:pt idx="1963">
                  <c:v>11</c:v>
                </c:pt>
                <c:pt idx="1964">
                  <c:v>50</c:v>
                </c:pt>
                <c:pt idx="1965">
                  <c:v>25</c:v>
                </c:pt>
                <c:pt idx="1966">
                  <c:v>5</c:v>
                </c:pt>
                <c:pt idx="1967">
                  <c:v>4</c:v>
                </c:pt>
                <c:pt idx="1968">
                  <c:v>25</c:v>
                </c:pt>
                <c:pt idx="1969">
                  <c:v>11</c:v>
                </c:pt>
                <c:pt idx="1970">
                  <c:v>4</c:v>
                </c:pt>
                <c:pt idx="1971">
                  <c:v>1</c:v>
                </c:pt>
                <c:pt idx="1972">
                  <c:v>48</c:v>
                </c:pt>
                <c:pt idx="1973">
                  <c:v>9</c:v>
                </c:pt>
                <c:pt idx="1974">
                  <c:v>2</c:v>
                </c:pt>
                <c:pt idx="1975">
                  <c:v>4</c:v>
                </c:pt>
                <c:pt idx="1976">
                  <c:v>43</c:v>
                </c:pt>
                <c:pt idx="1977">
                  <c:v>32</c:v>
                </c:pt>
                <c:pt idx="1978">
                  <c:v>1</c:v>
                </c:pt>
                <c:pt idx="1979">
                  <c:v>38</c:v>
                </c:pt>
                <c:pt idx="1980">
                  <c:v>25</c:v>
                </c:pt>
                <c:pt idx="1981">
                  <c:v>42</c:v>
                </c:pt>
                <c:pt idx="1982">
                  <c:v>32</c:v>
                </c:pt>
                <c:pt idx="1983">
                  <c:v>21</c:v>
                </c:pt>
                <c:pt idx="1984">
                  <c:v>26</c:v>
                </c:pt>
                <c:pt idx="1985">
                  <c:v>6</c:v>
                </c:pt>
                <c:pt idx="1986">
                  <c:v>14</c:v>
                </c:pt>
                <c:pt idx="1987">
                  <c:v>4</c:v>
                </c:pt>
                <c:pt idx="1988">
                  <c:v>26</c:v>
                </c:pt>
                <c:pt idx="1989">
                  <c:v>39</c:v>
                </c:pt>
                <c:pt idx="1990">
                  <c:v>15</c:v>
                </c:pt>
                <c:pt idx="1991">
                  <c:v>1</c:v>
                </c:pt>
                <c:pt idx="1992">
                  <c:v>28</c:v>
                </c:pt>
                <c:pt idx="1993">
                  <c:v>17</c:v>
                </c:pt>
                <c:pt idx="1994">
                  <c:v>24</c:v>
                </c:pt>
                <c:pt idx="1995">
                  <c:v>29</c:v>
                </c:pt>
                <c:pt idx="1996">
                  <c:v>18</c:v>
                </c:pt>
                <c:pt idx="1997">
                  <c:v>10</c:v>
                </c:pt>
                <c:pt idx="1998">
                  <c:v>19</c:v>
                </c:pt>
                <c:pt idx="1999">
                  <c:v>26</c:v>
                </c:pt>
                <c:pt idx="2000">
                  <c:v>25</c:v>
                </c:pt>
                <c:pt idx="2001">
                  <c:v>2</c:v>
                </c:pt>
                <c:pt idx="2002">
                  <c:v>19</c:v>
                </c:pt>
                <c:pt idx="2003">
                  <c:v>32</c:v>
                </c:pt>
                <c:pt idx="2004">
                  <c:v>13</c:v>
                </c:pt>
                <c:pt idx="2005">
                  <c:v>30</c:v>
                </c:pt>
                <c:pt idx="2006">
                  <c:v>2</c:v>
                </c:pt>
                <c:pt idx="2007">
                  <c:v>8</c:v>
                </c:pt>
                <c:pt idx="2008">
                  <c:v>27</c:v>
                </c:pt>
                <c:pt idx="2009">
                  <c:v>26</c:v>
                </c:pt>
                <c:pt idx="2010">
                  <c:v>3</c:v>
                </c:pt>
                <c:pt idx="2011">
                  <c:v>4</c:v>
                </c:pt>
                <c:pt idx="2012">
                  <c:v>5</c:v>
                </c:pt>
                <c:pt idx="2013">
                  <c:v>25</c:v>
                </c:pt>
                <c:pt idx="2014">
                  <c:v>47</c:v>
                </c:pt>
                <c:pt idx="2015">
                  <c:v>8</c:v>
                </c:pt>
                <c:pt idx="2016">
                  <c:v>20</c:v>
                </c:pt>
                <c:pt idx="2017">
                  <c:v>42</c:v>
                </c:pt>
                <c:pt idx="2018">
                  <c:v>20</c:v>
                </c:pt>
                <c:pt idx="2019">
                  <c:v>23</c:v>
                </c:pt>
                <c:pt idx="2020">
                  <c:v>26</c:v>
                </c:pt>
                <c:pt idx="2021">
                  <c:v>48</c:v>
                </c:pt>
                <c:pt idx="2022">
                  <c:v>16</c:v>
                </c:pt>
                <c:pt idx="2023">
                  <c:v>28</c:v>
                </c:pt>
                <c:pt idx="2024">
                  <c:v>39</c:v>
                </c:pt>
                <c:pt idx="2025">
                  <c:v>43</c:v>
                </c:pt>
                <c:pt idx="2026">
                  <c:v>45</c:v>
                </c:pt>
                <c:pt idx="2027">
                  <c:v>50</c:v>
                </c:pt>
                <c:pt idx="2028">
                  <c:v>10</c:v>
                </c:pt>
                <c:pt idx="2029">
                  <c:v>40</c:v>
                </c:pt>
                <c:pt idx="2030">
                  <c:v>38</c:v>
                </c:pt>
                <c:pt idx="2031">
                  <c:v>2</c:v>
                </c:pt>
                <c:pt idx="2032">
                  <c:v>13</c:v>
                </c:pt>
                <c:pt idx="2033">
                  <c:v>33</c:v>
                </c:pt>
                <c:pt idx="2034">
                  <c:v>27</c:v>
                </c:pt>
                <c:pt idx="2035">
                  <c:v>43</c:v>
                </c:pt>
                <c:pt idx="2036">
                  <c:v>46</c:v>
                </c:pt>
                <c:pt idx="2037">
                  <c:v>7</c:v>
                </c:pt>
                <c:pt idx="2038">
                  <c:v>35</c:v>
                </c:pt>
                <c:pt idx="2039">
                  <c:v>31</c:v>
                </c:pt>
                <c:pt idx="2040">
                  <c:v>42</c:v>
                </c:pt>
                <c:pt idx="2041">
                  <c:v>14</c:v>
                </c:pt>
                <c:pt idx="2042">
                  <c:v>35</c:v>
                </c:pt>
                <c:pt idx="2043">
                  <c:v>49</c:v>
                </c:pt>
                <c:pt idx="2044">
                  <c:v>17</c:v>
                </c:pt>
                <c:pt idx="2045">
                  <c:v>26</c:v>
                </c:pt>
                <c:pt idx="2046">
                  <c:v>30</c:v>
                </c:pt>
                <c:pt idx="2047">
                  <c:v>32</c:v>
                </c:pt>
                <c:pt idx="2048">
                  <c:v>35</c:v>
                </c:pt>
                <c:pt idx="2049">
                  <c:v>15</c:v>
                </c:pt>
                <c:pt idx="2050">
                  <c:v>10</c:v>
                </c:pt>
                <c:pt idx="2051">
                  <c:v>14</c:v>
                </c:pt>
                <c:pt idx="2052">
                  <c:v>30</c:v>
                </c:pt>
                <c:pt idx="2053">
                  <c:v>16</c:v>
                </c:pt>
                <c:pt idx="2054">
                  <c:v>14</c:v>
                </c:pt>
                <c:pt idx="2055">
                  <c:v>28</c:v>
                </c:pt>
                <c:pt idx="2056">
                  <c:v>29</c:v>
                </c:pt>
                <c:pt idx="2057">
                  <c:v>5</c:v>
                </c:pt>
                <c:pt idx="2058">
                  <c:v>17</c:v>
                </c:pt>
                <c:pt idx="2059">
                  <c:v>50</c:v>
                </c:pt>
                <c:pt idx="2060">
                  <c:v>23</c:v>
                </c:pt>
                <c:pt idx="2061">
                  <c:v>22</c:v>
                </c:pt>
                <c:pt idx="2062">
                  <c:v>15</c:v>
                </c:pt>
                <c:pt idx="2063">
                  <c:v>32</c:v>
                </c:pt>
                <c:pt idx="2064">
                  <c:v>5</c:v>
                </c:pt>
                <c:pt idx="2065">
                  <c:v>6</c:v>
                </c:pt>
                <c:pt idx="2066">
                  <c:v>44</c:v>
                </c:pt>
                <c:pt idx="2067">
                  <c:v>23</c:v>
                </c:pt>
                <c:pt idx="2068">
                  <c:v>44</c:v>
                </c:pt>
                <c:pt idx="2069">
                  <c:v>3</c:v>
                </c:pt>
                <c:pt idx="2070">
                  <c:v>14</c:v>
                </c:pt>
                <c:pt idx="2071">
                  <c:v>37</c:v>
                </c:pt>
                <c:pt idx="2072">
                  <c:v>22</c:v>
                </c:pt>
                <c:pt idx="2073">
                  <c:v>2</c:v>
                </c:pt>
                <c:pt idx="2074">
                  <c:v>44</c:v>
                </c:pt>
                <c:pt idx="2075">
                  <c:v>49</c:v>
                </c:pt>
                <c:pt idx="2076">
                  <c:v>22</c:v>
                </c:pt>
                <c:pt idx="2077">
                  <c:v>26</c:v>
                </c:pt>
                <c:pt idx="2078">
                  <c:v>40</c:v>
                </c:pt>
                <c:pt idx="2079">
                  <c:v>16</c:v>
                </c:pt>
                <c:pt idx="2080">
                  <c:v>17</c:v>
                </c:pt>
                <c:pt idx="2081">
                  <c:v>48</c:v>
                </c:pt>
                <c:pt idx="2082">
                  <c:v>28</c:v>
                </c:pt>
                <c:pt idx="2083">
                  <c:v>26</c:v>
                </c:pt>
                <c:pt idx="2084">
                  <c:v>43</c:v>
                </c:pt>
                <c:pt idx="2085">
                  <c:v>38</c:v>
                </c:pt>
                <c:pt idx="2086">
                  <c:v>36</c:v>
                </c:pt>
                <c:pt idx="2087">
                  <c:v>1</c:v>
                </c:pt>
                <c:pt idx="2088">
                  <c:v>49</c:v>
                </c:pt>
                <c:pt idx="2089">
                  <c:v>41</c:v>
                </c:pt>
                <c:pt idx="2090">
                  <c:v>21</c:v>
                </c:pt>
                <c:pt idx="2091">
                  <c:v>24</c:v>
                </c:pt>
                <c:pt idx="2092">
                  <c:v>27</c:v>
                </c:pt>
                <c:pt idx="2093">
                  <c:v>4</c:v>
                </c:pt>
                <c:pt idx="2094">
                  <c:v>19</c:v>
                </c:pt>
                <c:pt idx="2095">
                  <c:v>1</c:v>
                </c:pt>
                <c:pt idx="2096">
                  <c:v>27</c:v>
                </c:pt>
                <c:pt idx="2097">
                  <c:v>5</c:v>
                </c:pt>
                <c:pt idx="2098">
                  <c:v>20</c:v>
                </c:pt>
                <c:pt idx="2099">
                  <c:v>50</c:v>
                </c:pt>
                <c:pt idx="2100">
                  <c:v>36</c:v>
                </c:pt>
                <c:pt idx="2101">
                  <c:v>12</c:v>
                </c:pt>
                <c:pt idx="2102">
                  <c:v>23</c:v>
                </c:pt>
                <c:pt idx="2103">
                  <c:v>21</c:v>
                </c:pt>
                <c:pt idx="2104">
                  <c:v>47</c:v>
                </c:pt>
                <c:pt idx="2105">
                  <c:v>38</c:v>
                </c:pt>
                <c:pt idx="2106">
                  <c:v>40</c:v>
                </c:pt>
                <c:pt idx="2107">
                  <c:v>35</c:v>
                </c:pt>
                <c:pt idx="2108">
                  <c:v>4</c:v>
                </c:pt>
                <c:pt idx="2109">
                  <c:v>28</c:v>
                </c:pt>
                <c:pt idx="2110">
                  <c:v>36</c:v>
                </c:pt>
                <c:pt idx="2111">
                  <c:v>15</c:v>
                </c:pt>
                <c:pt idx="2112">
                  <c:v>7</c:v>
                </c:pt>
                <c:pt idx="2113">
                  <c:v>29</c:v>
                </c:pt>
                <c:pt idx="2114">
                  <c:v>12</c:v>
                </c:pt>
                <c:pt idx="2115">
                  <c:v>16</c:v>
                </c:pt>
                <c:pt idx="2116">
                  <c:v>50</c:v>
                </c:pt>
                <c:pt idx="2117">
                  <c:v>11</c:v>
                </c:pt>
                <c:pt idx="2118">
                  <c:v>28</c:v>
                </c:pt>
                <c:pt idx="2119">
                  <c:v>36</c:v>
                </c:pt>
                <c:pt idx="2120">
                  <c:v>38</c:v>
                </c:pt>
                <c:pt idx="2121">
                  <c:v>32</c:v>
                </c:pt>
                <c:pt idx="2122">
                  <c:v>42</c:v>
                </c:pt>
                <c:pt idx="2123">
                  <c:v>22</c:v>
                </c:pt>
                <c:pt idx="2124">
                  <c:v>22</c:v>
                </c:pt>
                <c:pt idx="2125">
                  <c:v>31</c:v>
                </c:pt>
                <c:pt idx="2126">
                  <c:v>28</c:v>
                </c:pt>
                <c:pt idx="2127">
                  <c:v>40</c:v>
                </c:pt>
                <c:pt idx="2128">
                  <c:v>21</c:v>
                </c:pt>
                <c:pt idx="2129">
                  <c:v>12</c:v>
                </c:pt>
                <c:pt idx="2130">
                  <c:v>33</c:v>
                </c:pt>
                <c:pt idx="2131">
                  <c:v>9</c:v>
                </c:pt>
                <c:pt idx="2132">
                  <c:v>15</c:v>
                </c:pt>
                <c:pt idx="2133">
                  <c:v>13</c:v>
                </c:pt>
                <c:pt idx="2134">
                  <c:v>35</c:v>
                </c:pt>
                <c:pt idx="2135">
                  <c:v>1</c:v>
                </c:pt>
                <c:pt idx="2136">
                  <c:v>25</c:v>
                </c:pt>
                <c:pt idx="2137">
                  <c:v>20</c:v>
                </c:pt>
                <c:pt idx="2138">
                  <c:v>36</c:v>
                </c:pt>
                <c:pt idx="2139">
                  <c:v>33</c:v>
                </c:pt>
                <c:pt idx="2140">
                  <c:v>36</c:v>
                </c:pt>
                <c:pt idx="2141">
                  <c:v>32</c:v>
                </c:pt>
                <c:pt idx="2142">
                  <c:v>21</c:v>
                </c:pt>
                <c:pt idx="2143">
                  <c:v>48</c:v>
                </c:pt>
                <c:pt idx="2144">
                  <c:v>25</c:v>
                </c:pt>
                <c:pt idx="2145">
                  <c:v>32</c:v>
                </c:pt>
                <c:pt idx="2146">
                  <c:v>45</c:v>
                </c:pt>
                <c:pt idx="2147">
                  <c:v>4</c:v>
                </c:pt>
                <c:pt idx="2148">
                  <c:v>19</c:v>
                </c:pt>
                <c:pt idx="2149">
                  <c:v>1</c:v>
                </c:pt>
                <c:pt idx="2150">
                  <c:v>12</c:v>
                </c:pt>
                <c:pt idx="2151">
                  <c:v>18</c:v>
                </c:pt>
                <c:pt idx="2152">
                  <c:v>43</c:v>
                </c:pt>
                <c:pt idx="2153">
                  <c:v>31</c:v>
                </c:pt>
                <c:pt idx="2154">
                  <c:v>33</c:v>
                </c:pt>
                <c:pt idx="2155">
                  <c:v>46</c:v>
                </c:pt>
                <c:pt idx="2156">
                  <c:v>41</c:v>
                </c:pt>
                <c:pt idx="2157">
                  <c:v>41</c:v>
                </c:pt>
                <c:pt idx="2158">
                  <c:v>9</c:v>
                </c:pt>
                <c:pt idx="2159">
                  <c:v>34</c:v>
                </c:pt>
                <c:pt idx="2160">
                  <c:v>21</c:v>
                </c:pt>
                <c:pt idx="2161">
                  <c:v>5</c:v>
                </c:pt>
                <c:pt idx="2162">
                  <c:v>32</c:v>
                </c:pt>
                <c:pt idx="2163">
                  <c:v>44</c:v>
                </c:pt>
                <c:pt idx="2164">
                  <c:v>46</c:v>
                </c:pt>
                <c:pt idx="2165">
                  <c:v>42</c:v>
                </c:pt>
                <c:pt idx="2166">
                  <c:v>50</c:v>
                </c:pt>
                <c:pt idx="2167">
                  <c:v>33</c:v>
                </c:pt>
                <c:pt idx="2168">
                  <c:v>32</c:v>
                </c:pt>
                <c:pt idx="2169">
                  <c:v>32</c:v>
                </c:pt>
                <c:pt idx="2170">
                  <c:v>37</c:v>
                </c:pt>
                <c:pt idx="2171">
                  <c:v>9</c:v>
                </c:pt>
                <c:pt idx="2172">
                  <c:v>6</c:v>
                </c:pt>
                <c:pt idx="2173">
                  <c:v>36</c:v>
                </c:pt>
                <c:pt idx="2174">
                  <c:v>1</c:v>
                </c:pt>
                <c:pt idx="2175">
                  <c:v>48</c:v>
                </c:pt>
                <c:pt idx="2176">
                  <c:v>44</c:v>
                </c:pt>
                <c:pt idx="2177">
                  <c:v>9</c:v>
                </c:pt>
                <c:pt idx="2178">
                  <c:v>32</c:v>
                </c:pt>
                <c:pt idx="2179">
                  <c:v>14</c:v>
                </c:pt>
                <c:pt idx="2180">
                  <c:v>43</c:v>
                </c:pt>
                <c:pt idx="2181">
                  <c:v>32</c:v>
                </c:pt>
                <c:pt idx="2182">
                  <c:v>26</c:v>
                </c:pt>
                <c:pt idx="2183">
                  <c:v>2</c:v>
                </c:pt>
                <c:pt idx="2184">
                  <c:v>16</c:v>
                </c:pt>
                <c:pt idx="2185">
                  <c:v>50</c:v>
                </c:pt>
                <c:pt idx="2186">
                  <c:v>6</c:v>
                </c:pt>
                <c:pt idx="2187">
                  <c:v>20</c:v>
                </c:pt>
                <c:pt idx="2188">
                  <c:v>9</c:v>
                </c:pt>
                <c:pt idx="2189">
                  <c:v>47</c:v>
                </c:pt>
                <c:pt idx="2190">
                  <c:v>33</c:v>
                </c:pt>
                <c:pt idx="2191">
                  <c:v>46</c:v>
                </c:pt>
                <c:pt idx="2192">
                  <c:v>9</c:v>
                </c:pt>
                <c:pt idx="2193">
                  <c:v>8</c:v>
                </c:pt>
                <c:pt idx="2194">
                  <c:v>48</c:v>
                </c:pt>
                <c:pt idx="2195">
                  <c:v>2</c:v>
                </c:pt>
                <c:pt idx="2196">
                  <c:v>31</c:v>
                </c:pt>
                <c:pt idx="2197">
                  <c:v>40</c:v>
                </c:pt>
                <c:pt idx="2198">
                  <c:v>35</c:v>
                </c:pt>
                <c:pt idx="2199">
                  <c:v>40</c:v>
                </c:pt>
                <c:pt idx="2200">
                  <c:v>27</c:v>
                </c:pt>
                <c:pt idx="2201">
                  <c:v>10</c:v>
                </c:pt>
                <c:pt idx="2202">
                  <c:v>23</c:v>
                </c:pt>
                <c:pt idx="2203">
                  <c:v>32</c:v>
                </c:pt>
                <c:pt idx="2204">
                  <c:v>6</c:v>
                </c:pt>
                <c:pt idx="2205">
                  <c:v>27</c:v>
                </c:pt>
                <c:pt idx="2206">
                  <c:v>25</c:v>
                </c:pt>
                <c:pt idx="2207">
                  <c:v>11</c:v>
                </c:pt>
                <c:pt idx="2208">
                  <c:v>23</c:v>
                </c:pt>
                <c:pt idx="2209">
                  <c:v>44</c:v>
                </c:pt>
                <c:pt idx="2210">
                  <c:v>35</c:v>
                </c:pt>
                <c:pt idx="2211">
                  <c:v>45</c:v>
                </c:pt>
                <c:pt idx="2212">
                  <c:v>22</c:v>
                </c:pt>
                <c:pt idx="2213">
                  <c:v>18</c:v>
                </c:pt>
                <c:pt idx="2214">
                  <c:v>20</c:v>
                </c:pt>
                <c:pt idx="2215">
                  <c:v>28</c:v>
                </c:pt>
                <c:pt idx="2216">
                  <c:v>15</c:v>
                </c:pt>
                <c:pt idx="2217">
                  <c:v>42</c:v>
                </c:pt>
                <c:pt idx="2218">
                  <c:v>20</c:v>
                </c:pt>
                <c:pt idx="2219">
                  <c:v>16</c:v>
                </c:pt>
                <c:pt idx="2220">
                  <c:v>47</c:v>
                </c:pt>
                <c:pt idx="2221">
                  <c:v>34</c:v>
                </c:pt>
                <c:pt idx="2222">
                  <c:v>30</c:v>
                </c:pt>
                <c:pt idx="2223">
                  <c:v>5</c:v>
                </c:pt>
                <c:pt idx="2224">
                  <c:v>38</c:v>
                </c:pt>
                <c:pt idx="2225">
                  <c:v>18</c:v>
                </c:pt>
                <c:pt idx="2226">
                  <c:v>28</c:v>
                </c:pt>
                <c:pt idx="2227">
                  <c:v>42</c:v>
                </c:pt>
                <c:pt idx="2228">
                  <c:v>5</c:v>
                </c:pt>
                <c:pt idx="2229">
                  <c:v>50</c:v>
                </c:pt>
                <c:pt idx="2230">
                  <c:v>33</c:v>
                </c:pt>
                <c:pt idx="2231">
                  <c:v>1</c:v>
                </c:pt>
                <c:pt idx="2232">
                  <c:v>14</c:v>
                </c:pt>
                <c:pt idx="2233">
                  <c:v>48</c:v>
                </c:pt>
                <c:pt idx="2234">
                  <c:v>26</c:v>
                </c:pt>
                <c:pt idx="2235">
                  <c:v>44</c:v>
                </c:pt>
                <c:pt idx="2236">
                  <c:v>18</c:v>
                </c:pt>
                <c:pt idx="2237">
                  <c:v>31</c:v>
                </c:pt>
                <c:pt idx="2238">
                  <c:v>18</c:v>
                </c:pt>
                <c:pt idx="2239">
                  <c:v>41</c:v>
                </c:pt>
                <c:pt idx="2240">
                  <c:v>18</c:v>
                </c:pt>
                <c:pt idx="2241">
                  <c:v>3</c:v>
                </c:pt>
                <c:pt idx="2242">
                  <c:v>5</c:v>
                </c:pt>
                <c:pt idx="2243">
                  <c:v>13</c:v>
                </c:pt>
                <c:pt idx="2244">
                  <c:v>22</c:v>
                </c:pt>
                <c:pt idx="2245">
                  <c:v>45</c:v>
                </c:pt>
                <c:pt idx="2246">
                  <c:v>39</c:v>
                </c:pt>
                <c:pt idx="2247">
                  <c:v>18</c:v>
                </c:pt>
                <c:pt idx="2248">
                  <c:v>19</c:v>
                </c:pt>
                <c:pt idx="2249">
                  <c:v>29</c:v>
                </c:pt>
                <c:pt idx="2250">
                  <c:v>19</c:v>
                </c:pt>
                <c:pt idx="2251">
                  <c:v>22</c:v>
                </c:pt>
                <c:pt idx="2252">
                  <c:v>21</c:v>
                </c:pt>
                <c:pt idx="2253">
                  <c:v>22</c:v>
                </c:pt>
                <c:pt idx="2254">
                  <c:v>44</c:v>
                </c:pt>
                <c:pt idx="2255">
                  <c:v>42</c:v>
                </c:pt>
                <c:pt idx="2256">
                  <c:v>33</c:v>
                </c:pt>
                <c:pt idx="2257">
                  <c:v>6</c:v>
                </c:pt>
                <c:pt idx="2258">
                  <c:v>44</c:v>
                </c:pt>
                <c:pt idx="2259">
                  <c:v>24</c:v>
                </c:pt>
                <c:pt idx="2260">
                  <c:v>16</c:v>
                </c:pt>
                <c:pt idx="2261">
                  <c:v>12</c:v>
                </c:pt>
                <c:pt idx="2262">
                  <c:v>50</c:v>
                </c:pt>
                <c:pt idx="2263">
                  <c:v>42</c:v>
                </c:pt>
                <c:pt idx="2264">
                  <c:v>50</c:v>
                </c:pt>
                <c:pt idx="2265">
                  <c:v>10</c:v>
                </c:pt>
                <c:pt idx="2266">
                  <c:v>32</c:v>
                </c:pt>
                <c:pt idx="2267">
                  <c:v>37</c:v>
                </c:pt>
                <c:pt idx="2268">
                  <c:v>15</c:v>
                </c:pt>
                <c:pt idx="2269">
                  <c:v>27</c:v>
                </c:pt>
                <c:pt idx="2270">
                  <c:v>7</c:v>
                </c:pt>
                <c:pt idx="2271">
                  <c:v>49</c:v>
                </c:pt>
                <c:pt idx="2272">
                  <c:v>44</c:v>
                </c:pt>
                <c:pt idx="2273">
                  <c:v>13</c:v>
                </c:pt>
                <c:pt idx="2274">
                  <c:v>38</c:v>
                </c:pt>
                <c:pt idx="2275">
                  <c:v>10</c:v>
                </c:pt>
                <c:pt idx="2276">
                  <c:v>25</c:v>
                </c:pt>
                <c:pt idx="2277">
                  <c:v>18</c:v>
                </c:pt>
                <c:pt idx="2278">
                  <c:v>6</c:v>
                </c:pt>
                <c:pt idx="2279">
                  <c:v>35</c:v>
                </c:pt>
                <c:pt idx="2280">
                  <c:v>31</c:v>
                </c:pt>
                <c:pt idx="2281">
                  <c:v>41</c:v>
                </c:pt>
                <c:pt idx="2282">
                  <c:v>8</c:v>
                </c:pt>
                <c:pt idx="2283">
                  <c:v>34</c:v>
                </c:pt>
                <c:pt idx="2284">
                  <c:v>20</c:v>
                </c:pt>
                <c:pt idx="2285">
                  <c:v>38</c:v>
                </c:pt>
                <c:pt idx="2286">
                  <c:v>35</c:v>
                </c:pt>
                <c:pt idx="2287">
                  <c:v>6</c:v>
                </c:pt>
                <c:pt idx="2288">
                  <c:v>50</c:v>
                </c:pt>
                <c:pt idx="2289">
                  <c:v>47</c:v>
                </c:pt>
                <c:pt idx="2290">
                  <c:v>23</c:v>
                </c:pt>
                <c:pt idx="2291">
                  <c:v>13</c:v>
                </c:pt>
                <c:pt idx="2292">
                  <c:v>31</c:v>
                </c:pt>
                <c:pt idx="2293">
                  <c:v>16</c:v>
                </c:pt>
                <c:pt idx="2294">
                  <c:v>40</c:v>
                </c:pt>
                <c:pt idx="2295">
                  <c:v>45</c:v>
                </c:pt>
                <c:pt idx="2296">
                  <c:v>50</c:v>
                </c:pt>
                <c:pt idx="2297">
                  <c:v>1</c:v>
                </c:pt>
                <c:pt idx="2298">
                  <c:v>10</c:v>
                </c:pt>
                <c:pt idx="2299">
                  <c:v>48</c:v>
                </c:pt>
                <c:pt idx="2300">
                  <c:v>38</c:v>
                </c:pt>
                <c:pt idx="2301">
                  <c:v>21</c:v>
                </c:pt>
                <c:pt idx="2302">
                  <c:v>38</c:v>
                </c:pt>
                <c:pt idx="2303">
                  <c:v>31</c:v>
                </c:pt>
                <c:pt idx="2304">
                  <c:v>9</c:v>
                </c:pt>
                <c:pt idx="2305">
                  <c:v>47</c:v>
                </c:pt>
                <c:pt idx="2306">
                  <c:v>8</c:v>
                </c:pt>
                <c:pt idx="2307">
                  <c:v>30</c:v>
                </c:pt>
                <c:pt idx="2308">
                  <c:v>22</c:v>
                </c:pt>
                <c:pt idx="2309">
                  <c:v>3</c:v>
                </c:pt>
                <c:pt idx="2310">
                  <c:v>15</c:v>
                </c:pt>
                <c:pt idx="2311">
                  <c:v>10</c:v>
                </c:pt>
                <c:pt idx="2312">
                  <c:v>19</c:v>
                </c:pt>
                <c:pt idx="2313">
                  <c:v>36</c:v>
                </c:pt>
                <c:pt idx="2314">
                  <c:v>12</c:v>
                </c:pt>
                <c:pt idx="2315">
                  <c:v>49</c:v>
                </c:pt>
                <c:pt idx="2316">
                  <c:v>7</c:v>
                </c:pt>
                <c:pt idx="2317">
                  <c:v>28</c:v>
                </c:pt>
                <c:pt idx="2318">
                  <c:v>30</c:v>
                </c:pt>
                <c:pt idx="2319">
                  <c:v>29</c:v>
                </c:pt>
                <c:pt idx="2320">
                  <c:v>9</c:v>
                </c:pt>
                <c:pt idx="2321">
                  <c:v>27</c:v>
                </c:pt>
                <c:pt idx="2322">
                  <c:v>21</c:v>
                </c:pt>
                <c:pt idx="2323">
                  <c:v>36</c:v>
                </c:pt>
                <c:pt idx="2324">
                  <c:v>19</c:v>
                </c:pt>
                <c:pt idx="2325">
                  <c:v>47</c:v>
                </c:pt>
                <c:pt idx="2326">
                  <c:v>38</c:v>
                </c:pt>
                <c:pt idx="2327">
                  <c:v>22</c:v>
                </c:pt>
                <c:pt idx="2328">
                  <c:v>29</c:v>
                </c:pt>
                <c:pt idx="2329">
                  <c:v>42</c:v>
                </c:pt>
                <c:pt idx="2330">
                  <c:v>47</c:v>
                </c:pt>
                <c:pt idx="2331">
                  <c:v>10</c:v>
                </c:pt>
                <c:pt idx="2332">
                  <c:v>10</c:v>
                </c:pt>
                <c:pt idx="2333">
                  <c:v>1</c:v>
                </c:pt>
                <c:pt idx="2334">
                  <c:v>7</c:v>
                </c:pt>
                <c:pt idx="2335">
                  <c:v>10</c:v>
                </c:pt>
                <c:pt idx="2336">
                  <c:v>11</c:v>
                </c:pt>
                <c:pt idx="2337">
                  <c:v>5</c:v>
                </c:pt>
                <c:pt idx="2338">
                  <c:v>21</c:v>
                </c:pt>
                <c:pt idx="2339">
                  <c:v>24</c:v>
                </c:pt>
                <c:pt idx="2340">
                  <c:v>37</c:v>
                </c:pt>
                <c:pt idx="2341">
                  <c:v>22</c:v>
                </c:pt>
                <c:pt idx="2342">
                  <c:v>16</c:v>
                </c:pt>
                <c:pt idx="2343">
                  <c:v>44</c:v>
                </c:pt>
                <c:pt idx="2344">
                  <c:v>14</c:v>
                </c:pt>
                <c:pt idx="2345">
                  <c:v>23</c:v>
                </c:pt>
                <c:pt idx="2346">
                  <c:v>46</c:v>
                </c:pt>
                <c:pt idx="2347">
                  <c:v>46</c:v>
                </c:pt>
                <c:pt idx="2348">
                  <c:v>16</c:v>
                </c:pt>
                <c:pt idx="2349">
                  <c:v>40</c:v>
                </c:pt>
                <c:pt idx="2350">
                  <c:v>21</c:v>
                </c:pt>
                <c:pt idx="2351">
                  <c:v>25</c:v>
                </c:pt>
                <c:pt idx="2352">
                  <c:v>25</c:v>
                </c:pt>
                <c:pt idx="2353">
                  <c:v>25</c:v>
                </c:pt>
                <c:pt idx="2354">
                  <c:v>27</c:v>
                </c:pt>
                <c:pt idx="2355">
                  <c:v>12</c:v>
                </c:pt>
                <c:pt idx="2356">
                  <c:v>27</c:v>
                </c:pt>
                <c:pt idx="2357">
                  <c:v>40</c:v>
                </c:pt>
                <c:pt idx="2358">
                  <c:v>38</c:v>
                </c:pt>
                <c:pt idx="2359">
                  <c:v>44</c:v>
                </c:pt>
                <c:pt idx="2360">
                  <c:v>27</c:v>
                </c:pt>
                <c:pt idx="2361">
                  <c:v>30</c:v>
                </c:pt>
                <c:pt idx="2362">
                  <c:v>24</c:v>
                </c:pt>
                <c:pt idx="2363">
                  <c:v>38</c:v>
                </c:pt>
                <c:pt idx="2364">
                  <c:v>4</c:v>
                </c:pt>
                <c:pt idx="2365">
                  <c:v>32</c:v>
                </c:pt>
                <c:pt idx="2366">
                  <c:v>32</c:v>
                </c:pt>
                <c:pt idx="2367">
                  <c:v>28</c:v>
                </c:pt>
                <c:pt idx="2368">
                  <c:v>6</c:v>
                </c:pt>
                <c:pt idx="2369">
                  <c:v>24</c:v>
                </c:pt>
                <c:pt idx="2370">
                  <c:v>38</c:v>
                </c:pt>
                <c:pt idx="2371">
                  <c:v>28</c:v>
                </c:pt>
                <c:pt idx="2372">
                  <c:v>9</c:v>
                </c:pt>
                <c:pt idx="2373">
                  <c:v>21</c:v>
                </c:pt>
                <c:pt idx="2374">
                  <c:v>31</c:v>
                </c:pt>
                <c:pt idx="2375">
                  <c:v>18</c:v>
                </c:pt>
                <c:pt idx="2376">
                  <c:v>5</c:v>
                </c:pt>
                <c:pt idx="2377">
                  <c:v>22</c:v>
                </c:pt>
                <c:pt idx="2378">
                  <c:v>37</c:v>
                </c:pt>
                <c:pt idx="2379">
                  <c:v>22</c:v>
                </c:pt>
                <c:pt idx="2380">
                  <c:v>36</c:v>
                </c:pt>
                <c:pt idx="2381">
                  <c:v>23</c:v>
                </c:pt>
                <c:pt idx="2382">
                  <c:v>44</c:v>
                </c:pt>
                <c:pt idx="2383">
                  <c:v>25</c:v>
                </c:pt>
                <c:pt idx="2384">
                  <c:v>40</c:v>
                </c:pt>
                <c:pt idx="2385">
                  <c:v>12</c:v>
                </c:pt>
                <c:pt idx="2386">
                  <c:v>14</c:v>
                </c:pt>
                <c:pt idx="2387">
                  <c:v>14</c:v>
                </c:pt>
                <c:pt idx="2388">
                  <c:v>10</c:v>
                </c:pt>
                <c:pt idx="2389">
                  <c:v>17</c:v>
                </c:pt>
                <c:pt idx="2390">
                  <c:v>24</c:v>
                </c:pt>
                <c:pt idx="2391">
                  <c:v>31</c:v>
                </c:pt>
                <c:pt idx="2392">
                  <c:v>36</c:v>
                </c:pt>
                <c:pt idx="2393">
                  <c:v>38</c:v>
                </c:pt>
                <c:pt idx="2394">
                  <c:v>23</c:v>
                </c:pt>
                <c:pt idx="2395">
                  <c:v>47</c:v>
                </c:pt>
                <c:pt idx="2396">
                  <c:v>20</c:v>
                </c:pt>
                <c:pt idx="2397">
                  <c:v>41</c:v>
                </c:pt>
                <c:pt idx="2398">
                  <c:v>44</c:v>
                </c:pt>
                <c:pt idx="2399">
                  <c:v>31</c:v>
                </c:pt>
                <c:pt idx="2400">
                  <c:v>11</c:v>
                </c:pt>
                <c:pt idx="2401">
                  <c:v>25</c:v>
                </c:pt>
                <c:pt idx="2402">
                  <c:v>31</c:v>
                </c:pt>
                <c:pt idx="2403">
                  <c:v>40</c:v>
                </c:pt>
                <c:pt idx="2404">
                  <c:v>23</c:v>
                </c:pt>
                <c:pt idx="2405">
                  <c:v>5</c:v>
                </c:pt>
                <c:pt idx="2406">
                  <c:v>26</c:v>
                </c:pt>
                <c:pt idx="2407">
                  <c:v>11</c:v>
                </c:pt>
                <c:pt idx="2408">
                  <c:v>44</c:v>
                </c:pt>
                <c:pt idx="2409">
                  <c:v>47</c:v>
                </c:pt>
                <c:pt idx="2410">
                  <c:v>46</c:v>
                </c:pt>
                <c:pt idx="2411">
                  <c:v>35</c:v>
                </c:pt>
                <c:pt idx="2412">
                  <c:v>8</c:v>
                </c:pt>
                <c:pt idx="2413">
                  <c:v>30</c:v>
                </c:pt>
                <c:pt idx="2414">
                  <c:v>14</c:v>
                </c:pt>
                <c:pt idx="2415">
                  <c:v>30</c:v>
                </c:pt>
                <c:pt idx="2416">
                  <c:v>26</c:v>
                </c:pt>
                <c:pt idx="2417">
                  <c:v>32</c:v>
                </c:pt>
                <c:pt idx="2418">
                  <c:v>47</c:v>
                </c:pt>
                <c:pt idx="2419">
                  <c:v>11</c:v>
                </c:pt>
                <c:pt idx="2420">
                  <c:v>28</c:v>
                </c:pt>
                <c:pt idx="2421">
                  <c:v>2</c:v>
                </c:pt>
                <c:pt idx="2422">
                  <c:v>45</c:v>
                </c:pt>
                <c:pt idx="2423">
                  <c:v>7</c:v>
                </c:pt>
                <c:pt idx="2424">
                  <c:v>28</c:v>
                </c:pt>
                <c:pt idx="2425">
                  <c:v>34</c:v>
                </c:pt>
                <c:pt idx="2426">
                  <c:v>26</c:v>
                </c:pt>
                <c:pt idx="2427">
                  <c:v>45</c:v>
                </c:pt>
                <c:pt idx="2428">
                  <c:v>34</c:v>
                </c:pt>
                <c:pt idx="2429">
                  <c:v>47</c:v>
                </c:pt>
                <c:pt idx="2430">
                  <c:v>42</c:v>
                </c:pt>
                <c:pt idx="2431">
                  <c:v>27</c:v>
                </c:pt>
                <c:pt idx="2432">
                  <c:v>43</c:v>
                </c:pt>
                <c:pt idx="2433">
                  <c:v>16</c:v>
                </c:pt>
                <c:pt idx="2434">
                  <c:v>40</c:v>
                </c:pt>
                <c:pt idx="2435">
                  <c:v>29</c:v>
                </c:pt>
                <c:pt idx="2436">
                  <c:v>38</c:v>
                </c:pt>
                <c:pt idx="2437">
                  <c:v>34</c:v>
                </c:pt>
                <c:pt idx="2438">
                  <c:v>30</c:v>
                </c:pt>
                <c:pt idx="2439">
                  <c:v>45</c:v>
                </c:pt>
                <c:pt idx="2440">
                  <c:v>47</c:v>
                </c:pt>
                <c:pt idx="2441">
                  <c:v>5</c:v>
                </c:pt>
                <c:pt idx="2442">
                  <c:v>50</c:v>
                </c:pt>
                <c:pt idx="2443">
                  <c:v>24</c:v>
                </c:pt>
                <c:pt idx="2444">
                  <c:v>15</c:v>
                </c:pt>
                <c:pt idx="2445">
                  <c:v>50</c:v>
                </c:pt>
                <c:pt idx="2446">
                  <c:v>7</c:v>
                </c:pt>
                <c:pt idx="2447">
                  <c:v>10</c:v>
                </c:pt>
                <c:pt idx="2448">
                  <c:v>38</c:v>
                </c:pt>
                <c:pt idx="2449">
                  <c:v>31</c:v>
                </c:pt>
                <c:pt idx="2450">
                  <c:v>7</c:v>
                </c:pt>
                <c:pt idx="2451">
                  <c:v>27</c:v>
                </c:pt>
                <c:pt idx="2452">
                  <c:v>45</c:v>
                </c:pt>
                <c:pt idx="2453">
                  <c:v>13</c:v>
                </c:pt>
                <c:pt idx="2454">
                  <c:v>33</c:v>
                </c:pt>
                <c:pt idx="2455">
                  <c:v>25</c:v>
                </c:pt>
                <c:pt idx="2456">
                  <c:v>5</c:v>
                </c:pt>
                <c:pt idx="2457">
                  <c:v>23</c:v>
                </c:pt>
                <c:pt idx="2458">
                  <c:v>17</c:v>
                </c:pt>
                <c:pt idx="2459">
                  <c:v>14</c:v>
                </c:pt>
                <c:pt idx="2460">
                  <c:v>28</c:v>
                </c:pt>
                <c:pt idx="2461">
                  <c:v>19</c:v>
                </c:pt>
                <c:pt idx="2462">
                  <c:v>31</c:v>
                </c:pt>
                <c:pt idx="2463">
                  <c:v>25</c:v>
                </c:pt>
                <c:pt idx="2464">
                  <c:v>4</c:v>
                </c:pt>
                <c:pt idx="2465">
                  <c:v>20</c:v>
                </c:pt>
                <c:pt idx="2466">
                  <c:v>37</c:v>
                </c:pt>
                <c:pt idx="2467">
                  <c:v>28</c:v>
                </c:pt>
                <c:pt idx="2468">
                  <c:v>6</c:v>
                </c:pt>
                <c:pt idx="2469">
                  <c:v>27</c:v>
                </c:pt>
                <c:pt idx="2470">
                  <c:v>29</c:v>
                </c:pt>
                <c:pt idx="2471">
                  <c:v>1</c:v>
                </c:pt>
                <c:pt idx="2472">
                  <c:v>31</c:v>
                </c:pt>
                <c:pt idx="2473">
                  <c:v>28</c:v>
                </c:pt>
                <c:pt idx="2474">
                  <c:v>19</c:v>
                </c:pt>
                <c:pt idx="2475">
                  <c:v>36</c:v>
                </c:pt>
                <c:pt idx="2476">
                  <c:v>28</c:v>
                </c:pt>
                <c:pt idx="2477">
                  <c:v>29</c:v>
                </c:pt>
                <c:pt idx="2478">
                  <c:v>9</c:v>
                </c:pt>
                <c:pt idx="2479">
                  <c:v>26</c:v>
                </c:pt>
                <c:pt idx="2480">
                  <c:v>7</c:v>
                </c:pt>
                <c:pt idx="2481">
                  <c:v>35</c:v>
                </c:pt>
                <c:pt idx="2482">
                  <c:v>46</c:v>
                </c:pt>
                <c:pt idx="2483">
                  <c:v>8</c:v>
                </c:pt>
                <c:pt idx="2484">
                  <c:v>50</c:v>
                </c:pt>
                <c:pt idx="2485">
                  <c:v>37</c:v>
                </c:pt>
                <c:pt idx="2486">
                  <c:v>6</c:v>
                </c:pt>
                <c:pt idx="2487">
                  <c:v>16</c:v>
                </c:pt>
                <c:pt idx="2488">
                  <c:v>30</c:v>
                </c:pt>
                <c:pt idx="2489">
                  <c:v>50</c:v>
                </c:pt>
                <c:pt idx="2490">
                  <c:v>5</c:v>
                </c:pt>
                <c:pt idx="2491">
                  <c:v>15</c:v>
                </c:pt>
                <c:pt idx="2492">
                  <c:v>34</c:v>
                </c:pt>
                <c:pt idx="2493">
                  <c:v>6</c:v>
                </c:pt>
                <c:pt idx="2494">
                  <c:v>26</c:v>
                </c:pt>
                <c:pt idx="2495">
                  <c:v>34</c:v>
                </c:pt>
                <c:pt idx="2496">
                  <c:v>37</c:v>
                </c:pt>
                <c:pt idx="2497">
                  <c:v>28</c:v>
                </c:pt>
                <c:pt idx="2498">
                  <c:v>38</c:v>
                </c:pt>
                <c:pt idx="2499">
                  <c:v>2</c:v>
                </c:pt>
                <c:pt idx="2500">
                  <c:v>32</c:v>
                </c:pt>
                <c:pt idx="2501">
                  <c:v>30</c:v>
                </c:pt>
                <c:pt idx="2502">
                  <c:v>17</c:v>
                </c:pt>
                <c:pt idx="2503">
                  <c:v>5</c:v>
                </c:pt>
                <c:pt idx="2504">
                  <c:v>31</c:v>
                </c:pt>
                <c:pt idx="2505">
                  <c:v>43</c:v>
                </c:pt>
                <c:pt idx="2506">
                  <c:v>19</c:v>
                </c:pt>
                <c:pt idx="2507">
                  <c:v>32</c:v>
                </c:pt>
                <c:pt idx="2508">
                  <c:v>5</c:v>
                </c:pt>
                <c:pt idx="2509">
                  <c:v>9</c:v>
                </c:pt>
                <c:pt idx="2510">
                  <c:v>48</c:v>
                </c:pt>
                <c:pt idx="2511">
                  <c:v>1</c:v>
                </c:pt>
                <c:pt idx="2512">
                  <c:v>20</c:v>
                </c:pt>
                <c:pt idx="2513">
                  <c:v>42</c:v>
                </c:pt>
                <c:pt idx="2514">
                  <c:v>45</c:v>
                </c:pt>
                <c:pt idx="2515">
                  <c:v>41</c:v>
                </c:pt>
                <c:pt idx="2516">
                  <c:v>36</c:v>
                </c:pt>
                <c:pt idx="2517">
                  <c:v>10</c:v>
                </c:pt>
                <c:pt idx="2518">
                  <c:v>31</c:v>
                </c:pt>
                <c:pt idx="2519">
                  <c:v>21</c:v>
                </c:pt>
                <c:pt idx="2520">
                  <c:v>16</c:v>
                </c:pt>
                <c:pt idx="2521">
                  <c:v>18</c:v>
                </c:pt>
                <c:pt idx="2522">
                  <c:v>20</c:v>
                </c:pt>
                <c:pt idx="2523">
                  <c:v>21</c:v>
                </c:pt>
                <c:pt idx="2524">
                  <c:v>23</c:v>
                </c:pt>
                <c:pt idx="2525">
                  <c:v>20</c:v>
                </c:pt>
                <c:pt idx="2526">
                  <c:v>30</c:v>
                </c:pt>
                <c:pt idx="2527">
                  <c:v>33</c:v>
                </c:pt>
                <c:pt idx="2528">
                  <c:v>31</c:v>
                </c:pt>
                <c:pt idx="2529">
                  <c:v>48</c:v>
                </c:pt>
                <c:pt idx="2530">
                  <c:v>28</c:v>
                </c:pt>
                <c:pt idx="2531">
                  <c:v>7</c:v>
                </c:pt>
                <c:pt idx="2532">
                  <c:v>4</c:v>
                </c:pt>
                <c:pt idx="2533">
                  <c:v>49</c:v>
                </c:pt>
                <c:pt idx="2534">
                  <c:v>22</c:v>
                </c:pt>
                <c:pt idx="2535">
                  <c:v>39</c:v>
                </c:pt>
                <c:pt idx="2536">
                  <c:v>45</c:v>
                </c:pt>
                <c:pt idx="2537">
                  <c:v>30</c:v>
                </c:pt>
                <c:pt idx="2538">
                  <c:v>33</c:v>
                </c:pt>
                <c:pt idx="2539">
                  <c:v>24</c:v>
                </c:pt>
                <c:pt idx="2540">
                  <c:v>11</c:v>
                </c:pt>
                <c:pt idx="2541">
                  <c:v>13</c:v>
                </c:pt>
                <c:pt idx="2542">
                  <c:v>27</c:v>
                </c:pt>
                <c:pt idx="2543">
                  <c:v>30</c:v>
                </c:pt>
                <c:pt idx="2544">
                  <c:v>39</c:v>
                </c:pt>
                <c:pt idx="2545">
                  <c:v>10</c:v>
                </c:pt>
                <c:pt idx="2546">
                  <c:v>4</c:v>
                </c:pt>
                <c:pt idx="2547">
                  <c:v>16</c:v>
                </c:pt>
                <c:pt idx="2548">
                  <c:v>34</c:v>
                </c:pt>
                <c:pt idx="2549">
                  <c:v>11</c:v>
                </c:pt>
                <c:pt idx="2550">
                  <c:v>30</c:v>
                </c:pt>
                <c:pt idx="2551">
                  <c:v>40</c:v>
                </c:pt>
                <c:pt idx="2552">
                  <c:v>13</c:v>
                </c:pt>
                <c:pt idx="2553">
                  <c:v>28</c:v>
                </c:pt>
                <c:pt idx="2554">
                  <c:v>49</c:v>
                </c:pt>
                <c:pt idx="2555">
                  <c:v>23</c:v>
                </c:pt>
                <c:pt idx="2556">
                  <c:v>4</c:v>
                </c:pt>
                <c:pt idx="2557">
                  <c:v>17</c:v>
                </c:pt>
                <c:pt idx="2558">
                  <c:v>24</c:v>
                </c:pt>
                <c:pt idx="2559">
                  <c:v>21</c:v>
                </c:pt>
                <c:pt idx="2560">
                  <c:v>17</c:v>
                </c:pt>
                <c:pt idx="2561">
                  <c:v>22</c:v>
                </c:pt>
                <c:pt idx="2562">
                  <c:v>27</c:v>
                </c:pt>
                <c:pt idx="2563">
                  <c:v>1</c:v>
                </c:pt>
                <c:pt idx="2564">
                  <c:v>27</c:v>
                </c:pt>
                <c:pt idx="2565">
                  <c:v>8</c:v>
                </c:pt>
                <c:pt idx="2566">
                  <c:v>43</c:v>
                </c:pt>
                <c:pt idx="2567">
                  <c:v>24</c:v>
                </c:pt>
                <c:pt idx="2568">
                  <c:v>29</c:v>
                </c:pt>
                <c:pt idx="2569">
                  <c:v>10</c:v>
                </c:pt>
                <c:pt idx="2570">
                  <c:v>12</c:v>
                </c:pt>
                <c:pt idx="2571">
                  <c:v>48</c:v>
                </c:pt>
                <c:pt idx="2572">
                  <c:v>40</c:v>
                </c:pt>
                <c:pt idx="2573">
                  <c:v>1</c:v>
                </c:pt>
                <c:pt idx="2574">
                  <c:v>26</c:v>
                </c:pt>
                <c:pt idx="2575">
                  <c:v>9</c:v>
                </c:pt>
                <c:pt idx="2576">
                  <c:v>19</c:v>
                </c:pt>
                <c:pt idx="2577">
                  <c:v>37</c:v>
                </c:pt>
                <c:pt idx="2578">
                  <c:v>3</c:v>
                </c:pt>
                <c:pt idx="2579">
                  <c:v>40</c:v>
                </c:pt>
                <c:pt idx="2580">
                  <c:v>13</c:v>
                </c:pt>
                <c:pt idx="2581">
                  <c:v>48</c:v>
                </c:pt>
                <c:pt idx="2582">
                  <c:v>4</c:v>
                </c:pt>
                <c:pt idx="2583">
                  <c:v>9</c:v>
                </c:pt>
                <c:pt idx="2584">
                  <c:v>26</c:v>
                </c:pt>
                <c:pt idx="2585">
                  <c:v>19</c:v>
                </c:pt>
                <c:pt idx="2586">
                  <c:v>1</c:v>
                </c:pt>
                <c:pt idx="2587">
                  <c:v>29</c:v>
                </c:pt>
                <c:pt idx="2588">
                  <c:v>38</c:v>
                </c:pt>
                <c:pt idx="2589">
                  <c:v>31</c:v>
                </c:pt>
                <c:pt idx="2590">
                  <c:v>35</c:v>
                </c:pt>
                <c:pt idx="2591">
                  <c:v>40</c:v>
                </c:pt>
                <c:pt idx="2592">
                  <c:v>13</c:v>
                </c:pt>
                <c:pt idx="2593">
                  <c:v>9</c:v>
                </c:pt>
                <c:pt idx="2594">
                  <c:v>25</c:v>
                </c:pt>
                <c:pt idx="2595">
                  <c:v>3</c:v>
                </c:pt>
                <c:pt idx="2596">
                  <c:v>35</c:v>
                </c:pt>
                <c:pt idx="2597">
                  <c:v>13</c:v>
                </c:pt>
                <c:pt idx="2598">
                  <c:v>31</c:v>
                </c:pt>
                <c:pt idx="2599">
                  <c:v>48</c:v>
                </c:pt>
                <c:pt idx="2600">
                  <c:v>6</c:v>
                </c:pt>
                <c:pt idx="2601">
                  <c:v>43</c:v>
                </c:pt>
                <c:pt idx="2602">
                  <c:v>1</c:v>
                </c:pt>
                <c:pt idx="2603">
                  <c:v>8</c:v>
                </c:pt>
                <c:pt idx="2604">
                  <c:v>6</c:v>
                </c:pt>
                <c:pt idx="2605">
                  <c:v>32</c:v>
                </c:pt>
                <c:pt idx="2606">
                  <c:v>46</c:v>
                </c:pt>
                <c:pt idx="2607">
                  <c:v>38</c:v>
                </c:pt>
                <c:pt idx="2608">
                  <c:v>48</c:v>
                </c:pt>
                <c:pt idx="2609">
                  <c:v>18</c:v>
                </c:pt>
                <c:pt idx="2610">
                  <c:v>25</c:v>
                </c:pt>
                <c:pt idx="2611">
                  <c:v>4</c:v>
                </c:pt>
                <c:pt idx="2612">
                  <c:v>27</c:v>
                </c:pt>
                <c:pt idx="2613">
                  <c:v>14</c:v>
                </c:pt>
                <c:pt idx="2614">
                  <c:v>36</c:v>
                </c:pt>
                <c:pt idx="2615">
                  <c:v>6</c:v>
                </c:pt>
                <c:pt idx="2616">
                  <c:v>46</c:v>
                </c:pt>
                <c:pt idx="2617">
                  <c:v>29</c:v>
                </c:pt>
                <c:pt idx="2618">
                  <c:v>12</c:v>
                </c:pt>
                <c:pt idx="2619">
                  <c:v>47</c:v>
                </c:pt>
                <c:pt idx="2620">
                  <c:v>28</c:v>
                </c:pt>
                <c:pt idx="2621">
                  <c:v>21</c:v>
                </c:pt>
                <c:pt idx="2622">
                  <c:v>15</c:v>
                </c:pt>
                <c:pt idx="2623">
                  <c:v>38</c:v>
                </c:pt>
                <c:pt idx="2624">
                  <c:v>19</c:v>
                </c:pt>
                <c:pt idx="2625">
                  <c:v>31</c:v>
                </c:pt>
                <c:pt idx="2626">
                  <c:v>30</c:v>
                </c:pt>
                <c:pt idx="2627">
                  <c:v>40</c:v>
                </c:pt>
                <c:pt idx="2628">
                  <c:v>42</c:v>
                </c:pt>
                <c:pt idx="2629">
                  <c:v>25</c:v>
                </c:pt>
                <c:pt idx="2630">
                  <c:v>20</c:v>
                </c:pt>
                <c:pt idx="2631">
                  <c:v>3</c:v>
                </c:pt>
                <c:pt idx="2632">
                  <c:v>14</c:v>
                </c:pt>
                <c:pt idx="2633">
                  <c:v>32</c:v>
                </c:pt>
                <c:pt idx="2634">
                  <c:v>20</c:v>
                </c:pt>
                <c:pt idx="2635">
                  <c:v>34</c:v>
                </c:pt>
                <c:pt idx="2636">
                  <c:v>6</c:v>
                </c:pt>
                <c:pt idx="2637">
                  <c:v>2</c:v>
                </c:pt>
                <c:pt idx="2638">
                  <c:v>35</c:v>
                </c:pt>
                <c:pt idx="2639">
                  <c:v>33</c:v>
                </c:pt>
                <c:pt idx="2640">
                  <c:v>45</c:v>
                </c:pt>
                <c:pt idx="2641">
                  <c:v>20</c:v>
                </c:pt>
                <c:pt idx="2642">
                  <c:v>48</c:v>
                </c:pt>
                <c:pt idx="2643">
                  <c:v>37</c:v>
                </c:pt>
                <c:pt idx="2644">
                  <c:v>4</c:v>
                </c:pt>
                <c:pt idx="2645">
                  <c:v>24</c:v>
                </c:pt>
                <c:pt idx="2646">
                  <c:v>4</c:v>
                </c:pt>
                <c:pt idx="2647">
                  <c:v>25</c:v>
                </c:pt>
                <c:pt idx="2648">
                  <c:v>14</c:v>
                </c:pt>
                <c:pt idx="2649">
                  <c:v>14</c:v>
                </c:pt>
                <c:pt idx="2650">
                  <c:v>46</c:v>
                </c:pt>
                <c:pt idx="2651">
                  <c:v>27</c:v>
                </c:pt>
                <c:pt idx="2652">
                  <c:v>46</c:v>
                </c:pt>
                <c:pt idx="2653">
                  <c:v>24</c:v>
                </c:pt>
                <c:pt idx="2654">
                  <c:v>4</c:v>
                </c:pt>
                <c:pt idx="2655">
                  <c:v>2</c:v>
                </c:pt>
                <c:pt idx="2656">
                  <c:v>29</c:v>
                </c:pt>
                <c:pt idx="2657">
                  <c:v>7</c:v>
                </c:pt>
                <c:pt idx="2658">
                  <c:v>39</c:v>
                </c:pt>
                <c:pt idx="2659">
                  <c:v>46</c:v>
                </c:pt>
                <c:pt idx="2660">
                  <c:v>44</c:v>
                </c:pt>
                <c:pt idx="2661">
                  <c:v>20</c:v>
                </c:pt>
                <c:pt idx="2662">
                  <c:v>44</c:v>
                </c:pt>
                <c:pt idx="2663">
                  <c:v>23</c:v>
                </c:pt>
                <c:pt idx="2664">
                  <c:v>37</c:v>
                </c:pt>
                <c:pt idx="2665">
                  <c:v>4</c:v>
                </c:pt>
                <c:pt idx="2666">
                  <c:v>14</c:v>
                </c:pt>
                <c:pt idx="2667">
                  <c:v>31</c:v>
                </c:pt>
                <c:pt idx="2668">
                  <c:v>9</c:v>
                </c:pt>
                <c:pt idx="2669">
                  <c:v>31</c:v>
                </c:pt>
                <c:pt idx="2670">
                  <c:v>26</c:v>
                </c:pt>
                <c:pt idx="2671">
                  <c:v>41</c:v>
                </c:pt>
                <c:pt idx="2672">
                  <c:v>13</c:v>
                </c:pt>
                <c:pt idx="2673">
                  <c:v>4</c:v>
                </c:pt>
                <c:pt idx="2674">
                  <c:v>15</c:v>
                </c:pt>
                <c:pt idx="2675">
                  <c:v>38</c:v>
                </c:pt>
                <c:pt idx="2676">
                  <c:v>3</c:v>
                </c:pt>
                <c:pt idx="2677">
                  <c:v>6</c:v>
                </c:pt>
                <c:pt idx="2678">
                  <c:v>34</c:v>
                </c:pt>
                <c:pt idx="2679">
                  <c:v>7</c:v>
                </c:pt>
                <c:pt idx="2680">
                  <c:v>21</c:v>
                </c:pt>
                <c:pt idx="2681">
                  <c:v>17</c:v>
                </c:pt>
                <c:pt idx="2682">
                  <c:v>5</c:v>
                </c:pt>
                <c:pt idx="2683">
                  <c:v>21</c:v>
                </c:pt>
                <c:pt idx="2684">
                  <c:v>42</c:v>
                </c:pt>
                <c:pt idx="2685">
                  <c:v>49</c:v>
                </c:pt>
                <c:pt idx="2686">
                  <c:v>33</c:v>
                </c:pt>
                <c:pt idx="2687">
                  <c:v>12</c:v>
                </c:pt>
                <c:pt idx="2688">
                  <c:v>18</c:v>
                </c:pt>
                <c:pt idx="2689">
                  <c:v>47</c:v>
                </c:pt>
                <c:pt idx="2690">
                  <c:v>18</c:v>
                </c:pt>
                <c:pt idx="2691">
                  <c:v>48</c:v>
                </c:pt>
                <c:pt idx="2692">
                  <c:v>18</c:v>
                </c:pt>
                <c:pt idx="2693">
                  <c:v>46</c:v>
                </c:pt>
                <c:pt idx="2694">
                  <c:v>34</c:v>
                </c:pt>
                <c:pt idx="2695">
                  <c:v>10</c:v>
                </c:pt>
                <c:pt idx="2696">
                  <c:v>12</c:v>
                </c:pt>
                <c:pt idx="2697">
                  <c:v>36</c:v>
                </c:pt>
                <c:pt idx="2698">
                  <c:v>34</c:v>
                </c:pt>
                <c:pt idx="2699">
                  <c:v>49</c:v>
                </c:pt>
                <c:pt idx="2700">
                  <c:v>36</c:v>
                </c:pt>
                <c:pt idx="2701">
                  <c:v>18</c:v>
                </c:pt>
                <c:pt idx="2702">
                  <c:v>39</c:v>
                </c:pt>
                <c:pt idx="2703">
                  <c:v>34</c:v>
                </c:pt>
                <c:pt idx="2704">
                  <c:v>35</c:v>
                </c:pt>
                <c:pt idx="2705">
                  <c:v>1</c:v>
                </c:pt>
                <c:pt idx="2706">
                  <c:v>48</c:v>
                </c:pt>
                <c:pt idx="2707">
                  <c:v>19</c:v>
                </c:pt>
                <c:pt idx="2708">
                  <c:v>44</c:v>
                </c:pt>
                <c:pt idx="2709">
                  <c:v>9</c:v>
                </c:pt>
                <c:pt idx="2710">
                  <c:v>3</c:v>
                </c:pt>
                <c:pt idx="2711">
                  <c:v>50</c:v>
                </c:pt>
                <c:pt idx="2712">
                  <c:v>7</c:v>
                </c:pt>
                <c:pt idx="2713">
                  <c:v>20</c:v>
                </c:pt>
                <c:pt idx="2714">
                  <c:v>16</c:v>
                </c:pt>
                <c:pt idx="2715">
                  <c:v>29</c:v>
                </c:pt>
                <c:pt idx="2716">
                  <c:v>21</c:v>
                </c:pt>
                <c:pt idx="2717">
                  <c:v>19</c:v>
                </c:pt>
                <c:pt idx="2718">
                  <c:v>10</c:v>
                </c:pt>
                <c:pt idx="2719">
                  <c:v>4</c:v>
                </c:pt>
                <c:pt idx="2720">
                  <c:v>45</c:v>
                </c:pt>
                <c:pt idx="2721">
                  <c:v>17</c:v>
                </c:pt>
                <c:pt idx="2722">
                  <c:v>22</c:v>
                </c:pt>
                <c:pt idx="2723">
                  <c:v>3</c:v>
                </c:pt>
                <c:pt idx="2724">
                  <c:v>11</c:v>
                </c:pt>
                <c:pt idx="2725">
                  <c:v>4</c:v>
                </c:pt>
                <c:pt idx="2726">
                  <c:v>11</c:v>
                </c:pt>
                <c:pt idx="2727">
                  <c:v>47</c:v>
                </c:pt>
                <c:pt idx="2728">
                  <c:v>17</c:v>
                </c:pt>
                <c:pt idx="2729">
                  <c:v>32</c:v>
                </c:pt>
                <c:pt idx="2730">
                  <c:v>37</c:v>
                </c:pt>
                <c:pt idx="2731">
                  <c:v>44</c:v>
                </c:pt>
                <c:pt idx="2732">
                  <c:v>27</c:v>
                </c:pt>
                <c:pt idx="2733">
                  <c:v>46</c:v>
                </c:pt>
                <c:pt idx="2734">
                  <c:v>13</c:v>
                </c:pt>
                <c:pt idx="2735">
                  <c:v>2</c:v>
                </c:pt>
                <c:pt idx="2736">
                  <c:v>45</c:v>
                </c:pt>
                <c:pt idx="2737">
                  <c:v>35</c:v>
                </c:pt>
                <c:pt idx="2738">
                  <c:v>39</c:v>
                </c:pt>
                <c:pt idx="2739">
                  <c:v>39</c:v>
                </c:pt>
                <c:pt idx="2740">
                  <c:v>34</c:v>
                </c:pt>
                <c:pt idx="2741">
                  <c:v>41</c:v>
                </c:pt>
                <c:pt idx="2742">
                  <c:v>47</c:v>
                </c:pt>
                <c:pt idx="2743">
                  <c:v>17</c:v>
                </c:pt>
                <c:pt idx="2744">
                  <c:v>40</c:v>
                </c:pt>
                <c:pt idx="2745">
                  <c:v>44</c:v>
                </c:pt>
                <c:pt idx="2746">
                  <c:v>21</c:v>
                </c:pt>
                <c:pt idx="2747">
                  <c:v>21</c:v>
                </c:pt>
                <c:pt idx="2748">
                  <c:v>16</c:v>
                </c:pt>
                <c:pt idx="2749">
                  <c:v>15</c:v>
                </c:pt>
                <c:pt idx="2750">
                  <c:v>26</c:v>
                </c:pt>
                <c:pt idx="2751">
                  <c:v>50</c:v>
                </c:pt>
                <c:pt idx="2752">
                  <c:v>30</c:v>
                </c:pt>
                <c:pt idx="2753">
                  <c:v>48</c:v>
                </c:pt>
                <c:pt idx="2754">
                  <c:v>21</c:v>
                </c:pt>
                <c:pt idx="2755">
                  <c:v>18</c:v>
                </c:pt>
                <c:pt idx="2756">
                  <c:v>41</c:v>
                </c:pt>
                <c:pt idx="2757">
                  <c:v>11</c:v>
                </c:pt>
                <c:pt idx="2758">
                  <c:v>8</c:v>
                </c:pt>
                <c:pt idx="2759">
                  <c:v>42</c:v>
                </c:pt>
                <c:pt idx="2760">
                  <c:v>41</c:v>
                </c:pt>
                <c:pt idx="2761">
                  <c:v>3</c:v>
                </c:pt>
                <c:pt idx="2762">
                  <c:v>10</c:v>
                </c:pt>
                <c:pt idx="2763">
                  <c:v>35</c:v>
                </c:pt>
                <c:pt idx="2764">
                  <c:v>2</c:v>
                </c:pt>
                <c:pt idx="2765">
                  <c:v>24</c:v>
                </c:pt>
                <c:pt idx="2766">
                  <c:v>47</c:v>
                </c:pt>
                <c:pt idx="2767">
                  <c:v>31</c:v>
                </c:pt>
                <c:pt idx="2768">
                  <c:v>28</c:v>
                </c:pt>
                <c:pt idx="2769">
                  <c:v>13</c:v>
                </c:pt>
                <c:pt idx="2770">
                  <c:v>22</c:v>
                </c:pt>
                <c:pt idx="2771">
                  <c:v>12</c:v>
                </c:pt>
                <c:pt idx="2772">
                  <c:v>10</c:v>
                </c:pt>
                <c:pt idx="2773">
                  <c:v>45</c:v>
                </c:pt>
                <c:pt idx="2774">
                  <c:v>42</c:v>
                </c:pt>
                <c:pt idx="2775">
                  <c:v>16</c:v>
                </c:pt>
                <c:pt idx="2776">
                  <c:v>6</c:v>
                </c:pt>
                <c:pt idx="2777">
                  <c:v>28</c:v>
                </c:pt>
                <c:pt idx="2778">
                  <c:v>24</c:v>
                </c:pt>
                <c:pt idx="2779">
                  <c:v>14</c:v>
                </c:pt>
                <c:pt idx="2780">
                  <c:v>29</c:v>
                </c:pt>
                <c:pt idx="2781">
                  <c:v>33</c:v>
                </c:pt>
                <c:pt idx="2782">
                  <c:v>30</c:v>
                </c:pt>
                <c:pt idx="2783">
                  <c:v>26</c:v>
                </c:pt>
                <c:pt idx="2784">
                  <c:v>12</c:v>
                </c:pt>
                <c:pt idx="2785">
                  <c:v>13</c:v>
                </c:pt>
                <c:pt idx="2786">
                  <c:v>41</c:v>
                </c:pt>
                <c:pt idx="2787">
                  <c:v>4</c:v>
                </c:pt>
                <c:pt idx="2788">
                  <c:v>2</c:v>
                </c:pt>
                <c:pt idx="2789">
                  <c:v>28</c:v>
                </c:pt>
                <c:pt idx="2790">
                  <c:v>24</c:v>
                </c:pt>
                <c:pt idx="2791">
                  <c:v>14</c:v>
                </c:pt>
                <c:pt idx="2792">
                  <c:v>11</c:v>
                </c:pt>
                <c:pt idx="2793">
                  <c:v>27</c:v>
                </c:pt>
                <c:pt idx="2794">
                  <c:v>7</c:v>
                </c:pt>
                <c:pt idx="2795">
                  <c:v>49</c:v>
                </c:pt>
                <c:pt idx="2796">
                  <c:v>21</c:v>
                </c:pt>
                <c:pt idx="2797">
                  <c:v>10</c:v>
                </c:pt>
                <c:pt idx="2798">
                  <c:v>37</c:v>
                </c:pt>
                <c:pt idx="2799">
                  <c:v>9</c:v>
                </c:pt>
                <c:pt idx="2800">
                  <c:v>14</c:v>
                </c:pt>
                <c:pt idx="2801">
                  <c:v>30</c:v>
                </c:pt>
                <c:pt idx="2802">
                  <c:v>42</c:v>
                </c:pt>
                <c:pt idx="2803">
                  <c:v>31</c:v>
                </c:pt>
                <c:pt idx="2804">
                  <c:v>48</c:v>
                </c:pt>
                <c:pt idx="2805">
                  <c:v>48</c:v>
                </c:pt>
                <c:pt idx="2806">
                  <c:v>50</c:v>
                </c:pt>
                <c:pt idx="2807">
                  <c:v>10</c:v>
                </c:pt>
                <c:pt idx="2808">
                  <c:v>45</c:v>
                </c:pt>
                <c:pt idx="2809">
                  <c:v>27</c:v>
                </c:pt>
                <c:pt idx="2810">
                  <c:v>10</c:v>
                </c:pt>
                <c:pt idx="2811">
                  <c:v>19</c:v>
                </c:pt>
                <c:pt idx="2812">
                  <c:v>1</c:v>
                </c:pt>
                <c:pt idx="2813">
                  <c:v>39</c:v>
                </c:pt>
                <c:pt idx="2814">
                  <c:v>14</c:v>
                </c:pt>
                <c:pt idx="2815">
                  <c:v>40</c:v>
                </c:pt>
                <c:pt idx="2816">
                  <c:v>45</c:v>
                </c:pt>
                <c:pt idx="2817">
                  <c:v>6</c:v>
                </c:pt>
                <c:pt idx="2818">
                  <c:v>12</c:v>
                </c:pt>
                <c:pt idx="2819">
                  <c:v>19</c:v>
                </c:pt>
                <c:pt idx="2820">
                  <c:v>5</c:v>
                </c:pt>
                <c:pt idx="2821">
                  <c:v>37</c:v>
                </c:pt>
                <c:pt idx="2822">
                  <c:v>33</c:v>
                </c:pt>
                <c:pt idx="2823">
                  <c:v>47</c:v>
                </c:pt>
                <c:pt idx="2824">
                  <c:v>49</c:v>
                </c:pt>
                <c:pt idx="2825">
                  <c:v>28</c:v>
                </c:pt>
                <c:pt idx="2826">
                  <c:v>23</c:v>
                </c:pt>
                <c:pt idx="2827">
                  <c:v>11</c:v>
                </c:pt>
                <c:pt idx="2828">
                  <c:v>33</c:v>
                </c:pt>
                <c:pt idx="2829">
                  <c:v>47</c:v>
                </c:pt>
                <c:pt idx="2830">
                  <c:v>13</c:v>
                </c:pt>
                <c:pt idx="2831">
                  <c:v>4</c:v>
                </c:pt>
                <c:pt idx="2832">
                  <c:v>40</c:v>
                </c:pt>
                <c:pt idx="2833">
                  <c:v>19</c:v>
                </c:pt>
                <c:pt idx="2834">
                  <c:v>17</c:v>
                </c:pt>
                <c:pt idx="2835">
                  <c:v>7</c:v>
                </c:pt>
                <c:pt idx="2836">
                  <c:v>21</c:v>
                </c:pt>
                <c:pt idx="2837">
                  <c:v>44</c:v>
                </c:pt>
                <c:pt idx="2838">
                  <c:v>2</c:v>
                </c:pt>
                <c:pt idx="2839">
                  <c:v>30</c:v>
                </c:pt>
                <c:pt idx="2840">
                  <c:v>41</c:v>
                </c:pt>
                <c:pt idx="2841">
                  <c:v>31</c:v>
                </c:pt>
                <c:pt idx="2842">
                  <c:v>48</c:v>
                </c:pt>
                <c:pt idx="2843">
                  <c:v>41</c:v>
                </c:pt>
                <c:pt idx="2844">
                  <c:v>42</c:v>
                </c:pt>
                <c:pt idx="2845">
                  <c:v>39</c:v>
                </c:pt>
                <c:pt idx="2846">
                  <c:v>15</c:v>
                </c:pt>
                <c:pt idx="2847">
                  <c:v>3</c:v>
                </c:pt>
                <c:pt idx="2848">
                  <c:v>28</c:v>
                </c:pt>
                <c:pt idx="2849">
                  <c:v>27</c:v>
                </c:pt>
                <c:pt idx="2850">
                  <c:v>36</c:v>
                </c:pt>
                <c:pt idx="2851">
                  <c:v>42</c:v>
                </c:pt>
                <c:pt idx="2852">
                  <c:v>30</c:v>
                </c:pt>
                <c:pt idx="2853">
                  <c:v>9</c:v>
                </c:pt>
                <c:pt idx="2854">
                  <c:v>25</c:v>
                </c:pt>
                <c:pt idx="2855">
                  <c:v>33</c:v>
                </c:pt>
                <c:pt idx="2856">
                  <c:v>31</c:v>
                </c:pt>
                <c:pt idx="2857">
                  <c:v>35</c:v>
                </c:pt>
                <c:pt idx="2858">
                  <c:v>46</c:v>
                </c:pt>
                <c:pt idx="2859">
                  <c:v>29</c:v>
                </c:pt>
                <c:pt idx="2860">
                  <c:v>49</c:v>
                </c:pt>
                <c:pt idx="2861">
                  <c:v>27</c:v>
                </c:pt>
                <c:pt idx="2862">
                  <c:v>5</c:v>
                </c:pt>
                <c:pt idx="2863">
                  <c:v>18</c:v>
                </c:pt>
                <c:pt idx="2864">
                  <c:v>31</c:v>
                </c:pt>
                <c:pt idx="2865">
                  <c:v>27</c:v>
                </c:pt>
                <c:pt idx="2866">
                  <c:v>19</c:v>
                </c:pt>
                <c:pt idx="2867">
                  <c:v>33</c:v>
                </c:pt>
                <c:pt idx="2868">
                  <c:v>42</c:v>
                </c:pt>
                <c:pt idx="2869">
                  <c:v>16</c:v>
                </c:pt>
                <c:pt idx="2870">
                  <c:v>49</c:v>
                </c:pt>
                <c:pt idx="2871">
                  <c:v>40</c:v>
                </c:pt>
                <c:pt idx="2872">
                  <c:v>5</c:v>
                </c:pt>
                <c:pt idx="2873">
                  <c:v>8</c:v>
                </c:pt>
                <c:pt idx="2874">
                  <c:v>2</c:v>
                </c:pt>
                <c:pt idx="2875">
                  <c:v>14</c:v>
                </c:pt>
                <c:pt idx="2876">
                  <c:v>5</c:v>
                </c:pt>
                <c:pt idx="2877">
                  <c:v>34</c:v>
                </c:pt>
                <c:pt idx="2878">
                  <c:v>13</c:v>
                </c:pt>
                <c:pt idx="2879">
                  <c:v>31</c:v>
                </c:pt>
                <c:pt idx="2880">
                  <c:v>43</c:v>
                </c:pt>
                <c:pt idx="2881">
                  <c:v>6</c:v>
                </c:pt>
                <c:pt idx="2882">
                  <c:v>23</c:v>
                </c:pt>
                <c:pt idx="2883">
                  <c:v>10</c:v>
                </c:pt>
                <c:pt idx="2884">
                  <c:v>47</c:v>
                </c:pt>
                <c:pt idx="2885">
                  <c:v>14</c:v>
                </c:pt>
                <c:pt idx="2886">
                  <c:v>29</c:v>
                </c:pt>
                <c:pt idx="2887">
                  <c:v>12</c:v>
                </c:pt>
                <c:pt idx="2888">
                  <c:v>25</c:v>
                </c:pt>
                <c:pt idx="2889">
                  <c:v>21</c:v>
                </c:pt>
                <c:pt idx="2890">
                  <c:v>23</c:v>
                </c:pt>
                <c:pt idx="2891">
                  <c:v>10</c:v>
                </c:pt>
                <c:pt idx="2892">
                  <c:v>47</c:v>
                </c:pt>
                <c:pt idx="2893">
                  <c:v>44</c:v>
                </c:pt>
                <c:pt idx="2894">
                  <c:v>41</c:v>
                </c:pt>
                <c:pt idx="2895">
                  <c:v>29</c:v>
                </c:pt>
                <c:pt idx="2896">
                  <c:v>2</c:v>
                </c:pt>
                <c:pt idx="2897">
                  <c:v>2</c:v>
                </c:pt>
                <c:pt idx="2898">
                  <c:v>29</c:v>
                </c:pt>
                <c:pt idx="2899">
                  <c:v>22</c:v>
                </c:pt>
                <c:pt idx="2900">
                  <c:v>23</c:v>
                </c:pt>
                <c:pt idx="2901">
                  <c:v>46</c:v>
                </c:pt>
                <c:pt idx="2902">
                  <c:v>19</c:v>
                </c:pt>
                <c:pt idx="2903">
                  <c:v>24</c:v>
                </c:pt>
                <c:pt idx="2904">
                  <c:v>43</c:v>
                </c:pt>
                <c:pt idx="2905">
                  <c:v>14</c:v>
                </c:pt>
                <c:pt idx="2906">
                  <c:v>7</c:v>
                </c:pt>
                <c:pt idx="2907">
                  <c:v>50</c:v>
                </c:pt>
                <c:pt idx="2908">
                  <c:v>15</c:v>
                </c:pt>
                <c:pt idx="2909">
                  <c:v>40</c:v>
                </c:pt>
                <c:pt idx="2910">
                  <c:v>41</c:v>
                </c:pt>
                <c:pt idx="2911">
                  <c:v>34</c:v>
                </c:pt>
                <c:pt idx="2912">
                  <c:v>27</c:v>
                </c:pt>
                <c:pt idx="2913">
                  <c:v>12</c:v>
                </c:pt>
                <c:pt idx="2914">
                  <c:v>1</c:v>
                </c:pt>
                <c:pt idx="2915">
                  <c:v>39</c:v>
                </c:pt>
                <c:pt idx="2916">
                  <c:v>13</c:v>
                </c:pt>
                <c:pt idx="2917">
                  <c:v>50</c:v>
                </c:pt>
                <c:pt idx="2918">
                  <c:v>36</c:v>
                </c:pt>
                <c:pt idx="2919">
                  <c:v>31</c:v>
                </c:pt>
                <c:pt idx="2920">
                  <c:v>3</c:v>
                </c:pt>
                <c:pt idx="2921">
                  <c:v>11</c:v>
                </c:pt>
                <c:pt idx="2922">
                  <c:v>16</c:v>
                </c:pt>
                <c:pt idx="2923">
                  <c:v>12</c:v>
                </c:pt>
                <c:pt idx="2924">
                  <c:v>37</c:v>
                </c:pt>
                <c:pt idx="2925">
                  <c:v>43</c:v>
                </c:pt>
                <c:pt idx="2926">
                  <c:v>9</c:v>
                </c:pt>
                <c:pt idx="2927">
                  <c:v>15</c:v>
                </c:pt>
                <c:pt idx="2928">
                  <c:v>17</c:v>
                </c:pt>
                <c:pt idx="2929">
                  <c:v>42</c:v>
                </c:pt>
                <c:pt idx="2930">
                  <c:v>14</c:v>
                </c:pt>
                <c:pt idx="2931">
                  <c:v>49</c:v>
                </c:pt>
                <c:pt idx="2932">
                  <c:v>3</c:v>
                </c:pt>
                <c:pt idx="2933">
                  <c:v>28</c:v>
                </c:pt>
                <c:pt idx="2934">
                  <c:v>41</c:v>
                </c:pt>
                <c:pt idx="2935">
                  <c:v>11</c:v>
                </c:pt>
                <c:pt idx="2936">
                  <c:v>46</c:v>
                </c:pt>
                <c:pt idx="2937">
                  <c:v>15</c:v>
                </c:pt>
                <c:pt idx="2938">
                  <c:v>15</c:v>
                </c:pt>
                <c:pt idx="2939">
                  <c:v>34</c:v>
                </c:pt>
                <c:pt idx="2940">
                  <c:v>13</c:v>
                </c:pt>
                <c:pt idx="2941">
                  <c:v>27</c:v>
                </c:pt>
                <c:pt idx="2942">
                  <c:v>37</c:v>
                </c:pt>
                <c:pt idx="2943">
                  <c:v>37</c:v>
                </c:pt>
                <c:pt idx="2944">
                  <c:v>4</c:v>
                </c:pt>
                <c:pt idx="2945">
                  <c:v>1</c:v>
                </c:pt>
                <c:pt idx="2946">
                  <c:v>29</c:v>
                </c:pt>
                <c:pt idx="2947">
                  <c:v>50</c:v>
                </c:pt>
                <c:pt idx="2948">
                  <c:v>38</c:v>
                </c:pt>
                <c:pt idx="2949">
                  <c:v>15</c:v>
                </c:pt>
                <c:pt idx="2950">
                  <c:v>44</c:v>
                </c:pt>
                <c:pt idx="2951">
                  <c:v>14</c:v>
                </c:pt>
                <c:pt idx="2952">
                  <c:v>5</c:v>
                </c:pt>
                <c:pt idx="2953">
                  <c:v>11</c:v>
                </c:pt>
                <c:pt idx="2954">
                  <c:v>15</c:v>
                </c:pt>
                <c:pt idx="2955">
                  <c:v>46</c:v>
                </c:pt>
                <c:pt idx="2956">
                  <c:v>30</c:v>
                </c:pt>
                <c:pt idx="2957">
                  <c:v>2</c:v>
                </c:pt>
                <c:pt idx="2958">
                  <c:v>28</c:v>
                </c:pt>
                <c:pt idx="2959">
                  <c:v>9</c:v>
                </c:pt>
                <c:pt idx="2960">
                  <c:v>47</c:v>
                </c:pt>
                <c:pt idx="2961">
                  <c:v>21</c:v>
                </c:pt>
                <c:pt idx="2962">
                  <c:v>42</c:v>
                </c:pt>
                <c:pt idx="2963">
                  <c:v>28</c:v>
                </c:pt>
                <c:pt idx="2964">
                  <c:v>13</c:v>
                </c:pt>
                <c:pt idx="2965">
                  <c:v>25</c:v>
                </c:pt>
                <c:pt idx="2966">
                  <c:v>38</c:v>
                </c:pt>
                <c:pt idx="2967">
                  <c:v>40</c:v>
                </c:pt>
                <c:pt idx="2968">
                  <c:v>25</c:v>
                </c:pt>
                <c:pt idx="2969">
                  <c:v>20</c:v>
                </c:pt>
                <c:pt idx="2970">
                  <c:v>44</c:v>
                </c:pt>
                <c:pt idx="2971">
                  <c:v>9</c:v>
                </c:pt>
                <c:pt idx="2972">
                  <c:v>11</c:v>
                </c:pt>
                <c:pt idx="2973">
                  <c:v>3</c:v>
                </c:pt>
                <c:pt idx="2974">
                  <c:v>34</c:v>
                </c:pt>
                <c:pt idx="2975">
                  <c:v>48</c:v>
                </c:pt>
                <c:pt idx="2976">
                  <c:v>28</c:v>
                </c:pt>
                <c:pt idx="2977">
                  <c:v>20</c:v>
                </c:pt>
                <c:pt idx="2978">
                  <c:v>49</c:v>
                </c:pt>
                <c:pt idx="2979">
                  <c:v>14</c:v>
                </c:pt>
                <c:pt idx="2980">
                  <c:v>9</c:v>
                </c:pt>
                <c:pt idx="2981">
                  <c:v>37</c:v>
                </c:pt>
                <c:pt idx="2982">
                  <c:v>4</c:v>
                </c:pt>
                <c:pt idx="2983">
                  <c:v>1</c:v>
                </c:pt>
                <c:pt idx="2984">
                  <c:v>36</c:v>
                </c:pt>
                <c:pt idx="2985">
                  <c:v>21</c:v>
                </c:pt>
                <c:pt idx="2986">
                  <c:v>16</c:v>
                </c:pt>
                <c:pt idx="2987">
                  <c:v>42</c:v>
                </c:pt>
                <c:pt idx="2988">
                  <c:v>31</c:v>
                </c:pt>
                <c:pt idx="2989">
                  <c:v>6</c:v>
                </c:pt>
                <c:pt idx="2990">
                  <c:v>24</c:v>
                </c:pt>
                <c:pt idx="2991">
                  <c:v>7</c:v>
                </c:pt>
                <c:pt idx="2992">
                  <c:v>25</c:v>
                </c:pt>
                <c:pt idx="2993">
                  <c:v>18</c:v>
                </c:pt>
                <c:pt idx="2994">
                  <c:v>14</c:v>
                </c:pt>
                <c:pt idx="2995">
                  <c:v>42</c:v>
                </c:pt>
                <c:pt idx="2996">
                  <c:v>6</c:v>
                </c:pt>
                <c:pt idx="2997">
                  <c:v>14</c:v>
                </c:pt>
                <c:pt idx="2998">
                  <c:v>30</c:v>
                </c:pt>
                <c:pt idx="2999">
                  <c:v>10</c:v>
                </c:pt>
                <c:pt idx="3000">
                  <c:v>7</c:v>
                </c:pt>
                <c:pt idx="3001">
                  <c:v>28</c:v>
                </c:pt>
                <c:pt idx="3002">
                  <c:v>19</c:v>
                </c:pt>
                <c:pt idx="3003">
                  <c:v>13</c:v>
                </c:pt>
                <c:pt idx="3004">
                  <c:v>23</c:v>
                </c:pt>
                <c:pt idx="3005">
                  <c:v>5</c:v>
                </c:pt>
                <c:pt idx="3006">
                  <c:v>17</c:v>
                </c:pt>
                <c:pt idx="3007">
                  <c:v>31</c:v>
                </c:pt>
                <c:pt idx="3008">
                  <c:v>19</c:v>
                </c:pt>
                <c:pt idx="3009">
                  <c:v>8</c:v>
                </c:pt>
                <c:pt idx="3010">
                  <c:v>15</c:v>
                </c:pt>
                <c:pt idx="3011">
                  <c:v>18</c:v>
                </c:pt>
                <c:pt idx="3012">
                  <c:v>16</c:v>
                </c:pt>
                <c:pt idx="3013">
                  <c:v>13</c:v>
                </c:pt>
                <c:pt idx="3014">
                  <c:v>38</c:v>
                </c:pt>
                <c:pt idx="3015">
                  <c:v>27</c:v>
                </c:pt>
                <c:pt idx="3016">
                  <c:v>31</c:v>
                </c:pt>
                <c:pt idx="3017">
                  <c:v>24</c:v>
                </c:pt>
                <c:pt idx="3018">
                  <c:v>21</c:v>
                </c:pt>
                <c:pt idx="3019">
                  <c:v>15</c:v>
                </c:pt>
                <c:pt idx="3020">
                  <c:v>48</c:v>
                </c:pt>
                <c:pt idx="3021">
                  <c:v>47</c:v>
                </c:pt>
                <c:pt idx="3022">
                  <c:v>23</c:v>
                </c:pt>
                <c:pt idx="3023">
                  <c:v>4</c:v>
                </c:pt>
                <c:pt idx="3024">
                  <c:v>47</c:v>
                </c:pt>
                <c:pt idx="3025">
                  <c:v>7</c:v>
                </c:pt>
                <c:pt idx="3026">
                  <c:v>6</c:v>
                </c:pt>
                <c:pt idx="3027">
                  <c:v>47</c:v>
                </c:pt>
                <c:pt idx="3028">
                  <c:v>7</c:v>
                </c:pt>
                <c:pt idx="3029">
                  <c:v>1</c:v>
                </c:pt>
                <c:pt idx="3030">
                  <c:v>23</c:v>
                </c:pt>
                <c:pt idx="3031">
                  <c:v>30</c:v>
                </c:pt>
                <c:pt idx="3032">
                  <c:v>24</c:v>
                </c:pt>
                <c:pt idx="3033">
                  <c:v>9</c:v>
                </c:pt>
                <c:pt idx="3034">
                  <c:v>25</c:v>
                </c:pt>
                <c:pt idx="3035">
                  <c:v>18</c:v>
                </c:pt>
                <c:pt idx="3036">
                  <c:v>7</c:v>
                </c:pt>
                <c:pt idx="3037">
                  <c:v>2</c:v>
                </c:pt>
                <c:pt idx="3038">
                  <c:v>36</c:v>
                </c:pt>
                <c:pt idx="3039">
                  <c:v>31</c:v>
                </c:pt>
                <c:pt idx="3040">
                  <c:v>10</c:v>
                </c:pt>
                <c:pt idx="3041">
                  <c:v>27</c:v>
                </c:pt>
                <c:pt idx="3042">
                  <c:v>14</c:v>
                </c:pt>
                <c:pt idx="3043">
                  <c:v>17</c:v>
                </c:pt>
                <c:pt idx="3044">
                  <c:v>10</c:v>
                </c:pt>
                <c:pt idx="3045">
                  <c:v>4</c:v>
                </c:pt>
                <c:pt idx="3046">
                  <c:v>25</c:v>
                </c:pt>
                <c:pt idx="3047">
                  <c:v>3</c:v>
                </c:pt>
                <c:pt idx="3048">
                  <c:v>47</c:v>
                </c:pt>
                <c:pt idx="3049">
                  <c:v>41</c:v>
                </c:pt>
                <c:pt idx="3050">
                  <c:v>28</c:v>
                </c:pt>
                <c:pt idx="3051">
                  <c:v>49</c:v>
                </c:pt>
                <c:pt idx="3052">
                  <c:v>7</c:v>
                </c:pt>
                <c:pt idx="3053">
                  <c:v>22</c:v>
                </c:pt>
                <c:pt idx="3054">
                  <c:v>34</c:v>
                </c:pt>
                <c:pt idx="3055">
                  <c:v>5</c:v>
                </c:pt>
                <c:pt idx="3056">
                  <c:v>15</c:v>
                </c:pt>
                <c:pt idx="3057">
                  <c:v>26</c:v>
                </c:pt>
                <c:pt idx="3058">
                  <c:v>3</c:v>
                </c:pt>
                <c:pt idx="3059">
                  <c:v>42</c:v>
                </c:pt>
                <c:pt idx="3060">
                  <c:v>1</c:v>
                </c:pt>
                <c:pt idx="3061">
                  <c:v>20</c:v>
                </c:pt>
                <c:pt idx="3062">
                  <c:v>39</c:v>
                </c:pt>
                <c:pt idx="3063">
                  <c:v>24</c:v>
                </c:pt>
                <c:pt idx="3064">
                  <c:v>49</c:v>
                </c:pt>
                <c:pt idx="3065">
                  <c:v>7</c:v>
                </c:pt>
                <c:pt idx="3066">
                  <c:v>13</c:v>
                </c:pt>
                <c:pt idx="3067">
                  <c:v>2</c:v>
                </c:pt>
                <c:pt idx="3068">
                  <c:v>4</c:v>
                </c:pt>
                <c:pt idx="3069">
                  <c:v>17</c:v>
                </c:pt>
                <c:pt idx="3070">
                  <c:v>43</c:v>
                </c:pt>
                <c:pt idx="3071">
                  <c:v>6</c:v>
                </c:pt>
                <c:pt idx="3072">
                  <c:v>46</c:v>
                </c:pt>
                <c:pt idx="3073">
                  <c:v>7</c:v>
                </c:pt>
                <c:pt idx="3074">
                  <c:v>34</c:v>
                </c:pt>
                <c:pt idx="3075">
                  <c:v>21</c:v>
                </c:pt>
                <c:pt idx="3076">
                  <c:v>13</c:v>
                </c:pt>
                <c:pt idx="3077">
                  <c:v>33</c:v>
                </c:pt>
                <c:pt idx="3078">
                  <c:v>24</c:v>
                </c:pt>
                <c:pt idx="3079">
                  <c:v>4</c:v>
                </c:pt>
                <c:pt idx="3080">
                  <c:v>5</c:v>
                </c:pt>
                <c:pt idx="3081">
                  <c:v>11</c:v>
                </c:pt>
                <c:pt idx="3082">
                  <c:v>20</c:v>
                </c:pt>
                <c:pt idx="3083">
                  <c:v>28</c:v>
                </c:pt>
                <c:pt idx="3084">
                  <c:v>43</c:v>
                </c:pt>
                <c:pt idx="3085">
                  <c:v>10</c:v>
                </c:pt>
                <c:pt idx="3086">
                  <c:v>26</c:v>
                </c:pt>
                <c:pt idx="3087">
                  <c:v>29</c:v>
                </c:pt>
                <c:pt idx="3088">
                  <c:v>35</c:v>
                </c:pt>
                <c:pt idx="3089">
                  <c:v>23</c:v>
                </c:pt>
                <c:pt idx="3090">
                  <c:v>15</c:v>
                </c:pt>
                <c:pt idx="3091">
                  <c:v>46</c:v>
                </c:pt>
                <c:pt idx="3092">
                  <c:v>14</c:v>
                </c:pt>
                <c:pt idx="3093">
                  <c:v>17</c:v>
                </c:pt>
                <c:pt idx="3094">
                  <c:v>9</c:v>
                </c:pt>
                <c:pt idx="3095">
                  <c:v>13</c:v>
                </c:pt>
                <c:pt idx="3096">
                  <c:v>20</c:v>
                </c:pt>
                <c:pt idx="3097">
                  <c:v>39</c:v>
                </c:pt>
                <c:pt idx="3098">
                  <c:v>50</c:v>
                </c:pt>
                <c:pt idx="3099">
                  <c:v>21</c:v>
                </c:pt>
                <c:pt idx="3100">
                  <c:v>3</c:v>
                </c:pt>
                <c:pt idx="3101">
                  <c:v>9</c:v>
                </c:pt>
                <c:pt idx="3102">
                  <c:v>29</c:v>
                </c:pt>
                <c:pt idx="3103">
                  <c:v>42</c:v>
                </c:pt>
                <c:pt idx="3104">
                  <c:v>41</c:v>
                </c:pt>
                <c:pt idx="3105">
                  <c:v>17</c:v>
                </c:pt>
                <c:pt idx="3106">
                  <c:v>20</c:v>
                </c:pt>
                <c:pt idx="3107">
                  <c:v>18</c:v>
                </c:pt>
                <c:pt idx="3108">
                  <c:v>7</c:v>
                </c:pt>
                <c:pt idx="3109">
                  <c:v>47</c:v>
                </c:pt>
                <c:pt idx="3110">
                  <c:v>2</c:v>
                </c:pt>
                <c:pt idx="3111">
                  <c:v>25</c:v>
                </c:pt>
                <c:pt idx="3112">
                  <c:v>26</c:v>
                </c:pt>
                <c:pt idx="3113">
                  <c:v>2</c:v>
                </c:pt>
                <c:pt idx="3114">
                  <c:v>45</c:v>
                </c:pt>
                <c:pt idx="3115">
                  <c:v>9</c:v>
                </c:pt>
                <c:pt idx="3116">
                  <c:v>1</c:v>
                </c:pt>
                <c:pt idx="3117">
                  <c:v>4</c:v>
                </c:pt>
                <c:pt idx="3118">
                  <c:v>31</c:v>
                </c:pt>
                <c:pt idx="3119">
                  <c:v>21</c:v>
                </c:pt>
                <c:pt idx="3120">
                  <c:v>32</c:v>
                </c:pt>
                <c:pt idx="3121">
                  <c:v>16</c:v>
                </c:pt>
                <c:pt idx="3122">
                  <c:v>34</c:v>
                </c:pt>
                <c:pt idx="3123">
                  <c:v>40</c:v>
                </c:pt>
                <c:pt idx="3124">
                  <c:v>4</c:v>
                </c:pt>
                <c:pt idx="3125">
                  <c:v>3</c:v>
                </c:pt>
                <c:pt idx="3126">
                  <c:v>28</c:v>
                </c:pt>
                <c:pt idx="3127">
                  <c:v>43</c:v>
                </c:pt>
                <c:pt idx="3128">
                  <c:v>20</c:v>
                </c:pt>
                <c:pt idx="3129">
                  <c:v>40</c:v>
                </c:pt>
                <c:pt idx="3130">
                  <c:v>34</c:v>
                </c:pt>
                <c:pt idx="3131">
                  <c:v>11</c:v>
                </c:pt>
                <c:pt idx="3132">
                  <c:v>26</c:v>
                </c:pt>
                <c:pt idx="3133">
                  <c:v>29</c:v>
                </c:pt>
                <c:pt idx="3134">
                  <c:v>47</c:v>
                </c:pt>
                <c:pt idx="3135">
                  <c:v>48</c:v>
                </c:pt>
                <c:pt idx="3136">
                  <c:v>29</c:v>
                </c:pt>
                <c:pt idx="3137">
                  <c:v>14</c:v>
                </c:pt>
                <c:pt idx="3138">
                  <c:v>40</c:v>
                </c:pt>
                <c:pt idx="3139">
                  <c:v>4</c:v>
                </c:pt>
                <c:pt idx="3140">
                  <c:v>37</c:v>
                </c:pt>
                <c:pt idx="3141">
                  <c:v>47</c:v>
                </c:pt>
                <c:pt idx="3142">
                  <c:v>1</c:v>
                </c:pt>
                <c:pt idx="3143">
                  <c:v>26</c:v>
                </c:pt>
                <c:pt idx="3144">
                  <c:v>12</c:v>
                </c:pt>
                <c:pt idx="3145">
                  <c:v>16</c:v>
                </c:pt>
                <c:pt idx="3146">
                  <c:v>19</c:v>
                </c:pt>
                <c:pt idx="3147">
                  <c:v>21</c:v>
                </c:pt>
                <c:pt idx="3148">
                  <c:v>15</c:v>
                </c:pt>
                <c:pt idx="3149">
                  <c:v>9</c:v>
                </c:pt>
                <c:pt idx="3150">
                  <c:v>7</c:v>
                </c:pt>
                <c:pt idx="3151">
                  <c:v>47</c:v>
                </c:pt>
                <c:pt idx="3152">
                  <c:v>17</c:v>
                </c:pt>
                <c:pt idx="3153">
                  <c:v>46</c:v>
                </c:pt>
                <c:pt idx="3154">
                  <c:v>32</c:v>
                </c:pt>
                <c:pt idx="3155">
                  <c:v>34</c:v>
                </c:pt>
                <c:pt idx="3156">
                  <c:v>18</c:v>
                </c:pt>
                <c:pt idx="3157">
                  <c:v>5</c:v>
                </c:pt>
                <c:pt idx="3158">
                  <c:v>44</c:v>
                </c:pt>
                <c:pt idx="3159">
                  <c:v>4</c:v>
                </c:pt>
                <c:pt idx="3160">
                  <c:v>37</c:v>
                </c:pt>
                <c:pt idx="3161">
                  <c:v>43</c:v>
                </c:pt>
                <c:pt idx="3162">
                  <c:v>28</c:v>
                </c:pt>
                <c:pt idx="3163">
                  <c:v>36</c:v>
                </c:pt>
                <c:pt idx="3164">
                  <c:v>16</c:v>
                </c:pt>
                <c:pt idx="3165">
                  <c:v>38</c:v>
                </c:pt>
                <c:pt idx="3166">
                  <c:v>37</c:v>
                </c:pt>
                <c:pt idx="3167">
                  <c:v>9</c:v>
                </c:pt>
                <c:pt idx="3168">
                  <c:v>14</c:v>
                </c:pt>
                <c:pt idx="3169">
                  <c:v>3</c:v>
                </c:pt>
                <c:pt idx="3170">
                  <c:v>10</c:v>
                </c:pt>
                <c:pt idx="3171">
                  <c:v>26</c:v>
                </c:pt>
                <c:pt idx="3172">
                  <c:v>30</c:v>
                </c:pt>
                <c:pt idx="3173">
                  <c:v>32</c:v>
                </c:pt>
                <c:pt idx="3174">
                  <c:v>35</c:v>
                </c:pt>
                <c:pt idx="3175">
                  <c:v>26</c:v>
                </c:pt>
                <c:pt idx="3176">
                  <c:v>39</c:v>
                </c:pt>
                <c:pt idx="3177">
                  <c:v>31</c:v>
                </c:pt>
                <c:pt idx="3178">
                  <c:v>28</c:v>
                </c:pt>
                <c:pt idx="3179">
                  <c:v>12</c:v>
                </c:pt>
                <c:pt idx="3180">
                  <c:v>46</c:v>
                </c:pt>
                <c:pt idx="3181">
                  <c:v>27</c:v>
                </c:pt>
                <c:pt idx="3182">
                  <c:v>4</c:v>
                </c:pt>
                <c:pt idx="3183">
                  <c:v>14</c:v>
                </c:pt>
                <c:pt idx="3184">
                  <c:v>30</c:v>
                </c:pt>
                <c:pt idx="3185">
                  <c:v>6</c:v>
                </c:pt>
                <c:pt idx="3186">
                  <c:v>43</c:v>
                </c:pt>
                <c:pt idx="3187">
                  <c:v>28</c:v>
                </c:pt>
                <c:pt idx="3188">
                  <c:v>39</c:v>
                </c:pt>
                <c:pt idx="3189">
                  <c:v>30</c:v>
                </c:pt>
                <c:pt idx="3190">
                  <c:v>5</c:v>
                </c:pt>
                <c:pt idx="3191">
                  <c:v>42</c:v>
                </c:pt>
                <c:pt idx="3192">
                  <c:v>20</c:v>
                </c:pt>
                <c:pt idx="3193">
                  <c:v>35</c:v>
                </c:pt>
                <c:pt idx="3194">
                  <c:v>10</c:v>
                </c:pt>
                <c:pt idx="3195">
                  <c:v>36</c:v>
                </c:pt>
                <c:pt idx="3196">
                  <c:v>21</c:v>
                </c:pt>
                <c:pt idx="3197">
                  <c:v>29</c:v>
                </c:pt>
                <c:pt idx="3198">
                  <c:v>39</c:v>
                </c:pt>
                <c:pt idx="3199">
                  <c:v>16</c:v>
                </c:pt>
                <c:pt idx="3200">
                  <c:v>32</c:v>
                </c:pt>
                <c:pt idx="3201">
                  <c:v>34</c:v>
                </c:pt>
                <c:pt idx="3202">
                  <c:v>38</c:v>
                </c:pt>
                <c:pt idx="3203">
                  <c:v>14</c:v>
                </c:pt>
                <c:pt idx="3204">
                  <c:v>23</c:v>
                </c:pt>
                <c:pt idx="3205">
                  <c:v>50</c:v>
                </c:pt>
                <c:pt idx="3206">
                  <c:v>49</c:v>
                </c:pt>
                <c:pt idx="3207">
                  <c:v>14</c:v>
                </c:pt>
                <c:pt idx="3208">
                  <c:v>42</c:v>
                </c:pt>
                <c:pt idx="3209">
                  <c:v>39</c:v>
                </c:pt>
                <c:pt idx="3210">
                  <c:v>43</c:v>
                </c:pt>
                <c:pt idx="3211">
                  <c:v>12</c:v>
                </c:pt>
                <c:pt idx="3212">
                  <c:v>21</c:v>
                </c:pt>
                <c:pt idx="3213">
                  <c:v>33</c:v>
                </c:pt>
                <c:pt idx="3214">
                  <c:v>6</c:v>
                </c:pt>
                <c:pt idx="3215">
                  <c:v>10</c:v>
                </c:pt>
                <c:pt idx="3216">
                  <c:v>18</c:v>
                </c:pt>
                <c:pt idx="3217">
                  <c:v>46</c:v>
                </c:pt>
                <c:pt idx="3218">
                  <c:v>49</c:v>
                </c:pt>
                <c:pt idx="3219">
                  <c:v>39</c:v>
                </c:pt>
                <c:pt idx="3220">
                  <c:v>16</c:v>
                </c:pt>
                <c:pt idx="3221">
                  <c:v>28</c:v>
                </c:pt>
                <c:pt idx="3222">
                  <c:v>22</c:v>
                </c:pt>
                <c:pt idx="3223">
                  <c:v>36</c:v>
                </c:pt>
                <c:pt idx="3224">
                  <c:v>18</c:v>
                </c:pt>
                <c:pt idx="3225">
                  <c:v>31</c:v>
                </c:pt>
                <c:pt idx="3226">
                  <c:v>38</c:v>
                </c:pt>
                <c:pt idx="3227">
                  <c:v>42</c:v>
                </c:pt>
                <c:pt idx="3228">
                  <c:v>27</c:v>
                </c:pt>
                <c:pt idx="3229">
                  <c:v>24</c:v>
                </c:pt>
                <c:pt idx="3230">
                  <c:v>38</c:v>
                </c:pt>
                <c:pt idx="3231">
                  <c:v>9</c:v>
                </c:pt>
                <c:pt idx="3232">
                  <c:v>19</c:v>
                </c:pt>
                <c:pt idx="3233">
                  <c:v>11</c:v>
                </c:pt>
                <c:pt idx="3234">
                  <c:v>16</c:v>
                </c:pt>
                <c:pt idx="3235">
                  <c:v>18</c:v>
                </c:pt>
                <c:pt idx="3236">
                  <c:v>8</c:v>
                </c:pt>
                <c:pt idx="3237">
                  <c:v>4</c:v>
                </c:pt>
                <c:pt idx="3238">
                  <c:v>37</c:v>
                </c:pt>
                <c:pt idx="3239">
                  <c:v>30</c:v>
                </c:pt>
                <c:pt idx="3240">
                  <c:v>37</c:v>
                </c:pt>
                <c:pt idx="3241">
                  <c:v>30</c:v>
                </c:pt>
                <c:pt idx="3242">
                  <c:v>17</c:v>
                </c:pt>
                <c:pt idx="3243">
                  <c:v>11</c:v>
                </c:pt>
                <c:pt idx="3244">
                  <c:v>42</c:v>
                </c:pt>
                <c:pt idx="3245">
                  <c:v>20</c:v>
                </c:pt>
                <c:pt idx="3246">
                  <c:v>37</c:v>
                </c:pt>
                <c:pt idx="3247">
                  <c:v>12</c:v>
                </c:pt>
                <c:pt idx="3248">
                  <c:v>41</c:v>
                </c:pt>
                <c:pt idx="3249">
                  <c:v>32</c:v>
                </c:pt>
                <c:pt idx="3250">
                  <c:v>15</c:v>
                </c:pt>
                <c:pt idx="3251">
                  <c:v>39</c:v>
                </c:pt>
                <c:pt idx="3252">
                  <c:v>48</c:v>
                </c:pt>
                <c:pt idx="3253">
                  <c:v>8</c:v>
                </c:pt>
                <c:pt idx="3254">
                  <c:v>11</c:v>
                </c:pt>
                <c:pt idx="3255">
                  <c:v>36</c:v>
                </c:pt>
                <c:pt idx="3256">
                  <c:v>50</c:v>
                </c:pt>
                <c:pt idx="3257">
                  <c:v>39</c:v>
                </c:pt>
                <c:pt idx="3258">
                  <c:v>11</c:v>
                </c:pt>
                <c:pt idx="3259">
                  <c:v>5</c:v>
                </c:pt>
                <c:pt idx="3260">
                  <c:v>7</c:v>
                </c:pt>
                <c:pt idx="3261">
                  <c:v>50</c:v>
                </c:pt>
                <c:pt idx="3262">
                  <c:v>21</c:v>
                </c:pt>
                <c:pt idx="3263">
                  <c:v>31</c:v>
                </c:pt>
                <c:pt idx="3264">
                  <c:v>39</c:v>
                </c:pt>
                <c:pt idx="3265">
                  <c:v>28</c:v>
                </c:pt>
                <c:pt idx="3266">
                  <c:v>33</c:v>
                </c:pt>
                <c:pt idx="3267">
                  <c:v>42</c:v>
                </c:pt>
                <c:pt idx="3268">
                  <c:v>5</c:v>
                </c:pt>
                <c:pt idx="3269">
                  <c:v>25</c:v>
                </c:pt>
                <c:pt idx="3270">
                  <c:v>48</c:v>
                </c:pt>
                <c:pt idx="3271">
                  <c:v>30</c:v>
                </c:pt>
                <c:pt idx="3272">
                  <c:v>34</c:v>
                </c:pt>
                <c:pt idx="3273">
                  <c:v>34</c:v>
                </c:pt>
                <c:pt idx="3274">
                  <c:v>14</c:v>
                </c:pt>
                <c:pt idx="3275">
                  <c:v>2</c:v>
                </c:pt>
                <c:pt idx="3276">
                  <c:v>41</c:v>
                </c:pt>
                <c:pt idx="3277">
                  <c:v>3</c:v>
                </c:pt>
                <c:pt idx="3278">
                  <c:v>18</c:v>
                </c:pt>
                <c:pt idx="3279">
                  <c:v>1</c:v>
                </c:pt>
                <c:pt idx="3280">
                  <c:v>5</c:v>
                </c:pt>
                <c:pt idx="3281">
                  <c:v>41</c:v>
                </c:pt>
                <c:pt idx="3282">
                  <c:v>5</c:v>
                </c:pt>
                <c:pt idx="3283">
                  <c:v>10</c:v>
                </c:pt>
                <c:pt idx="3284">
                  <c:v>20</c:v>
                </c:pt>
                <c:pt idx="3285">
                  <c:v>11</c:v>
                </c:pt>
                <c:pt idx="3286">
                  <c:v>4</c:v>
                </c:pt>
                <c:pt idx="3287">
                  <c:v>38</c:v>
                </c:pt>
                <c:pt idx="3288">
                  <c:v>19</c:v>
                </c:pt>
                <c:pt idx="3289">
                  <c:v>16</c:v>
                </c:pt>
                <c:pt idx="3290">
                  <c:v>2</c:v>
                </c:pt>
                <c:pt idx="3291">
                  <c:v>11</c:v>
                </c:pt>
                <c:pt idx="3292">
                  <c:v>18</c:v>
                </c:pt>
                <c:pt idx="3293">
                  <c:v>47</c:v>
                </c:pt>
                <c:pt idx="3294">
                  <c:v>15</c:v>
                </c:pt>
                <c:pt idx="3295">
                  <c:v>15</c:v>
                </c:pt>
                <c:pt idx="3296">
                  <c:v>47</c:v>
                </c:pt>
                <c:pt idx="3297">
                  <c:v>47</c:v>
                </c:pt>
                <c:pt idx="3298">
                  <c:v>6</c:v>
                </c:pt>
                <c:pt idx="3299">
                  <c:v>18</c:v>
                </c:pt>
                <c:pt idx="3300">
                  <c:v>40</c:v>
                </c:pt>
                <c:pt idx="3301">
                  <c:v>31</c:v>
                </c:pt>
                <c:pt idx="3302">
                  <c:v>31</c:v>
                </c:pt>
                <c:pt idx="3303">
                  <c:v>4</c:v>
                </c:pt>
                <c:pt idx="3304">
                  <c:v>36</c:v>
                </c:pt>
                <c:pt idx="3305">
                  <c:v>31</c:v>
                </c:pt>
                <c:pt idx="3306">
                  <c:v>6</c:v>
                </c:pt>
                <c:pt idx="3307">
                  <c:v>1</c:v>
                </c:pt>
                <c:pt idx="3308">
                  <c:v>29</c:v>
                </c:pt>
                <c:pt idx="3309">
                  <c:v>19</c:v>
                </c:pt>
                <c:pt idx="3310">
                  <c:v>12</c:v>
                </c:pt>
                <c:pt idx="3311">
                  <c:v>18</c:v>
                </c:pt>
                <c:pt idx="3312">
                  <c:v>45</c:v>
                </c:pt>
                <c:pt idx="3313">
                  <c:v>45</c:v>
                </c:pt>
                <c:pt idx="3314">
                  <c:v>8</c:v>
                </c:pt>
                <c:pt idx="3315">
                  <c:v>4</c:v>
                </c:pt>
                <c:pt idx="3316">
                  <c:v>5</c:v>
                </c:pt>
                <c:pt idx="3317">
                  <c:v>30</c:v>
                </c:pt>
                <c:pt idx="3318">
                  <c:v>15</c:v>
                </c:pt>
                <c:pt idx="3319">
                  <c:v>17</c:v>
                </c:pt>
                <c:pt idx="3320">
                  <c:v>45</c:v>
                </c:pt>
                <c:pt idx="3321">
                  <c:v>3</c:v>
                </c:pt>
                <c:pt idx="3322">
                  <c:v>43</c:v>
                </c:pt>
                <c:pt idx="3323">
                  <c:v>4</c:v>
                </c:pt>
                <c:pt idx="3324">
                  <c:v>41</c:v>
                </c:pt>
                <c:pt idx="3325">
                  <c:v>16</c:v>
                </c:pt>
                <c:pt idx="3326">
                  <c:v>10</c:v>
                </c:pt>
                <c:pt idx="3327">
                  <c:v>2</c:v>
                </c:pt>
                <c:pt idx="3328">
                  <c:v>11</c:v>
                </c:pt>
                <c:pt idx="3329">
                  <c:v>1</c:v>
                </c:pt>
                <c:pt idx="3330">
                  <c:v>41</c:v>
                </c:pt>
                <c:pt idx="3331">
                  <c:v>39</c:v>
                </c:pt>
                <c:pt idx="3332">
                  <c:v>1</c:v>
                </c:pt>
                <c:pt idx="3333">
                  <c:v>3</c:v>
                </c:pt>
                <c:pt idx="3334">
                  <c:v>21</c:v>
                </c:pt>
                <c:pt idx="3335">
                  <c:v>48</c:v>
                </c:pt>
                <c:pt idx="3336">
                  <c:v>24</c:v>
                </c:pt>
                <c:pt idx="3337">
                  <c:v>45</c:v>
                </c:pt>
                <c:pt idx="3338">
                  <c:v>46</c:v>
                </c:pt>
                <c:pt idx="3339">
                  <c:v>35</c:v>
                </c:pt>
                <c:pt idx="3340">
                  <c:v>47</c:v>
                </c:pt>
                <c:pt idx="3341">
                  <c:v>35</c:v>
                </c:pt>
                <c:pt idx="3342">
                  <c:v>45</c:v>
                </c:pt>
                <c:pt idx="3343">
                  <c:v>6</c:v>
                </c:pt>
                <c:pt idx="3344">
                  <c:v>20</c:v>
                </c:pt>
                <c:pt idx="3345">
                  <c:v>3</c:v>
                </c:pt>
                <c:pt idx="3346">
                  <c:v>30</c:v>
                </c:pt>
                <c:pt idx="3347">
                  <c:v>28</c:v>
                </c:pt>
                <c:pt idx="3348">
                  <c:v>15</c:v>
                </c:pt>
                <c:pt idx="3349">
                  <c:v>29</c:v>
                </c:pt>
                <c:pt idx="3350">
                  <c:v>15</c:v>
                </c:pt>
                <c:pt idx="3351">
                  <c:v>18</c:v>
                </c:pt>
                <c:pt idx="3352">
                  <c:v>7</c:v>
                </c:pt>
                <c:pt idx="3353">
                  <c:v>19</c:v>
                </c:pt>
                <c:pt idx="3354">
                  <c:v>15</c:v>
                </c:pt>
                <c:pt idx="3355">
                  <c:v>3</c:v>
                </c:pt>
                <c:pt idx="3356">
                  <c:v>13</c:v>
                </c:pt>
                <c:pt idx="3357">
                  <c:v>37</c:v>
                </c:pt>
                <c:pt idx="3358">
                  <c:v>26</c:v>
                </c:pt>
                <c:pt idx="3359">
                  <c:v>29</c:v>
                </c:pt>
                <c:pt idx="3360">
                  <c:v>47</c:v>
                </c:pt>
                <c:pt idx="3361">
                  <c:v>47</c:v>
                </c:pt>
                <c:pt idx="3362">
                  <c:v>48</c:v>
                </c:pt>
                <c:pt idx="3363">
                  <c:v>46</c:v>
                </c:pt>
                <c:pt idx="3364">
                  <c:v>7</c:v>
                </c:pt>
                <c:pt idx="3365">
                  <c:v>45</c:v>
                </c:pt>
                <c:pt idx="3366">
                  <c:v>47</c:v>
                </c:pt>
                <c:pt idx="3367">
                  <c:v>6</c:v>
                </c:pt>
                <c:pt idx="3368">
                  <c:v>29</c:v>
                </c:pt>
                <c:pt idx="3369">
                  <c:v>42</c:v>
                </c:pt>
                <c:pt idx="3370">
                  <c:v>46</c:v>
                </c:pt>
                <c:pt idx="3371">
                  <c:v>28</c:v>
                </c:pt>
                <c:pt idx="3372">
                  <c:v>14</c:v>
                </c:pt>
                <c:pt idx="3373">
                  <c:v>12</c:v>
                </c:pt>
                <c:pt idx="3374">
                  <c:v>41</c:v>
                </c:pt>
                <c:pt idx="3375">
                  <c:v>8</c:v>
                </c:pt>
                <c:pt idx="3376">
                  <c:v>24</c:v>
                </c:pt>
                <c:pt idx="3377">
                  <c:v>18</c:v>
                </c:pt>
                <c:pt idx="3378">
                  <c:v>6</c:v>
                </c:pt>
                <c:pt idx="3379">
                  <c:v>40</c:v>
                </c:pt>
                <c:pt idx="3380">
                  <c:v>6</c:v>
                </c:pt>
                <c:pt idx="3381">
                  <c:v>27</c:v>
                </c:pt>
                <c:pt idx="3382">
                  <c:v>2</c:v>
                </c:pt>
                <c:pt idx="3383">
                  <c:v>39</c:v>
                </c:pt>
                <c:pt idx="3384">
                  <c:v>9</c:v>
                </c:pt>
                <c:pt idx="3385">
                  <c:v>16</c:v>
                </c:pt>
                <c:pt idx="3386">
                  <c:v>36</c:v>
                </c:pt>
                <c:pt idx="3387">
                  <c:v>2</c:v>
                </c:pt>
                <c:pt idx="3388">
                  <c:v>21</c:v>
                </c:pt>
                <c:pt idx="3389">
                  <c:v>39</c:v>
                </c:pt>
                <c:pt idx="3390">
                  <c:v>38</c:v>
                </c:pt>
                <c:pt idx="3391">
                  <c:v>6</c:v>
                </c:pt>
                <c:pt idx="3392">
                  <c:v>6</c:v>
                </c:pt>
                <c:pt idx="3393">
                  <c:v>50</c:v>
                </c:pt>
                <c:pt idx="3394">
                  <c:v>9</c:v>
                </c:pt>
                <c:pt idx="3395">
                  <c:v>15</c:v>
                </c:pt>
                <c:pt idx="3396">
                  <c:v>5</c:v>
                </c:pt>
                <c:pt idx="3397">
                  <c:v>13</c:v>
                </c:pt>
                <c:pt idx="3398">
                  <c:v>44</c:v>
                </c:pt>
                <c:pt idx="3399">
                  <c:v>36</c:v>
                </c:pt>
                <c:pt idx="3400">
                  <c:v>18</c:v>
                </c:pt>
                <c:pt idx="3401">
                  <c:v>39</c:v>
                </c:pt>
                <c:pt idx="3402">
                  <c:v>11</c:v>
                </c:pt>
                <c:pt idx="3403">
                  <c:v>1</c:v>
                </c:pt>
                <c:pt idx="3404">
                  <c:v>34</c:v>
                </c:pt>
                <c:pt idx="3405">
                  <c:v>47</c:v>
                </c:pt>
                <c:pt idx="3406">
                  <c:v>24</c:v>
                </c:pt>
                <c:pt idx="3407">
                  <c:v>20</c:v>
                </c:pt>
                <c:pt idx="3408">
                  <c:v>11</c:v>
                </c:pt>
                <c:pt idx="3409">
                  <c:v>3</c:v>
                </c:pt>
                <c:pt idx="3410">
                  <c:v>38</c:v>
                </c:pt>
                <c:pt idx="3411">
                  <c:v>45</c:v>
                </c:pt>
                <c:pt idx="3412">
                  <c:v>31</c:v>
                </c:pt>
                <c:pt idx="3413">
                  <c:v>16</c:v>
                </c:pt>
                <c:pt idx="3414">
                  <c:v>3</c:v>
                </c:pt>
                <c:pt idx="3415">
                  <c:v>15</c:v>
                </c:pt>
                <c:pt idx="3416">
                  <c:v>11</c:v>
                </c:pt>
                <c:pt idx="3417">
                  <c:v>22</c:v>
                </c:pt>
                <c:pt idx="3418">
                  <c:v>35</c:v>
                </c:pt>
                <c:pt idx="3419">
                  <c:v>5</c:v>
                </c:pt>
                <c:pt idx="3420">
                  <c:v>35</c:v>
                </c:pt>
                <c:pt idx="3421">
                  <c:v>27</c:v>
                </c:pt>
                <c:pt idx="3422">
                  <c:v>9</c:v>
                </c:pt>
                <c:pt idx="3423">
                  <c:v>21</c:v>
                </c:pt>
                <c:pt idx="3424">
                  <c:v>23</c:v>
                </c:pt>
                <c:pt idx="3425">
                  <c:v>3</c:v>
                </c:pt>
                <c:pt idx="3426">
                  <c:v>31</c:v>
                </c:pt>
                <c:pt idx="3427">
                  <c:v>44</c:v>
                </c:pt>
                <c:pt idx="3428">
                  <c:v>20</c:v>
                </c:pt>
                <c:pt idx="3429">
                  <c:v>34</c:v>
                </c:pt>
                <c:pt idx="3430">
                  <c:v>17</c:v>
                </c:pt>
                <c:pt idx="3431">
                  <c:v>20</c:v>
                </c:pt>
                <c:pt idx="3432">
                  <c:v>46</c:v>
                </c:pt>
                <c:pt idx="3433">
                  <c:v>28</c:v>
                </c:pt>
                <c:pt idx="3434">
                  <c:v>6</c:v>
                </c:pt>
                <c:pt idx="3435">
                  <c:v>50</c:v>
                </c:pt>
                <c:pt idx="3436">
                  <c:v>41</c:v>
                </c:pt>
                <c:pt idx="3437">
                  <c:v>50</c:v>
                </c:pt>
                <c:pt idx="3438">
                  <c:v>33</c:v>
                </c:pt>
                <c:pt idx="3439">
                  <c:v>25</c:v>
                </c:pt>
                <c:pt idx="3440">
                  <c:v>2</c:v>
                </c:pt>
                <c:pt idx="3441">
                  <c:v>15</c:v>
                </c:pt>
                <c:pt idx="3442">
                  <c:v>12</c:v>
                </c:pt>
                <c:pt idx="3443">
                  <c:v>28</c:v>
                </c:pt>
                <c:pt idx="3444">
                  <c:v>12</c:v>
                </c:pt>
                <c:pt idx="3445">
                  <c:v>3</c:v>
                </c:pt>
                <c:pt idx="3446">
                  <c:v>20</c:v>
                </c:pt>
                <c:pt idx="3447">
                  <c:v>3</c:v>
                </c:pt>
                <c:pt idx="3448">
                  <c:v>32</c:v>
                </c:pt>
                <c:pt idx="3449">
                  <c:v>35</c:v>
                </c:pt>
                <c:pt idx="3450">
                  <c:v>31</c:v>
                </c:pt>
                <c:pt idx="3451">
                  <c:v>13</c:v>
                </c:pt>
                <c:pt idx="3452">
                  <c:v>3</c:v>
                </c:pt>
                <c:pt idx="3453">
                  <c:v>48</c:v>
                </c:pt>
                <c:pt idx="3454">
                  <c:v>15</c:v>
                </c:pt>
                <c:pt idx="3455">
                  <c:v>13</c:v>
                </c:pt>
                <c:pt idx="3456">
                  <c:v>21</c:v>
                </c:pt>
                <c:pt idx="3457">
                  <c:v>29</c:v>
                </c:pt>
                <c:pt idx="3458">
                  <c:v>24</c:v>
                </c:pt>
                <c:pt idx="3459">
                  <c:v>21</c:v>
                </c:pt>
                <c:pt idx="3460">
                  <c:v>5</c:v>
                </c:pt>
                <c:pt idx="3461">
                  <c:v>47</c:v>
                </c:pt>
                <c:pt idx="3462">
                  <c:v>34</c:v>
                </c:pt>
                <c:pt idx="3463">
                  <c:v>45</c:v>
                </c:pt>
                <c:pt idx="3464">
                  <c:v>12</c:v>
                </c:pt>
                <c:pt idx="3465">
                  <c:v>31</c:v>
                </c:pt>
                <c:pt idx="3466">
                  <c:v>43</c:v>
                </c:pt>
                <c:pt idx="3467">
                  <c:v>5</c:v>
                </c:pt>
                <c:pt idx="3468">
                  <c:v>36</c:v>
                </c:pt>
                <c:pt idx="3469">
                  <c:v>12</c:v>
                </c:pt>
                <c:pt idx="3470">
                  <c:v>31</c:v>
                </c:pt>
                <c:pt idx="3471">
                  <c:v>31</c:v>
                </c:pt>
                <c:pt idx="3472">
                  <c:v>15</c:v>
                </c:pt>
                <c:pt idx="3473">
                  <c:v>11</c:v>
                </c:pt>
                <c:pt idx="3474">
                  <c:v>18</c:v>
                </c:pt>
                <c:pt idx="3475">
                  <c:v>9</c:v>
                </c:pt>
                <c:pt idx="3476">
                  <c:v>11</c:v>
                </c:pt>
                <c:pt idx="3477">
                  <c:v>38</c:v>
                </c:pt>
                <c:pt idx="3478">
                  <c:v>42</c:v>
                </c:pt>
                <c:pt idx="3479">
                  <c:v>41</c:v>
                </c:pt>
                <c:pt idx="3480">
                  <c:v>45</c:v>
                </c:pt>
                <c:pt idx="3481">
                  <c:v>41</c:v>
                </c:pt>
                <c:pt idx="3482">
                  <c:v>35</c:v>
                </c:pt>
                <c:pt idx="3483">
                  <c:v>21</c:v>
                </c:pt>
                <c:pt idx="3484">
                  <c:v>13</c:v>
                </c:pt>
                <c:pt idx="3485">
                  <c:v>23</c:v>
                </c:pt>
                <c:pt idx="3486">
                  <c:v>6</c:v>
                </c:pt>
                <c:pt idx="3487">
                  <c:v>39</c:v>
                </c:pt>
                <c:pt idx="3488">
                  <c:v>7</c:v>
                </c:pt>
                <c:pt idx="3489">
                  <c:v>32</c:v>
                </c:pt>
                <c:pt idx="3490">
                  <c:v>43</c:v>
                </c:pt>
                <c:pt idx="3491">
                  <c:v>15</c:v>
                </c:pt>
                <c:pt idx="3492">
                  <c:v>48</c:v>
                </c:pt>
                <c:pt idx="3493">
                  <c:v>35</c:v>
                </c:pt>
                <c:pt idx="3494">
                  <c:v>41</c:v>
                </c:pt>
                <c:pt idx="3495">
                  <c:v>14</c:v>
                </c:pt>
                <c:pt idx="3496">
                  <c:v>22</c:v>
                </c:pt>
                <c:pt idx="3497">
                  <c:v>16</c:v>
                </c:pt>
                <c:pt idx="3498">
                  <c:v>2</c:v>
                </c:pt>
                <c:pt idx="3499">
                  <c:v>13</c:v>
                </c:pt>
                <c:pt idx="3500">
                  <c:v>38</c:v>
                </c:pt>
                <c:pt idx="3501">
                  <c:v>43</c:v>
                </c:pt>
                <c:pt idx="3502">
                  <c:v>26</c:v>
                </c:pt>
                <c:pt idx="3503">
                  <c:v>39</c:v>
                </c:pt>
                <c:pt idx="3504">
                  <c:v>50</c:v>
                </c:pt>
                <c:pt idx="3505">
                  <c:v>40</c:v>
                </c:pt>
                <c:pt idx="3506">
                  <c:v>12</c:v>
                </c:pt>
                <c:pt idx="3507">
                  <c:v>33</c:v>
                </c:pt>
                <c:pt idx="3508">
                  <c:v>49</c:v>
                </c:pt>
                <c:pt idx="3509">
                  <c:v>43</c:v>
                </c:pt>
                <c:pt idx="3510">
                  <c:v>14</c:v>
                </c:pt>
                <c:pt idx="3511">
                  <c:v>21</c:v>
                </c:pt>
                <c:pt idx="3512">
                  <c:v>31</c:v>
                </c:pt>
                <c:pt idx="3513">
                  <c:v>29</c:v>
                </c:pt>
                <c:pt idx="3514">
                  <c:v>32</c:v>
                </c:pt>
                <c:pt idx="3515">
                  <c:v>16</c:v>
                </c:pt>
                <c:pt idx="3516">
                  <c:v>38</c:v>
                </c:pt>
                <c:pt idx="3517">
                  <c:v>34</c:v>
                </c:pt>
                <c:pt idx="3518">
                  <c:v>30</c:v>
                </c:pt>
                <c:pt idx="3519">
                  <c:v>14</c:v>
                </c:pt>
                <c:pt idx="3520">
                  <c:v>33</c:v>
                </c:pt>
                <c:pt idx="3521">
                  <c:v>35</c:v>
                </c:pt>
                <c:pt idx="3522">
                  <c:v>13</c:v>
                </c:pt>
                <c:pt idx="3523">
                  <c:v>30</c:v>
                </c:pt>
                <c:pt idx="3524">
                  <c:v>30</c:v>
                </c:pt>
                <c:pt idx="3525">
                  <c:v>47</c:v>
                </c:pt>
                <c:pt idx="3526">
                  <c:v>1</c:v>
                </c:pt>
                <c:pt idx="3527">
                  <c:v>1</c:v>
                </c:pt>
                <c:pt idx="3528">
                  <c:v>33</c:v>
                </c:pt>
                <c:pt idx="3529">
                  <c:v>43</c:v>
                </c:pt>
                <c:pt idx="3530">
                  <c:v>37</c:v>
                </c:pt>
                <c:pt idx="3531">
                  <c:v>23</c:v>
                </c:pt>
                <c:pt idx="3532">
                  <c:v>12</c:v>
                </c:pt>
                <c:pt idx="3533">
                  <c:v>30</c:v>
                </c:pt>
                <c:pt idx="3534">
                  <c:v>7</c:v>
                </c:pt>
                <c:pt idx="3535">
                  <c:v>20</c:v>
                </c:pt>
                <c:pt idx="3536">
                  <c:v>10</c:v>
                </c:pt>
                <c:pt idx="3537">
                  <c:v>40</c:v>
                </c:pt>
                <c:pt idx="3538">
                  <c:v>21</c:v>
                </c:pt>
                <c:pt idx="3539">
                  <c:v>17</c:v>
                </c:pt>
                <c:pt idx="3540">
                  <c:v>5</c:v>
                </c:pt>
                <c:pt idx="3541">
                  <c:v>22</c:v>
                </c:pt>
                <c:pt idx="3542">
                  <c:v>5</c:v>
                </c:pt>
                <c:pt idx="3543">
                  <c:v>18</c:v>
                </c:pt>
                <c:pt idx="3544">
                  <c:v>42</c:v>
                </c:pt>
                <c:pt idx="3545">
                  <c:v>22</c:v>
                </c:pt>
                <c:pt idx="3546">
                  <c:v>37</c:v>
                </c:pt>
                <c:pt idx="3547">
                  <c:v>23</c:v>
                </c:pt>
                <c:pt idx="3548">
                  <c:v>47</c:v>
                </c:pt>
                <c:pt idx="3549">
                  <c:v>11</c:v>
                </c:pt>
                <c:pt idx="3550">
                  <c:v>32</c:v>
                </c:pt>
                <c:pt idx="3551">
                  <c:v>20</c:v>
                </c:pt>
                <c:pt idx="3552">
                  <c:v>3</c:v>
                </c:pt>
                <c:pt idx="3553">
                  <c:v>32</c:v>
                </c:pt>
                <c:pt idx="3554">
                  <c:v>5</c:v>
                </c:pt>
                <c:pt idx="3555">
                  <c:v>45</c:v>
                </c:pt>
                <c:pt idx="3556">
                  <c:v>43</c:v>
                </c:pt>
                <c:pt idx="3557">
                  <c:v>1</c:v>
                </c:pt>
                <c:pt idx="3558">
                  <c:v>9</c:v>
                </c:pt>
                <c:pt idx="3559">
                  <c:v>13</c:v>
                </c:pt>
                <c:pt idx="3560">
                  <c:v>5</c:v>
                </c:pt>
                <c:pt idx="3561">
                  <c:v>39</c:v>
                </c:pt>
                <c:pt idx="3562">
                  <c:v>7</c:v>
                </c:pt>
                <c:pt idx="3563">
                  <c:v>8</c:v>
                </c:pt>
                <c:pt idx="3564">
                  <c:v>40</c:v>
                </c:pt>
                <c:pt idx="3565">
                  <c:v>35</c:v>
                </c:pt>
                <c:pt idx="3566">
                  <c:v>14</c:v>
                </c:pt>
                <c:pt idx="3567">
                  <c:v>26</c:v>
                </c:pt>
                <c:pt idx="3568">
                  <c:v>14</c:v>
                </c:pt>
                <c:pt idx="3569">
                  <c:v>9</c:v>
                </c:pt>
                <c:pt idx="3570">
                  <c:v>32</c:v>
                </c:pt>
                <c:pt idx="3571">
                  <c:v>15</c:v>
                </c:pt>
                <c:pt idx="3572">
                  <c:v>25</c:v>
                </c:pt>
                <c:pt idx="3573">
                  <c:v>27</c:v>
                </c:pt>
                <c:pt idx="3574">
                  <c:v>39</c:v>
                </c:pt>
                <c:pt idx="3575">
                  <c:v>49</c:v>
                </c:pt>
                <c:pt idx="3576">
                  <c:v>12</c:v>
                </c:pt>
                <c:pt idx="3577">
                  <c:v>13</c:v>
                </c:pt>
                <c:pt idx="3578">
                  <c:v>22</c:v>
                </c:pt>
                <c:pt idx="3579">
                  <c:v>19</c:v>
                </c:pt>
                <c:pt idx="3580">
                  <c:v>3</c:v>
                </c:pt>
                <c:pt idx="3581">
                  <c:v>50</c:v>
                </c:pt>
                <c:pt idx="3582">
                  <c:v>15</c:v>
                </c:pt>
                <c:pt idx="3583">
                  <c:v>44</c:v>
                </c:pt>
                <c:pt idx="3584">
                  <c:v>48</c:v>
                </c:pt>
                <c:pt idx="3585">
                  <c:v>4</c:v>
                </c:pt>
                <c:pt idx="3586">
                  <c:v>12</c:v>
                </c:pt>
                <c:pt idx="3587">
                  <c:v>33</c:v>
                </c:pt>
                <c:pt idx="3588">
                  <c:v>40</c:v>
                </c:pt>
                <c:pt idx="3589">
                  <c:v>38</c:v>
                </c:pt>
                <c:pt idx="3590">
                  <c:v>19</c:v>
                </c:pt>
                <c:pt idx="3591">
                  <c:v>38</c:v>
                </c:pt>
                <c:pt idx="3592">
                  <c:v>18</c:v>
                </c:pt>
                <c:pt idx="3593">
                  <c:v>24</c:v>
                </c:pt>
                <c:pt idx="3594">
                  <c:v>29</c:v>
                </c:pt>
                <c:pt idx="3595">
                  <c:v>14</c:v>
                </c:pt>
                <c:pt idx="3596">
                  <c:v>44</c:v>
                </c:pt>
                <c:pt idx="3597">
                  <c:v>18</c:v>
                </c:pt>
                <c:pt idx="3598">
                  <c:v>19</c:v>
                </c:pt>
                <c:pt idx="3599">
                  <c:v>4</c:v>
                </c:pt>
                <c:pt idx="3600">
                  <c:v>25</c:v>
                </c:pt>
                <c:pt idx="3601">
                  <c:v>3</c:v>
                </c:pt>
                <c:pt idx="3602">
                  <c:v>40</c:v>
                </c:pt>
                <c:pt idx="3603">
                  <c:v>5</c:v>
                </c:pt>
                <c:pt idx="3604">
                  <c:v>17</c:v>
                </c:pt>
                <c:pt idx="3605">
                  <c:v>36</c:v>
                </c:pt>
                <c:pt idx="3606">
                  <c:v>41</c:v>
                </c:pt>
                <c:pt idx="3607">
                  <c:v>20</c:v>
                </c:pt>
                <c:pt idx="3608">
                  <c:v>2</c:v>
                </c:pt>
                <c:pt idx="3609">
                  <c:v>31</c:v>
                </c:pt>
                <c:pt idx="3610">
                  <c:v>23</c:v>
                </c:pt>
                <c:pt idx="3611">
                  <c:v>30</c:v>
                </c:pt>
                <c:pt idx="3612">
                  <c:v>26</c:v>
                </c:pt>
                <c:pt idx="3613">
                  <c:v>40</c:v>
                </c:pt>
                <c:pt idx="3614">
                  <c:v>19</c:v>
                </c:pt>
                <c:pt idx="3615">
                  <c:v>4</c:v>
                </c:pt>
                <c:pt idx="3616">
                  <c:v>33</c:v>
                </c:pt>
                <c:pt idx="3617">
                  <c:v>29</c:v>
                </c:pt>
                <c:pt idx="3618">
                  <c:v>47</c:v>
                </c:pt>
                <c:pt idx="3619">
                  <c:v>50</c:v>
                </c:pt>
                <c:pt idx="3620">
                  <c:v>28</c:v>
                </c:pt>
                <c:pt idx="3621">
                  <c:v>5</c:v>
                </c:pt>
                <c:pt idx="3622">
                  <c:v>12</c:v>
                </c:pt>
                <c:pt idx="3623">
                  <c:v>4</c:v>
                </c:pt>
                <c:pt idx="3624">
                  <c:v>22</c:v>
                </c:pt>
                <c:pt idx="3625">
                  <c:v>32</c:v>
                </c:pt>
                <c:pt idx="3626">
                  <c:v>32</c:v>
                </c:pt>
                <c:pt idx="3627">
                  <c:v>48</c:v>
                </c:pt>
                <c:pt idx="3628">
                  <c:v>35</c:v>
                </c:pt>
                <c:pt idx="3629">
                  <c:v>44</c:v>
                </c:pt>
                <c:pt idx="3630">
                  <c:v>29</c:v>
                </c:pt>
                <c:pt idx="3631">
                  <c:v>26</c:v>
                </c:pt>
                <c:pt idx="3632">
                  <c:v>3</c:v>
                </c:pt>
                <c:pt idx="3633">
                  <c:v>1</c:v>
                </c:pt>
                <c:pt idx="3634">
                  <c:v>17</c:v>
                </c:pt>
                <c:pt idx="3635">
                  <c:v>17</c:v>
                </c:pt>
                <c:pt idx="3636">
                  <c:v>36</c:v>
                </c:pt>
                <c:pt idx="3637">
                  <c:v>32</c:v>
                </c:pt>
                <c:pt idx="3638">
                  <c:v>50</c:v>
                </c:pt>
                <c:pt idx="3639">
                  <c:v>39</c:v>
                </c:pt>
                <c:pt idx="3640">
                  <c:v>17</c:v>
                </c:pt>
                <c:pt idx="3641">
                  <c:v>39</c:v>
                </c:pt>
                <c:pt idx="3642">
                  <c:v>5</c:v>
                </c:pt>
                <c:pt idx="3643">
                  <c:v>47</c:v>
                </c:pt>
                <c:pt idx="3644">
                  <c:v>18</c:v>
                </c:pt>
                <c:pt idx="3645">
                  <c:v>31</c:v>
                </c:pt>
                <c:pt idx="3646">
                  <c:v>39</c:v>
                </c:pt>
                <c:pt idx="3647">
                  <c:v>12</c:v>
                </c:pt>
                <c:pt idx="3648">
                  <c:v>45</c:v>
                </c:pt>
                <c:pt idx="3649">
                  <c:v>33</c:v>
                </c:pt>
                <c:pt idx="3650">
                  <c:v>3</c:v>
                </c:pt>
                <c:pt idx="3651">
                  <c:v>5</c:v>
                </c:pt>
                <c:pt idx="3652">
                  <c:v>23</c:v>
                </c:pt>
                <c:pt idx="3653">
                  <c:v>39</c:v>
                </c:pt>
                <c:pt idx="3654">
                  <c:v>10</c:v>
                </c:pt>
                <c:pt idx="3655">
                  <c:v>4</c:v>
                </c:pt>
                <c:pt idx="3656">
                  <c:v>18</c:v>
                </c:pt>
                <c:pt idx="3657">
                  <c:v>1</c:v>
                </c:pt>
                <c:pt idx="3658">
                  <c:v>18</c:v>
                </c:pt>
                <c:pt idx="3659">
                  <c:v>46</c:v>
                </c:pt>
                <c:pt idx="3660">
                  <c:v>13</c:v>
                </c:pt>
                <c:pt idx="3661">
                  <c:v>5</c:v>
                </c:pt>
                <c:pt idx="3662">
                  <c:v>11</c:v>
                </c:pt>
                <c:pt idx="3663">
                  <c:v>49</c:v>
                </c:pt>
                <c:pt idx="3664">
                  <c:v>1</c:v>
                </c:pt>
                <c:pt idx="3665">
                  <c:v>11</c:v>
                </c:pt>
                <c:pt idx="3666">
                  <c:v>47</c:v>
                </c:pt>
                <c:pt idx="3667">
                  <c:v>20</c:v>
                </c:pt>
                <c:pt idx="3668">
                  <c:v>18</c:v>
                </c:pt>
                <c:pt idx="3669">
                  <c:v>43</c:v>
                </c:pt>
                <c:pt idx="3670">
                  <c:v>4</c:v>
                </c:pt>
                <c:pt idx="3671">
                  <c:v>20</c:v>
                </c:pt>
                <c:pt idx="3672">
                  <c:v>7</c:v>
                </c:pt>
                <c:pt idx="3673">
                  <c:v>31</c:v>
                </c:pt>
                <c:pt idx="3674">
                  <c:v>41</c:v>
                </c:pt>
                <c:pt idx="3675">
                  <c:v>3</c:v>
                </c:pt>
                <c:pt idx="3676">
                  <c:v>16</c:v>
                </c:pt>
                <c:pt idx="3677">
                  <c:v>43</c:v>
                </c:pt>
                <c:pt idx="3678">
                  <c:v>29</c:v>
                </c:pt>
                <c:pt idx="3679">
                  <c:v>5</c:v>
                </c:pt>
                <c:pt idx="3680">
                  <c:v>30</c:v>
                </c:pt>
                <c:pt idx="3681">
                  <c:v>33</c:v>
                </c:pt>
                <c:pt idx="3682">
                  <c:v>46</c:v>
                </c:pt>
                <c:pt idx="3683">
                  <c:v>17</c:v>
                </c:pt>
                <c:pt idx="3684">
                  <c:v>47</c:v>
                </c:pt>
                <c:pt idx="3685">
                  <c:v>17</c:v>
                </c:pt>
                <c:pt idx="3686">
                  <c:v>17</c:v>
                </c:pt>
                <c:pt idx="3687">
                  <c:v>28</c:v>
                </c:pt>
                <c:pt idx="3688">
                  <c:v>8</c:v>
                </c:pt>
                <c:pt idx="3689">
                  <c:v>8</c:v>
                </c:pt>
                <c:pt idx="3690">
                  <c:v>4</c:v>
                </c:pt>
                <c:pt idx="3691">
                  <c:v>24</c:v>
                </c:pt>
                <c:pt idx="3692">
                  <c:v>29</c:v>
                </c:pt>
                <c:pt idx="3693">
                  <c:v>10</c:v>
                </c:pt>
                <c:pt idx="3694">
                  <c:v>11</c:v>
                </c:pt>
                <c:pt idx="3695">
                  <c:v>18</c:v>
                </c:pt>
                <c:pt idx="3696">
                  <c:v>26</c:v>
                </c:pt>
                <c:pt idx="3697">
                  <c:v>39</c:v>
                </c:pt>
                <c:pt idx="3698">
                  <c:v>4</c:v>
                </c:pt>
                <c:pt idx="3699">
                  <c:v>24</c:v>
                </c:pt>
                <c:pt idx="3700">
                  <c:v>2</c:v>
                </c:pt>
                <c:pt idx="3701">
                  <c:v>36</c:v>
                </c:pt>
                <c:pt idx="3702">
                  <c:v>36</c:v>
                </c:pt>
                <c:pt idx="3703">
                  <c:v>23</c:v>
                </c:pt>
                <c:pt idx="3704">
                  <c:v>36</c:v>
                </c:pt>
                <c:pt idx="3705">
                  <c:v>2</c:v>
                </c:pt>
                <c:pt idx="3706">
                  <c:v>17</c:v>
                </c:pt>
                <c:pt idx="3707">
                  <c:v>19</c:v>
                </c:pt>
                <c:pt idx="3708">
                  <c:v>41</c:v>
                </c:pt>
                <c:pt idx="3709">
                  <c:v>27</c:v>
                </c:pt>
                <c:pt idx="3710">
                  <c:v>32</c:v>
                </c:pt>
                <c:pt idx="3711">
                  <c:v>33</c:v>
                </c:pt>
                <c:pt idx="3712">
                  <c:v>24</c:v>
                </c:pt>
                <c:pt idx="3713">
                  <c:v>31</c:v>
                </c:pt>
                <c:pt idx="3714">
                  <c:v>35</c:v>
                </c:pt>
                <c:pt idx="3715">
                  <c:v>2</c:v>
                </c:pt>
                <c:pt idx="3716">
                  <c:v>42</c:v>
                </c:pt>
                <c:pt idx="3717">
                  <c:v>47</c:v>
                </c:pt>
                <c:pt idx="3718">
                  <c:v>44</c:v>
                </c:pt>
                <c:pt idx="3719">
                  <c:v>8</c:v>
                </c:pt>
                <c:pt idx="3720">
                  <c:v>13</c:v>
                </c:pt>
                <c:pt idx="3721">
                  <c:v>10</c:v>
                </c:pt>
                <c:pt idx="3722">
                  <c:v>1</c:v>
                </c:pt>
                <c:pt idx="3723">
                  <c:v>1</c:v>
                </c:pt>
                <c:pt idx="3724">
                  <c:v>18</c:v>
                </c:pt>
                <c:pt idx="3725">
                  <c:v>2</c:v>
                </c:pt>
                <c:pt idx="3726">
                  <c:v>36</c:v>
                </c:pt>
                <c:pt idx="3727">
                  <c:v>17</c:v>
                </c:pt>
                <c:pt idx="3728">
                  <c:v>1</c:v>
                </c:pt>
                <c:pt idx="3729">
                  <c:v>50</c:v>
                </c:pt>
                <c:pt idx="3730">
                  <c:v>3</c:v>
                </c:pt>
                <c:pt idx="3731">
                  <c:v>45</c:v>
                </c:pt>
                <c:pt idx="3732">
                  <c:v>28</c:v>
                </c:pt>
                <c:pt idx="3733">
                  <c:v>6</c:v>
                </c:pt>
                <c:pt idx="3734">
                  <c:v>33</c:v>
                </c:pt>
                <c:pt idx="3735">
                  <c:v>29</c:v>
                </c:pt>
                <c:pt idx="3736">
                  <c:v>2</c:v>
                </c:pt>
                <c:pt idx="3737">
                  <c:v>43</c:v>
                </c:pt>
                <c:pt idx="3738">
                  <c:v>48</c:v>
                </c:pt>
                <c:pt idx="3739">
                  <c:v>43</c:v>
                </c:pt>
                <c:pt idx="3740">
                  <c:v>26</c:v>
                </c:pt>
                <c:pt idx="3741">
                  <c:v>26</c:v>
                </c:pt>
                <c:pt idx="3742">
                  <c:v>50</c:v>
                </c:pt>
                <c:pt idx="3743">
                  <c:v>36</c:v>
                </c:pt>
                <c:pt idx="3744">
                  <c:v>26</c:v>
                </c:pt>
                <c:pt idx="3745">
                  <c:v>2</c:v>
                </c:pt>
                <c:pt idx="3746">
                  <c:v>49</c:v>
                </c:pt>
                <c:pt idx="3747">
                  <c:v>32</c:v>
                </c:pt>
                <c:pt idx="3748">
                  <c:v>3</c:v>
                </c:pt>
                <c:pt idx="3749">
                  <c:v>38</c:v>
                </c:pt>
                <c:pt idx="3750">
                  <c:v>5</c:v>
                </c:pt>
                <c:pt idx="3751">
                  <c:v>8</c:v>
                </c:pt>
                <c:pt idx="3752">
                  <c:v>43</c:v>
                </c:pt>
                <c:pt idx="3753">
                  <c:v>22</c:v>
                </c:pt>
                <c:pt idx="3754">
                  <c:v>10</c:v>
                </c:pt>
                <c:pt idx="3755">
                  <c:v>26</c:v>
                </c:pt>
                <c:pt idx="3756">
                  <c:v>42</c:v>
                </c:pt>
                <c:pt idx="3757">
                  <c:v>33</c:v>
                </c:pt>
                <c:pt idx="3758">
                  <c:v>23</c:v>
                </c:pt>
                <c:pt idx="3759">
                  <c:v>30</c:v>
                </c:pt>
                <c:pt idx="3760">
                  <c:v>36</c:v>
                </c:pt>
                <c:pt idx="3761">
                  <c:v>3</c:v>
                </c:pt>
                <c:pt idx="3762">
                  <c:v>13</c:v>
                </c:pt>
                <c:pt idx="3763">
                  <c:v>38</c:v>
                </c:pt>
                <c:pt idx="3764">
                  <c:v>19</c:v>
                </c:pt>
                <c:pt idx="3765">
                  <c:v>14</c:v>
                </c:pt>
                <c:pt idx="3766">
                  <c:v>43</c:v>
                </c:pt>
                <c:pt idx="3767">
                  <c:v>10</c:v>
                </c:pt>
                <c:pt idx="3768">
                  <c:v>34</c:v>
                </c:pt>
                <c:pt idx="3769">
                  <c:v>31</c:v>
                </c:pt>
                <c:pt idx="3770">
                  <c:v>34</c:v>
                </c:pt>
                <c:pt idx="3771">
                  <c:v>28</c:v>
                </c:pt>
                <c:pt idx="3772">
                  <c:v>35</c:v>
                </c:pt>
                <c:pt idx="3773">
                  <c:v>41</c:v>
                </c:pt>
                <c:pt idx="3774">
                  <c:v>48</c:v>
                </c:pt>
                <c:pt idx="3775">
                  <c:v>45</c:v>
                </c:pt>
                <c:pt idx="3776">
                  <c:v>10</c:v>
                </c:pt>
                <c:pt idx="3777">
                  <c:v>9</c:v>
                </c:pt>
                <c:pt idx="3778">
                  <c:v>30</c:v>
                </c:pt>
                <c:pt idx="3779">
                  <c:v>45</c:v>
                </c:pt>
                <c:pt idx="3780">
                  <c:v>41</c:v>
                </c:pt>
                <c:pt idx="3781">
                  <c:v>40</c:v>
                </c:pt>
                <c:pt idx="3782">
                  <c:v>42</c:v>
                </c:pt>
                <c:pt idx="3783">
                  <c:v>17</c:v>
                </c:pt>
                <c:pt idx="3784">
                  <c:v>4</c:v>
                </c:pt>
                <c:pt idx="3785">
                  <c:v>6</c:v>
                </c:pt>
                <c:pt idx="3786">
                  <c:v>22</c:v>
                </c:pt>
                <c:pt idx="3787">
                  <c:v>46</c:v>
                </c:pt>
                <c:pt idx="3788">
                  <c:v>27</c:v>
                </c:pt>
                <c:pt idx="3789">
                  <c:v>18</c:v>
                </c:pt>
                <c:pt idx="3790">
                  <c:v>31</c:v>
                </c:pt>
                <c:pt idx="3791">
                  <c:v>1</c:v>
                </c:pt>
                <c:pt idx="3792">
                  <c:v>2</c:v>
                </c:pt>
                <c:pt idx="3793">
                  <c:v>46</c:v>
                </c:pt>
                <c:pt idx="3794">
                  <c:v>27</c:v>
                </c:pt>
                <c:pt idx="3795">
                  <c:v>3</c:v>
                </c:pt>
                <c:pt idx="3796">
                  <c:v>47</c:v>
                </c:pt>
                <c:pt idx="3797">
                  <c:v>20</c:v>
                </c:pt>
                <c:pt idx="3798">
                  <c:v>23</c:v>
                </c:pt>
                <c:pt idx="3799">
                  <c:v>13</c:v>
                </c:pt>
                <c:pt idx="3800">
                  <c:v>12</c:v>
                </c:pt>
                <c:pt idx="3801">
                  <c:v>36</c:v>
                </c:pt>
                <c:pt idx="3802">
                  <c:v>1</c:v>
                </c:pt>
                <c:pt idx="3803">
                  <c:v>14</c:v>
                </c:pt>
                <c:pt idx="3804">
                  <c:v>45</c:v>
                </c:pt>
                <c:pt idx="3805">
                  <c:v>31</c:v>
                </c:pt>
                <c:pt idx="3806">
                  <c:v>41</c:v>
                </c:pt>
                <c:pt idx="3807">
                  <c:v>36</c:v>
                </c:pt>
                <c:pt idx="3808">
                  <c:v>6</c:v>
                </c:pt>
                <c:pt idx="3809">
                  <c:v>28</c:v>
                </c:pt>
                <c:pt idx="3810">
                  <c:v>29</c:v>
                </c:pt>
                <c:pt idx="3811">
                  <c:v>14</c:v>
                </c:pt>
                <c:pt idx="3812">
                  <c:v>7</c:v>
                </c:pt>
                <c:pt idx="3813">
                  <c:v>31</c:v>
                </c:pt>
                <c:pt idx="3814">
                  <c:v>26</c:v>
                </c:pt>
                <c:pt idx="3815">
                  <c:v>12</c:v>
                </c:pt>
                <c:pt idx="3816">
                  <c:v>45</c:v>
                </c:pt>
                <c:pt idx="3817">
                  <c:v>40</c:v>
                </c:pt>
                <c:pt idx="3818">
                  <c:v>42</c:v>
                </c:pt>
                <c:pt idx="3819">
                  <c:v>45</c:v>
                </c:pt>
                <c:pt idx="3820">
                  <c:v>34</c:v>
                </c:pt>
                <c:pt idx="3821">
                  <c:v>34</c:v>
                </c:pt>
                <c:pt idx="3822">
                  <c:v>17</c:v>
                </c:pt>
                <c:pt idx="3823">
                  <c:v>27</c:v>
                </c:pt>
                <c:pt idx="3824">
                  <c:v>31</c:v>
                </c:pt>
                <c:pt idx="3825">
                  <c:v>47</c:v>
                </c:pt>
                <c:pt idx="3826">
                  <c:v>25</c:v>
                </c:pt>
                <c:pt idx="3827">
                  <c:v>47</c:v>
                </c:pt>
                <c:pt idx="3828">
                  <c:v>8</c:v>
                </c:pt>
                <c:pt idx="3829">
                  <c:v>32</c:v>
                </c:pt>
                <c:pt idx="3830">
                  <c:v>33</c:v>
                </c:pt>
                <c:pt idx="3831">
                  <c:v>16</c:v>
                </c:pt>
                <c:pt idx="3832">
                  <c:v>27</c:v>
                </c:pt>
                <c:pt idx="3833">
                  <c:v>17</c:v>
                </c:pt>
                <c:pt idx="3834">
                  <c:v>17</c:v>
                </c:pt>
                <c:pt idx="3835">
                  <c:v>28</c:v>
                </c:pt>
                <c:pt idx="3836">
                  <c:v>38</c:v>
                </c:pt>
                <c:pt idx="3837">
                  <c:v>33</c:v>
                </c:pt>
                <c:pt idx="3838">
                  <c:v>24</c:v>
                </c:pt>
                <c:pt idx="3839">
                  <c:v>14</c:v>
                </c:pt>
                <c:pt idx="3840">
                  <c:v>5</c:v>
                </c:pt>
                <c:pt idx="3841">
                  <c:v>8</c:v>
                </c:pt>
                <c:pt idx="3842">
                  <c:v>42</c:v>
                </c:pt>
                <c:pt idx="3843">
                  <c:v>48</c:v>
                </c:pt>
                <c:pt idx="3844">
                  <c:v>40</c:v>
                </c:pt>
                <c:pt idx="3845">
                  <c:v>46</c:v>
                </c:pt>
                <c:pt idx="3846">
                  <c:v>40</c:v>
                </c:pt>
                <c:pt idx="3847">
                  <c:v>31</c:v>
                </c:pt>
                <c:pt idx="3848">
                  <c:v>39</c:v>
                </c:pt>
                <c:pt idx="3849">
                  <c:v>36</c:v>
                </c:pt>
                <c:pt idx="3850">
                  <c:v>25</c:v>
                </c:pt>
                <c:pt idx="3851">
                  <c:v>24</c:v>
                </c:pt>
                <c:pt idx="3852">
                  <c:v>19</c:v>
                </c:pt>
                <c:pt idx="3853">
                  <c:v>49</c:v>
                </c:pt>
                <c:pt idx="3854">
                  <c:v>4</c:v>
                </c:pt>
                <c:pt idx="3855">
                  <c:v>36</c:v>
                </c:pt>
                <c:pt idx="3856">
                  <c:v>8</c:v>
                </c:pt>
                <c:pt idx="3857">
                  <c:v>29</c:v>
                </c:pt>
                <c:pt idx="3858">
                  <c:v>26</c:v>
                </c:pt>
                <c:pt idx="3859">
                  <c:v>47</c:v>
                </c:pt>
                <c:pt idx="3860">
                  <c:v>44</c:v>
                </c:pt>
                <c:pt idx="3861">
                  <c:v>49</c:v>
                </c:pt>
                <c:pt idx="3862">
                  <c:v>9</c:v>
                </c:pt>
                <c:pt idx="3863">
                  <c:v>28</c:v>
                </c:pt>
                <c:pt idx="3864">
                  <c:v>1</c:v>
                </c:pt>
                <c:pt idx="3865">
                  <c:v>28</c:v>
                </c:pt>
                <c:pt idx="3866">
                  <c:v>33</c:v>
                </c:pt>
                <c:pt idx="3867">
                  <c:v>28</c:v>
                </c:pt>
                <c:pt idx="3868">
                  <c:v>9</c:v>
                </c:pt>
                <c:pt idx="3869">
                  <c:v>28</c:v>
                </c:pt>
                <c:pt idx="3870">
                  <c:v>19</c:v>
                </c:pt>
                <c:pt idx="3871">
                  <c:v>20</c:v>
                </c:pt>
                <c:pt idx="3872">
                  <c:v>3</c:v>
                </c:pt>
                <c:pt idx="3873">
                  <c:v>22</c:v>
                </c:pt>
                <c:pt idx="3874">
                  <c:v>33</c:v>
                </c:pt>
                <c:pt idx="3875">
                  <c:v>21</c:v>
                </c:pt>
                <c:pt idx="3876">
                  <c:v>7</c:v>
                </c:pt>
                <c:pt idx="3877">
                  <c:v>46</c:v>
                </c:pt>
                <c:pt idx="3878">
                  <c:v>24</c:v>
                </c:pt>
                <c:pt idx="3879">
                  <c:v>6</c:v>
                </c:pt>
                <c:pt idx="3880">
                  <c:v>40</c:v>
                </c:pt>
                <c:pt idx="3881">
                  <c:v>17</c:v>
                </c:pt>
                <c:pt idx="3882">
                  <c:v>24</c:v>
                </c:pt>
                <c:pt idx="3883">
                  <c:v>22</c:v>
                </c:pt>
                <c:pt idx="3884">
                  <c:v>3</c:v>
                </c:pt>
                <c:pt idx="3885">
                  <c:v>39</c:v>
                </c:pt>
                <c:pt idx="3886">
                  <c:v>40</c:v>
                </c:pt>
                <c:pt idx="3887">
                  <c:v>1</c:v>
                </c:pt>
                <c:pt idx="3888">
                  <c:v>14</c:v>
                </c:pt>
                <c:pt idx="3889">
                  <c:v>49</c:v>
                </c:pt>
                <c:pt idx="3890">
                  <c:v>33</c:v>
                </c:pt>
                <c:pt idx="3891">
                  <c:v>6</c:v>
                </c:pt>
                <c:pt idx="3892">
                  <c:v>5</c:v>
                </c:pt>
                <c:pt idx="3893">
                  <c:v>29</c:v>
                </c:pt>
                <c:pt idx="3894">
                  <c:v>44</c:v>
                </c:pt>
                <c:pt idx="3895">
                  <c:v>32</c:v>
                </c:pt>
                <c:pt idx="3896">
                  <c:v>41</c:v>
                </c:pt>
                <c:pt idx="3897">
                  <c:v>24</c:v>
                </c:pt>
                <c:pt idx="3898">
                  <c:v>24</c:v>
                </c:pt>
                <c:pt idx="3899">
                  <c:v>33</c:v>
                </c:pt>
              </c:numCache>
            </c:numRef>
          </c:xVal>
          <c:yVal>
            <c:numRef>
              <c:f>shopping_behavior_updated!$F$2:$F$3901</c:f>
              <c:numCache>
                <c:formatCode>General</c:formatCode>
                <c:ptCount val="3900"/>
                <c:pt idx="0">
                  <c:v>53</c:v>
                </c:pt>
                <c:pt idx="1">
                  <c:v>64</c:v>
                </c:pt>
                <c:pt idx="2">
                  <c:v>73</c:v>
                </c:pt>
                <c:pt idx="3">
                  <c:v>90</c:v>
                </c:pt>
                <c:pt idx="4">
                  <c:v>49</c:v>
                </c:pt>
                <c:pt idx="5">
                  <c:v>20</c:v>
                </c:pt>
                <c:pt idx="6">
                  <c:v>85</c:v>
                </c:pt>
                <c:pt idx="7">
                  <c:v>34</c:v>
                </c:pt>
                <c:pt idx="8">
                  <c:v>97</c:v>
                </c:pt>
                <c:pt idx="9">
                  <c:v>31</c:v>
                </c:pt>
                <c:pt idx="10">
                  <c:v>34</c:v>
                </c:pt>
                <c:pt idx="11">
                  <c:v>68</c:v>
                </c:pt>
                <c:pt idx="12">
                  <c:v>72</c:v>
                </c:pt>
                <c:pt idx="13">
                  <c:v>51</c:v>
                </c:pt>
                <c:pt idx="14">
                  <c:v>53</c:v>
                </c:pt>
                <c:pt idx="15">
                  <c:v>81</c:v>
                </c:pt>
                <c:pt idx="16">
                  <c:v>36</c:v>
                </c:pt>
                <c:pt idx="17">
                  <c:v>38</c:v>
                </c:pt>
                <c:pt idx="18">
                  <c:v>48</c:v>
                </c:pt>
                <c:pt idx="19">
                  <c:v>90</c:v>
                </c:pt>
                <c:pt idx="20">
                  <c:v>51</c:v>
                </c:pt>
                <c:pt idx="21">
                  <c:v>62</c:v>
                </c:pt>
                <c:pt idx="22">
                  <c:v>37</c:v>
                </c:pt>
                <c:pt idx="23">
                  <c:v>88</c:v>
                </c:pt>
                <c:pt idx="24">
                  <c:v>22</c:v>
                </c:pt>
                <c:pt idx="25">
                  <c:v>25</c:v>
                </c:pt>
                <c:pt idx="26">
                  <c:v>20</c:v>
                </c:pt>
                <c:pt idx="27">
                  <c:v>56</c:v>
                </c:pt>
                <c:pt idx="28">
                  <c:v>94</c:v>
                </c:pt>
                <c:pt idx="29">
                  <c:v>48</c:v>
                </c:pt>
                <c:pt idx="30">
                  <c:v>31</c:v>
                </c:pt>
                <c:pt idx="31">
                  <c:v>79</c:v>
                </c:pt>
                <c:pt idx="32">
                  <c:v>67</c:v>
                </c:pt>
                <c:pt idx="33">
                  <c:v>38</c:v>
                </c:pt>
                <c:pt idx="34">
                  <c:v>91</c:v>
                </c:pt>
                <c:pt idx="35">
                  <c:v>33</c:v>
                </c:pt>
                <c:pt idx="36">
                  <c:v>69</c:v>
                </c:pt>
                <c:pt idx="37">
                  <c:v>45</c:v>
                </c:pt>
                <c:pt idx="38">
                  <c:v>37</c:v>
                </c:pt>
                <c:pt idx="39">
                  <c:v>60</c:v>
                </c:pt>
                <c:pt idx="40">
                  <c:v>76</c:v>
                </c:pt>
                <c:pt idx="41">
                  <c:v>39</c:v>
                </c:pt>
                <c:pt idx="42">
                  <c:v>100</c:v>
                </c:pt>
                <c:pt idx="43">
                  <c:v>69</c:v>
                </c:pt>
                <c:pt idx="44">
                  <c:v>53</c:v>
                </c:pt>
                <c:pt idx="45">
                  <c:v>21</c:v>
                </c:pt>
                <c:pt idx="46">
                  <c:v>43</c:v>
                </c:pt>
                <c:pt idx="47">
                  <c:v>54</c:v>
                </c:pt>
                <c:pt idx="48">
                  <c:v>55</c:v>
                </c:pt>
                <c:pt idx="49">
                  <c:v>30</c:v>
                </c:pt>
                <c:pt idx="50">
                  <c:v>28</c:v>
                </c:pt>
                <c:pt idx="51">
                  <c:v>59</c:v>
                </c:pt>
                <c:pt idx="52">
                  <c:v>20</c:v>
                </c:pt>
                <c:pt idx="53">
                  <c:v>24</c:v>
                </c:pt>
                <c:pt idx="54">
                  <c:v>94</c:v>
                </c:pt>
                <c:pt idx="55">
                  <c:v>28</c:v>
                </c:pt>
                <c:pt idx="56">
                  <c:v>73</c:v>
                </c:pt>
                <c:pt idx="57">
                  <c:v>64</c:v>
                </c:pt>
                <c:pt idx="58">
                  <c:v>54</c:v>
                </c:pt>
                <c:pt idx="59">
                  <c:v>79</c:v>
                </c:pt>
                <c:pt idx="60">
                  <c:v>37</c:v>
                </c:pt>
                <c:pt idx="61">
                  <c:v>68</c:v>
                </c:pt>
                <c:pt idx="62">
                  <c:v>21</c:v>
                </c:pt>
                <c:pt idx="63">
                  <c:v>79</c:v>
                </c:pt>
                <c:pt idx="64">
                  <c:v>83</c:v>
                </c:pt>
                <c:pt idx="65">
                  <c:v>36</c:v>
                </c:pt>
                <c:pt idx="66">
                  <c:v>94</c:v>
                </c:pt>
                <c:pt idx="67">
                  <c:v>33</c:v>
                </c:pt>
                <c:pt idx="68">
                  <c:v>46</c:v>
                </c:pt>
                <c:pt idx="69">
                  <c:v>70</c:v>
                </c:pt>
                <c:pt idx="70">
                  <c:v>29</c:v>
                </c:pt>
                <c:pt idx="71">
                  <c:v>48</c:v>
                </c:pt>
                <c:pt idx="72">
                  <c:v>26</c:v>
                </c:pt>
                <c:pt idx="73">
                  <c:v>85</c:v>
                </c:pt>
                <c:pt idx="74">
                  <c:v>58</c:v>
                </c:pt>
                <c:pt idx="75">
                  <c:v>85</c:v>
                </c:pt>
                <c:pt idx="76">
                  <c:v>43</c:v>
                </c:pt>
                <c:pt idx="77">
                  <c:v>53</c:v>
                </c:pt>
                <c:pt idx="78">
                  <c:v>91</c:v>
                </c:pt>
                <c:pt idx="79">
                  <c:v>96</c:v>
                </c:pt>
                <c:pt idx="80">
                  <c:v>72</c:v>
                </c:pt>
                <c:pt idx="81">
                  <c:v>96</c:v>
                </c:pt>
                <c:pt idx="82">
                  <c:v>28</c:v>
                </c:pt>
                <c:pt idx="83">
                  <c:v>40</c:v>
                </c:pt>
                <c:pt idx="84">
                  <c:v>32</c:v>
                </c:pt>
                <c:pt idx="85">
                  <c:v>95</c:v>
                </c:pt>
                <c:pt idx="86">
                  <c:v>41</c:v>
                </c:pt>
                <c:pt idx="87">
                  <c:v>53</c:v>
                </c:pt>
                <c:pt idx="88">
                  <c:v>47</c:v>
                </c:pt>
                <c:pt idx="89">
                  <c:v>83</c:v>
                </c:pt>
                <c:pt idx="90">
                  <c:v>48</c:v>
                </c:pt>
                <c:pt idx="91">
                  <c:v>99</c:v>
                </c:pt>
                <c:pt idx="92">
                  <c:v>87</c:v>
                </c:pt>
                <c:pt idx="93">
                  <c:v>62</c:v>
                </c:pt>
                <c:pt idx="94">
                  <c:v>76</c:v>
                </c:pt>
                <c:pt idx="95">
                  <c:v>100</c:v>
                </c:pt>
                <c:pt idx="96">
                  <c:v>73</c:v>
                </c:pt>
                <c:pt idx="97">
                  <c:v>92</c:v>
                </c:pt>
                <c:pt idx="98">
                  <c:v>67</c:v>
                </c:pt>
                <c:pt idx="99">
                  <c:v>40</c:v>
                </c:pt>
                <c:pt idx="100">
                  <c:v>98</c:v>
                </c:pt>
                <c:pt idx="101">
                  <c:v>85</c:v>
                </c:pt>
                <c:pt idx="102">
                  <c:v>67</c:v>
                </c:pt>
                <c:pt idx="103">
                  <c:v>89</c:v>
                </c:pt>
                <c:pt idx="104">
                  <c:v>24</c:v>
                </c:pt>
                <c:pt idx="105">
                  <c:v>96</c:v>
                </c:pt>
                <c:pt idx="106">
                  <c:v>35</c:v>
                </c:pt>
                <c:pt idx="107">
                  <c:v>67</c:v>
                </c:pt>
                <c:pt idx="108">
                  <c:v>79</c:v>
                </c:pt>
                <c:pt idx="109">
                  <c:v>85</c:v>
                </c:pt>
                <c:pt idx="110">
                  <c:v>26</c:v>
                </c:pt>
                <c:pt idx="111">
                  <c:v>75</c:v>
                </c:pt>
                <c:pt idx="112">
                  <c:v>65</c:v>
                </c:pt>
                <c:pt idx="113">
                  <c:v>54</c:v>
                </c:pt>
                <c:pt idx="114">
                  <c:v>95</c:v>
                </c:pt>
                <c:pt idx="115">
                  <c:v>94</c:v>
                </c:pt>
                <c:pt idx="116">
                  <c:v>86</c:v>
                </c:pt>
                <c:pt idx="117">
                  <c:v>32</c:v>
                </c:pt>
                <c:pt idx="118">
                  <c:v>45</c:v>
                </c:pt>
                <c:pt idx="119">
                  <c:v>76</c:v>
                </c:pt>
                <c:pt idx="120">
                  <c:v>84</c:v>
                </c:pt>
                <c:pt idx="121">
                  <c:v>72</c:v>
                </c:pt>
                <c:pt idx="122">
                  <c:v>40</c:v>
                </c:pt>
                <c:pt idx="123">
                  <c:v>89</c:v>
                </c:pt>
                <c:pt idx="124">
                  <c:v>86</c:v>
                </c:pt>
                <c:pt idx="125">
                  <c:v>54</c:v>
                </c:pt>
                <c:pt idx="126">
                  <c:v>36</c:v>
                </c:pt>
                <c:pt idx="127">
                  <c:v>89</c:v>
                </c:pt>
                <c:pt idx="128">
                  <c:v>32</c:v>
                </c:pt>
                <c:pt idx="129">
                  <c:v>67</c:v>
                </c:pt>
                <c:pt idx="130">
                  <c:v>39</c:v>
                </c:pt>
                <c:pt idx="131">
                  <c:v>29</c:v>
                </c:pt>
                <c:pt idx="132">
                  <c:v>58</c:v>
                </c:pt>
                <c:pt idx="133">
                  <c:v>65</c:v>
                </c:pt>
                <c:pt idx="134">
                  <c:v>94</c:v>
                </c:pt>
                <c:pt idx="135">
                  <c:v>81</c:v>
                </c:pt>
                <c:pt idx="136">
                  <c:v>86</c:v>
                </c:pt>
                <c:pt idx="137">
                  <c:v>43</c:v>
                </c:pt>
                <c:pt idx="138">
                  <c:v>29</c:v>
                </c:pt>
                <c:pt idx="139">
                  <c:v>95</c:v>
                </c:pt>
                <c:pt idx="140">
                  <c:v>28</c:v>
                </c:pt>
                <c:pt idx="141">
                  <c:v>46</c:v>
                </c:pt>
                <c:pt idx="142">
                  <c:v>58</c:v>
                </c:pt>
                <c:pt idx="143">
                  <c:v>48</c:v>
                </c:pt>
                <c:pt idx="144">
                  <c:v>43</c:v>
                </c:pt>
                <c:pt idx="145">
                  <c:v>95</c:v>
                </c:pt>
                <c:pt idx="146">
                  <c:v>30</c:v>
                </c:pt>
                <c:pt idx="147">
                  <c:v>64</c:v>
                </c:pt>
                <c:pt idx="148">
                  <c:v>90</c:v>
                </c:pt>
                <c:pt idx="149">
                  <c:v>76</c:v>
                </c:pt>
                <c:pt idx="150">
                  <c:v>96</c:v>
                </c:pt>
                <c:pt idx="151">
                  <c:v>47</c:v>
                </c:pt>
                <c:pt idx="152">
                  <c:v>85</c:v>
                </c:pt>
                <c:pt idx="153">
                  <c:v>55</c:v>
                </c:pt>
                <c:pt idx="154">
                  <c:v>98</c:v>
                </c:pt>
                <c:pt idx="155">
                  <c:v>77</c:v>
                </c:pt>
                <c:pt idx="156">
                  <c:v>26</c:v>
                </c:pt>
                <c:pt idx="157">
                  <c:v>68</c:v>
                </c:pt>
                <c:pt idx="158">
                  <c:v>73</c:v>
                </c:pt>
                <c:pt idx="159">
                  <c:v>27</c:v>
                </c:pt>
                <c:pt idx="160">
                  <c:v>23</c:v>
                </c:pt>
                <c:pt idx="161">
                  <c:v>49</c:v>
                </c:pt>
                <c:pt idx="162">
                  <c:v>74</c:v>
                </c:pt>
                <c:pt idx="163">
                  <c:v>67</c:v>
                </c:pt>
                <c:pt idx="164">
                  <c:v>65</c:v>
                </c:pt>
                <c:pt idx="165">
                  <c:v>60</c:v>
                </c:pt>
                <c:pt idx="166">
                  <c:v>31</c:v>
                </c:pt>
                <c:pt idx="167">
                  <c:v>27</c:v>
                </c:pt>
                <c:pt idx="168">
                  <c:v>80</c:v>
                </c:pt>
                <c:pt idx="169">
                  <c:v>30</c:v>
                </c:pt>
                <c:pt idx="170">
                  <c:v>25</c:v>
                </c:pt>
                <c:pt idx="171">
                  <c:v>35</c:v>
                </c:pt>
                <c:pt idx="172">
                  <c:v>67</c:v>
                </c:pt>
                <c:pt idx="173">
                  <c:v>46</c:v>
                </c:pt>
                <c:pt idx="174">
                  <c:v>35</c:v>
                </c:pt>
                <c:pt idx="175">
                  <c:v>86</c:v>
                </c:pt>
                <c:pt idx="176">
                  <c:v>81</c:v>
                </c:pt>
                <c:pt idx="177">
                  <c:v>42</c:v>
                </c:pt>
                <c:pt idx="178">
                  <c:v>43</c:v>
                </c:pt>
                <c:pt idx="179">
                  <c:v>31</c:v>
                </c:pt>
                <c:pt idx="180">
                  <c:v>81</c:v>
                </c:pt>
                <c:pt idx="181">
                  <c:v>61</c:v>
                </c:pt>
                <c:pt idx="182">
                  <c:v>96</c:v>
                </c:pt>
                <c:pt idx="183">
                  <c:v>29</c:v>
                </c:pt>
                <c:pt idx="184">
                  <c:v>33</c:v>
                </c:pt>
                <c:pt idx="185">
                  <c:v>32</c:v>
                </c:pt>
                <c:pt idx="186">
                  <c:v>56</c:v>
                </c:pt>
                <c:pt idx="187">
                  <c:v>94</c:v>
                </c:pt>
                <c:pt idx="188">
                  <c:v>53</c:v>
                </c:pt>
                <c:pt idx="189">
                  <c:v>82</c:v>
                </c:pt>
                <c:pt idx="190">
                  <c:v>70</c:v>
                </c:pt>
                <c:pt idx="191">
                  <c:v>76</c:v>
                </c:pt>
                <c:pt idx="192">
                  <c:v>29</c:v>
                </c:pt>
                <c:pt idx="193">
                  <c:v>100</c:v>
                </c:pt>
                <c:pt idx="194">
                  <c:v>94</c:v>
                </c:pt>
                <c:pt idx="195">
                  <c:v>25</c:v>
                </c:pt>
                <c:pt idx="196">
                  <c:v>88</c:v>
                </c:pt>
                <c:pt idx="197">
                  <c:v>78</c:v>
                </c:pt>
                <c:pt idx="198">
                  <c:v>45</c:v>
                </c:pt>
                <c:pt idx="199">
                  <c:v>73</c:v>
                </c:pt>
                <c:pt idx="200">
                  <c:v>61</c:v>
                </c:pt>
                <c:pt idx="201">
                  <c:v>22</c:v>
                </c:pt>
                <c:pt idx="202">
                  <c:v>38</c:v>
                </c:pt>
                <c:pt idx="203">
                  <c:v>38</c:v>
                </c:pt>
                <c:pt idx="204">
                  <c:v>100</c:v>
                </c:pt>
                <c:pt idx="205">
                  <c:v>64</c:v>
                </c:pt>
                <c:pt idx="206">
                  <c:v>55</c:v>
                </c:pt>
                <c:pt idx="207">
                  <c:v>91</c:v>
                </c:pt>
                <c:pt idx="208">
                  <c:v>38</c:v>
                </c:pt>
                <c:pt idx="209">
                  <c:v>97</c:v>
                </c:pt>
                <c:pt idx="210">
                  <c:v>22</c:v>
                </c:pt>
                <c:pt idx="211">
                  <c:v>92</c:v>
                </c:pt>
                <c:pt idx="212">
                  <c:v>84</c:v>
                </c:pt>
                <c:pt idx="213">
                  <c:v>93</c:v>
                </c:pt>
                <c:pt idx="214">
                  <c:v>50</c:v>
                </c:pt>
                <c:pt idx="215">
                  <c:v>64</c:v>
                </c:pt>
                <c:pt idx="216">
                  <c:v>61</c:v>
                </c:pt>
                <c:pt idx="217">
                  <c:v>48</c:v>
                </c:pt>
                <c:pt idx="218">
                  <c:v>45</c:v>
                </c:pt>
                <c:pt idx="219">
                  <c:v>88</c:v>
                </c:pt>
                <c:pt idx="220">
                  <c:v>57</c:v>
                </c:pt>
                <c:pt idx="221">
                  <c:v>68</c:v>
                </c:pt>
                <c:pt idx="222">
                  <c:v>94</c:v>
                </c:pt>
                <c:pt idx="223">
                  <c:v>41</c:v>
                </c:pt>
                <c:pt idx="224">
                  <c:v>83</c:v>
                </c:pt>
                <c:pt idx="225">
                  <c:v>22</c:v>
                </c:pt>
                <c:pt idx="226">
                  <c:v>74</c:v>
                </c:pt>
                <c:pt idx="227">
                  <c:v>90</c:v>
                </c:pt>
                <c:pt idx="228">
                  <c:v>79</c:v>
                </c:pt>
                <c:pt idx="229">
                  <c:v>28</c:v>
                </c:pt>
                <c:pt idx="230">
                  <c:v>88</c:v>
                </c:pt>
                <c:pt idx="231">
                  <c:v>26</c:v>
                </c:pt>
                <c:pt idx="232">
                  <c:v>27</c:v>
                </c:pt>
                <c:pt idx="233">
                  <c:v>83</c:v>
                </c:pt>
                <c:pt idx="234">
                  <c:v>39</c:v>
                </c:pt>
                <c:pt idx="235">
                  <c:v>89</c:v>
                </c:pt>
                <c:pt idx="236">
                  <c:v>68</c:v>
                </c:pt>
                <c:pt idx="237">
                  <c:v>90</c:v>
                </c:pt>
                <c:pt idx="238">
                  <c:v>34</c:v>
                </c:pt>
                <c:pt idx="239">
                  <c:v>51</c:v>
                </c:pt>
                <c:pt idx="240">
                  <c:v>45</c:v>
                </c:pt>
                <c:pt idx="241">
                  <c:v>88</c:v>
                </c:pt>
                <c:pt idx="242">
                  <c:v>85</c:v>
                </c:pt>
                <c:pt idx="243">
                  <c:v>100</c:v>
                </c:pt>
                <c:pt idx="244">
                  <c:v>42</c:v>
                </c:pt>
                <c:pt idx="245">
                  <c:v>53</c:v>
                </c:pt>
                <c:pt idx="246">
                  <c:v>86</c:v>
                </c:pt>
                <c:pt idx="247">
                  <c:v>66</c:v>
                </c:pt>
                <c:pt idx="248">
                  <c:v>100</c:v>
                </c:pt>
                <c:pt idx="249">
                  <c:v>47</c:v>
                </c:pt>
                <c:pt idx="250">
                  <c:v>25</c:v>
                </c:pt>
                <c:pt idx="251">
                  <c:v>51</c:v>
                </c:pt>
                <c:pt idx="252">
                  <c:v>41</c:v>
                </c:pt>
                <c:pt idx="253">
                  <c:v>73</c:v>
                </c:pt>
                <c:pt idx="254">
                  <c:v>42</c:v>
                </c:pt>
                <c:pt idx="255">
                  <c:v>20</c:v>
                </c:pt>
                <c:pt idx="256">
                  <c:v>30</c:v>
                </c:pt>
                <c:pt idx="257">
                  <c:v>53</c:v>
                </c:pt>
                <c:pt idx="258">
                  <c:v>74</c:v>
                </c:pt>
                <c:pt idx="259">
                  <c:v>57</c:v>
                </c:pt>
                <c:pt idx="260">
                  <c:v>57</c:v>
                </c:pt>
                <c:pt idx="261">
                  <c:v>77</c:v>
                </c:pt>
                <c:pt idx="262">
                  <c:v>40</c:v>
                </c:pt>
                <c:pt idx="263">
                  <c:v>46</c:v>
                </c:pt>
                <c:pt idx="264">
                  <c:v>78</c:v>
                </c:pt>
                <c:pt idx="265">
                  <c:v>59</c:v>
                </c:pt>
                <c:pt idx="266">
                  <c:v>75</c:v>
                </c:pt>
                <c:pt idx="267">
                  <c:v>54</c:v>
                </c:pt>
                <c:pt idx="268">
                  <c:v>42</c:v>
                </c:pt>
                <c:pt idx="269">
                  <c:v>44</c:v>
                </c:pt>
                <c:pt idx="270">
                  <c:v>52</c:v>
                </c:pt>
                <c:pt idx="271">
                  <c:v>69</c:v>
                </c:pt>
                <c:pt idx="272">
                  <c:v>26</c:v>
                </c:pt>
                <c:pt idx="273">
                  <c:v>33</c:v>
                </c:pt>
                <c:pt idx="274">
                  <c:v>32</c:v>
                </c:pt>
                <c:pt idx="275">
                  <c:v>85</c:v>
                </c:pt>
                <c:pt idx="276">
                  <c:v>30</c:v>
                </c:pt>
                <c:pt idx="277">
                  <c:v>29</c:v>
                </c:pt>
                <c:pt idx="278">
                  <c:v>95</c:v>
                </c:pt>
                <c:pt idx="279">
                  <c:v>69</c:v>
                </c:pt>
                <c:pt idx="280">
                  <c:v>69</c:v>
                </c:pt>
                <c:pt idx="281">
                  <c:v>61</c:v>
                </c:pt>
                <c:pt idx="282">
                  <c:v>94</c:v>
                </c:pt>
                <c:pt idx="283">
                  <c:v>30</c:v>
                </c:pt>
                <c:pt idx="284">
                  <c:v>45</c:v>
                </c:pt>
                <c:pt idx="285">
                  <c:v>39</c:v>
                </c:pt>
                <c:pt idx="286">
                  <c:v>51</c:v>
                </c:pt>
                <c:pt idx="287">
                  <c:v>37</c:v>
                </c:pt>
                <c:pt idx="288">
                  <c:v>62</c:v>
                </c:pt>
                <c:pt idx="289">
                  <c:v>85</c:v>
                </c:pt>
                <c:pt idx="290">
                  <c:v>33</c:v>
                </c:pt>
                <c:pt idx="291">
                  <c:v>26</c:v>
                </c:pt>
                <c:pt idx="292">
                  <c:v>99</c:v>
                </c:pt>
                <c:pt idx="293">
                  <c:v>39</c:v>
                </c:pt>
                <c:pt idx="294">
                  <c:v>20</c:v>
                </c:pt>
                <c:pt idx="295">
                  <c:v>42</c:v>
                </c:pt>
                <c:pt idx="296">
                  <c:v>74</c:v>
                </c:pt>
                <c:pt idx="297">
                  <c:v>26</c:v>
                </c:pt>
                <c:pt idx="298">
                  <c:v>53</c:v>
                </c:pt>
                <c:pt idx="299">
                  <c:v>80</c:v>
                </c:pt>
                <c:pt idx="300">
                  <c:v>98</c:v>
                </c:pt>
                <c:pt idx="301">
                  <c:v>95</c:v>
                </c:pt>
                <c:pt idx="302">
                  <c:v>44</c:v>
                </c:pt>
                <c:pt idx="303">
                  <c:v>60</c:v>
                </c:pt>
                <c:pt idx="304">
                  <c:v>84</c:v>
                </c:pt>
                <c:pt idx="305">
                  <c:v>59</c:v>
                </c:pt>
                <c:pt idx="306">
                  <c:v>49</c:v>
                </c:pt>
                <c:pt idx="307">
                  <c:v>32</c:v>
                </c:pt>
                <c:pt idx="308">
                  <c:v>29</c:v>
                </c:pt>
                <c:pt idx="309">
                  <c:v>22</c:v>
                </c:pt>
                <c:pt idx="310">
                  <c:v>85</c:v>
                </c:pt>
                <c:pt idx="311">
                  <c:v>52</c:v>
                </c:pt>
                <c:pt idx="312">
                  <c:v>89</c:v>
                </c:pt>
                <c:pt idx="313">
                  <c:v>77</c:v>
                </c:pt>
                <c:pt idx="314">
                  <c:v>24</c:v>
                </c:pt>
                <c:pt idx="315">
                  <c:v>24</c:v>
                </c:pt>
                <c:pt idx="316">
                  <c:v>22</c:v>
                </c:pt>
                <c:pt idx="317">
                  <c:v>82</c:v>
                </c:pt>
                <c:pt idx="318">
                  <c:v>67</c:v>
                </c:pt>
                <c:pt idx="319">
                  <c:v>74</c:v>
                </c:pt>
                <c:pt idx="320">
                  <c:v>72</c:v>
                </c:pt>
                <c:pt idx="321">
                  <c:v>36</c:v>
                </c:pt>
                <c:pt idx="322">
                  <c:v>95</c:v>
                </c:pt>
                <c:pt idx="323">
                  <c:v>78</c:v>
                </c:pt>
                <c:pt idx="324">
                  <c:v>82</c:v>
                </c:pt>
                <c:pt idx="325">
                  <c:v>70</c:v>
                </c:pt>
                <c:pt idx="326">
                  <c:v>41</c:v>
                </c:pt>
                <c:pt idx="327">
                  <c:v>42</c:v>
                </c:pt>
                <c:pt idx="328">
                  <c:v>50</c:v>
                </c:pt>
                <c:pt idx="329">
                  <c:v>31</c:v>
                </c:pt>
                <c:pt idx="330">
                  <c:v>51</c:v>
                </c:pt>
                <c:pt idx="331">
                  <c:v>98</c:v>
                </c:pt>
                <c:pt idx="332">
                  <c:v>86</c:v>
                </c:pt>
                <c:pt idx="333">
                  <c:v>64</c:v>
                </c:pt>
                <c:pt idx="334">
                  <c:v>46</c:v>
                </c:pt>
                <c:pt idx="335">
                  <c:v>85</c:v>
                </c:pt>
                <c:pt idx="336">
                  <c:v>81</c:v>
                </c:pt>
                <c:pt idx="337">
                  <c:v>59</c:v>
                </c:pt>
                <c:pt idx="338">
                  <c:v>79</c:v>
                </c:pt>
                <c:pt idx="339">
                  <c:v>33</c:v>
                </c:pt>
                <c:pt idx="340">
                  <c:v>47</c:v>
                </c:pt>
                <c:pt idx="341">
                  <c:v>20</c:v>
                </c:pt>
                <c:pt idx="342">
                  <c:v>36</c:v>
                </c:pt>
                <c:pt idx="343">
                  <c:v>39</c:v>
                </c:pt>
                <c:pt idx="344">
                  <c:v>71</c:v>
                </c:pt>
                <c:pt idx="345">
                  <c:v>59</c:v>
                </c:pt>
                <c:pt idx="346">
                  <c:v>50</c:v>
                </c:pt>
                <c:pt idx="347">
                  <c:v>41</c:v>
                </c:pt>
                <c:pt idx="348">
                  <c:v>59</c:v>
                </c:pt>
                <c:pt idx="349">
                  <c:v>87</c:v>
                </c:pt>
                <c:pt idx="350">
                  <c:v>68</c:v>
                </c:pt>
                <c:pt idx="351">
                  <c:v>90</c:v>
                </c:pt>
                <c:pt idx="352">
                  <c:v>71</c:v>
                </c:pt>
                <c:pt idx="353">
                  <c:v>64</c:v>
                </c:pt>
                <c:pt idx="354">
                  <c:v>76</c:v>
                </c:pt>
                <c:pt idx="355">
                  <c:v>42</c:v>
                </c:pt>
                <c:pt idx="356">
                  <c:v>80</c:v>
                </c:pt>
                <c:pt idx="357">
                  <c:v>56</c:v>
                </c:pt>
                <c:pt idx="358">
                  <c:v>25</c:v>
                </c:pt>
                <c:pt idx="359">
                  <c:v>74</c:v>
                </c:pt>
                <c:pt idx="360">
                  <c:v>30</c:v>
                </c:pt>
                <c:pt idx="361">
                  <c:v>96</c:v>
                </c:pt>
                <c:pt idx="362">
                  <c:v>64</c:v>
                </c:pt>
                <c:pt idx="363">
                  <c:v>88</c:v>
                </c:pt>
                <c:pt idx="364">
                  <c:v>88</c:v>
                </c:pt>
                <c:pt idx="365">
                  <c:v>88</c:v>
                </c:pt>
                <c:pt idx="366">
                  <c:v>36</c:v>
                </c:pt>
                <c:pt idx="367">
                  <c:v>40</c:v>
                </c:pt>
                <c:pt idx="368">
                  <c:v>39</c:v>
                </c:pt>
                <c:pt idx="369">
                  <c:v>40</c:v>
                </c:pt>
                <c:pt idx="370">
                  <c:v>34</c:v>
                </c:pt>
                <c:pt idx="371">
                  <c:v>83</c:v>
                </c:pt>
                <c:pt idx="372">
                  <c:v>85</c:v>
                </c:pt>
                <c:pt idx="373">
                  <c:v>27</c:v>
                </c:pt>
                <c:pt idx="374">
                  <c:v>78</c:v>
                </c:pt>
                <c:pt idx="375">
                  <c:v>32</c:v>
                </c:pt>
                <c:pt idx="376">
                  <c:v>51</c:v>
                </c:pt>
                <c:pt idx="377">
                  <c:v>32</c:v>
                </c:pt>
                <c:pt idx="378">
                  <c:v>62</c:v>
                </c:pt>
                <c:pt idx="379">
                  <c:v>29</c:v>
                </c:pt>
                <c:pt idx="380">
                  <c:v>69</c:v>
                </c:pt>
                <c:pt idx="381">
                  <c:v>25</c:v>
                </c:pt>
                <c:pt idx="382">
                  <c:v>76</c:v>
                </c:pt>
                <c:pt idx="383">
                  <c:v>77</c:v>
                </c:pt>
                <c:pt idx="384">
                  <c:v>33</c:v>
                </c:pt>
                <c:pt idx="385">
                  <c:v>93</c:v>
                </c:pt>
                <c:pt idx="386">
                  <c:v>39</c:v>
                </c:pt>
                <c:pt idx="387">
                  <c:v>93</c:v>
                </c:pt>
                <c:pt idx="388">
                  <c:v>82</c:v>
                </c:pt>
                <c:pt idx="389">
                  <c:v>42</c:v>
                </c:pt>
                <c:pt idx="390">
                  <c:v>71</c:v>
                </c:pt>
                <c:pt idx="391">
                  <c:v>86</c:v>
                </c:pt>
                <c:pt idx="392">
                  <c:v>82</c:v>
                </c:pt>
                <c:pt idx="393">
                  <c:v>65</c:v>
                </c:pt>
                <c:pt idx="394">
                  <c:v>29</c:v>
                </c:pt>
                <c:pt idx="395">
                  <c:v>65</c:v>
                </c:pt>
                <c:pt idx="396">
                  <c:v>88</c:v>
                </c:pt>
                <c:pt idx="397">
                  <c:v>46</c:v>
                </c:pt>
                <c:pt idx="398">
                  <c:v>67</c:v>
                </c:pt>
                <c:pt idx="399">
                  <c:v>35</c:v>
                </c:pt>
                <c:pt idx="400">
                  <c:v>66</c:v>
                </c:pt>
                <c:pt idx="401">
                  <c:v>91</c:v>
                </c:pt>
                <c:pt idx="402">
                  <c:v>78</c:v>
                </c:pt>
                <c:pt idx="403">
                  <c:v>45</c:v>
                </c:pt>
                <c:pt idx="404">
                  <c:v>93</c:v>
                </c:pt>
                <c:pt idx="405">
                  <c:v>74</c:v>
                </c:pt>
                <c:pt idx="406">
                  <c:v>55</c:v>
                </c:pt>
                <c:pt idx="407">
                  <c:v>76</c:v>
                </c:pt>
                <c:pt idx="408">
                  <c:v>66</c:v>
                </c:pt>
                <c:pt idx="409">
                  <c:v>51</c:v>
                </c:pt>
                <c:pt idx="410">
                  <c:v>26</c:v>
                </c:pt>
                <c:pt idx="411">
                  <c:v>29</c:v>
                </c:pt>
                <c:pt idx="412">
                  <c:v>74</c:v>
                </c:pt>
                <c:pt idx="413">
                  <c:v>99</c:v>
                </c:pt>
                <c:pt idx="414">
                  <c:v>88</c:v>
                </c:pt>
                <c:pt idx="415">
                  <c:v>31</c:v>
                </c:pt>
                <c:pt idx="416">
                  <c:v>55</c:v>
                </c:pt>
                <c:pt idx="417">
                  <c:v>81</c:v>
                </c:pt>
                <c:pt idx="418">
                  <c:v>73</c:v>
                </c:pt>
                <c:pt idx="419">
                  <c:v>91</c:v>
                </c:pt>
                <c:pt idx="420">
                  <c:v>54</c:v>
                </c:pt>
                <c:pt idx="421">
                  <c:v>40</c:v>
                </c:pt>
                <c:pt idx="422">
                  <c:v>59</c:v>
                </c:pt>
                <c:pt idx="423">
                  <c:v>26</c:v>
                </c:pt>
                <c:pt idx="424">
                  <c:v>23</c:v>
                </c:pt>
                <c:pt idx="425">
                  <c:v>87</c:v>
                </c:pt>
                <c:pt idx="426">
                  <c:v>71</c:v>
                </c:pt>
                <c:pt idx="427">
                  <c:v>91</c:v>
                </c:pt>
                <c:pt idx="428">
                  <c:v>64</c:v>
                </c:pt>
                <c:pt idx="429">
                  <c:v>94</c:v>
                </c:pt>
                <c:pt idx="430">
                  <c:v>40</c:v>
                </c:pt>
                <c:pt idx="431">
                  <c:v>76</c:v>
                </c:pt>
                <c:pt idx="432">
                  <c:v>86</c:v>
                </c:pt>
                <c:pt idx="433">
                  <c:v>92</c:v>
                </c:pt>
                <c:pt idx="434">
                  <c:v>52</c:v>
                </c:pt>
                <c:pt idx="435">
                  <c:v>28</c:v>
                </c:pt>
                <c:pt idx="436">
                  <c:v>46</c:v>
                </c:pt>
                <c:pt idx="437">
                  <c:v>50</c:v>
                </c:pt>
                <c:pt idx="438">
                  <c:v>23</c:v>
                </c:pt>
                <c:pt idx="439">
                  <c:v>50</c:v>
                </c:pt>
                <c:pt idx="440">
                  <c:v>89</c:v>
                </c:pt>
                <c:pt idx="441">
                  <c:v>81</c:v>
                </c:pt>
                <c:pt idx="442">
                  <c:v>69</c:v>
                </c:pt>
                <c:pt idx="443">
                  <c:v>67</c:v>
                </c:pt>
                <c:pt idx="444">
                  <c:v>20</c:v>
                </c:pt>
                <c:pt idx="445">
                  <c:v>29</c:v>
                </c:pt>
                <c:pt idx="446">
                  <c:v>74</c:v>
                </c:pt>
                <c:pt idx="447">
                  <c:v>82</c:v>
                </c:pt>
                <c:pt idx="448">
                  <c:v>23</c:v>
                </c:pt>
                <c:pt idx="449">
                  <c:v>45</c:v>
                </c:pt>
                <c:pt idx="450">
                  <c:v>21</c:v>
                </c:pt>
                <c:pt idx="451">
                  <c:v>31</c:v>
                </c:pt>
                <c:pt idx="452">
                  <c:v>45</c:v>
                </c:pt>
                <c:pt idx="453">
                  <c:v>56</c:v>
                </c:pt>
                <c:pt idx="454">
                  <c:v>97</c:v>
                </c:pt>
                <c:pt idx="455">
                  <c:v>100</c:v>
                </c:pt>
                <c:pt idx="456">
                  <c:v>96</c:v>
                </c:pt>
                <c:pt idx="457">
                  <c:v>99</c:v>
                </c:pt>
                <c:pt idx="458">
                  <c:v>91</c:v>
                </c:pt>
                <c:pt idx="459">
                  <c:v>30</c:v>
                </c:pt>
                <c:pt idx="460">
                  <c:v>65</c:v>
                </c:pt>
                <c:pt idx="461">
                  <c:v>93</c:v>
                </c:pt>
                <c:pt idx="462">
                  <c:v>81</c:v>
                </c:pt>
                <c:pt idx="463">
                  <c:v>81</c:v>
                </c:pt>
                <c:pt idx="464">
                  <c:v>52</c:v>
                </c:pt>
                <c:pt idx="465">
                  <c:v>88</c:v>
                </c:pt>
                <c:pt idx="466">
                  <c:v>24</c:v>
                </c:pt>
                <c:pt idx="467">
                  <c:v>51</c:v>
                </c:pt>
                <c:pt idx="468">
                  <c:v>38</c:v>
                </c:pt>
                <c:pt idx="469">
                  <c:v>46</c:v>
                </c:pt>
                <c:pt idx="470">
                  <c:v>63</c:v>
                </c:pt>
                <c:pt idx="471">
                  <c:v>72</c:v>
                </c:pt>
                <c:pt idx="472">
                  <c:v>39</c:v>
                </c:pt>
                <c:pt idx="473">
                  <c:v>42</c:v>
                </c:pt>
                <c:pt idx="474">
                  <c:v>76</c:v>
                </c:pt>
                <c:pt idx="475">
                  <c:v>66</c:v>
                </c:pt>
                <c:pt idx="476">
                  <c:v>90</c:v>
                </c:pt>
                <c:pt idx="477">
                  <c:v>56</c:v>
                </c:pt>
                <c:pt idx="478">
                  <c:v>43</c:v>
                </c:pt>
                <c:pt idx="479">
                  <c:v>84</c:v>
                </c:pt>
                <c:pt idx="480">
                  <c:v>88</c:v>
                </c:pt>
                <c:pt idx="481">
                  <c:v>88</c:v>
                </c:pt>
                <c:pt idx="482">
                  <c:v>42</c:v>
                </c:pt>
                <c:pt idx="483">
                  <c:v>73</c:v>
                </c:pt>
                <c:pt idx="484">
                  <c:v>73</c:v>
                </c:pt>
                <c:pt idx="485">
                  <c:v>44</c:v>
                </c:pt>
                <c:pt idx="486">
                  <c:v>63</c:v>
                </c:pt>
                <c:pt idx="487">
                  <c:v>68</c:v>
                </c:pt>
                <c:pt idx="488">
                  <c:v>29</c:v>
                </c:pt>
                <c:pt idx="489">
                  <c:v>85</c:v>
                </c:pt>
                <c:pt idx="490">
                  <c:v>42</c:v>
                </c:pt>
                <c:pt idx="491">
                  <c:v>69</c:v>
                </c:pt>
                <c:pt idx="492">
                  <c:v>62</c:v>
                </c:pt>
                <c:pt idx="493">
                  <c:v>48</c:v>
                </c:pt>
                <c:pt idx="494">
                  <c:v>68</c:v>
                </c:pt>
                <c:pt idx="495">
                  <c:v>36</c:v>
                </c:pt>
                <c:pt idx="496">
                  <c:v>63</c:v>
                </c:pt>
                <c:pt idx="497">
                  <c:v>39</c:v>
                </c:pt>
                <c:pt idx="498">
                  <c:v>78</c:v>
                </c:pt>
                <c:pt idx="499">
                  <c:v>99</c:v>
                </c:pt>
                <c:pt idx="500">
                  <c:v>31</c:v>
                </c:pt>
                <c:pt idx="501">
                  <c:v>45</c:v>
                </c:pt>
                <c:pt idx="502">
                  <c:v>30</c:v>
                </c:pt>
                <c:pt idx="503">
                  <c:v>24</c:v>
                </c:pt>
                <c:pt idx="504">
                  <c:v>22</c:v>
                </c:pt>
                <c:pt idx="505">
                  <c:v>63</c:v>
                </c:pt>
                <c:pt idx="506">
                  <c:v>40</c:v>
                </c:pt>
                <c:pt idx="507">
                  <c:v>20</c:v>
                </c:pt>
                <c:pt idx="508">
                  <c:v>20</c:v>
                </c:pt>
                <c:pt idx="509">
                  <c:v>80</c:v>
                </c:pt>
                <c:pt idx="510">
                  <c:v>87</c:v>
                </c:pt>
                <c:pt idx="511">
                  <c:v>46</c:v>
                </c:pt>
                <c:pt idx="512">
                  <c:v>49</c:v>
                </c:pt>
                <c:pt idx="513">
                  <c:v>65</c:v>
                </c:pt>
                <c:pt idx="514">
                  <c:v>62</c:v>
                </c:pt>
                <c:pt idx="515">
                  <c:v>67</c:v>
                </c:pt>
                <c:pt idx="516">
                  <c:v>41</c:v>
                </c:pt>
                <c:pt idx="517">
                  <c:v>49</c:v>
                </c:pt>
                <c:pt idx="518">
                  <c:v>100</c:v>
                </c:pt>
                <c:pt idx="519">
                  <c:v>54</c:v>
                </c:pt>
                <c:pt idx="520">
                  <c:v>84</c:v>
                </c:pt>
                <c:pt idx="521">
                  <c:v>41</c:v>
                </c:pt>
                <c:pt idx="522">
                  <c:v>88</c:v>
                </c:pt>
                <c:pt idx="523">
                  <c:v>40</c:v>
                </c:pt>
                <c:pt idx="524">
                  <c:v>39</c:v>
                </c:pt>
                <c:pt idx="525">
                  <c:v>37</c:v>
                </c:pt>
                <c:pt idx="526">
                  <c:v>52</c:v>
                </c:pt>
                <c:pt idx="527">
                  <c:v>23</c:v>
                </c:pt>
                <c:pt idx="528">
                  <c:v>88</c:v>
                </c:pt>
                <c:pt idx="529">
                  <c:v>84</c:v>
                </c:pt>
                <c:pt idx="530">
                  <c:v>37</c:v>
                </c:pt>
                <c:pt idx="531">
                  <c:v>51</c:v>
                </c:pt>
                <c:pt idx="532">
                  <c:v>76</c:v>
                </c:pt>
                <c:pt idx="533">
                  <c:v>60</c:v>
                </c:pt>
                <c:pt idx="534">
                  <c:v>72</c:v>
                </c:pt>
                <c:pt idx="535">
                  <c:v>45</c:v>
                </c:pt>
                <c:pt idx="536">
                  <c:v>84</c:v>
                </c:pt>
                <c:pt idx="537">
                  <c:v>49</c:v>
                </c:pt>
                <c:pt idx="538">
                  <c:v>22</c:v>
                </c:pt>
                <c:pt idx="539">
                  <c:v>48</c:v>
                </c:pt>
                <c:pt idx="540">
                  <c:v>37</c:v>
                </c:pt>
                <c:pt idx="541">
                  <c:v>27</c:v>
                </c:pt>
                <c:pt idx="542">
                  <c:v>79</c:v>
                </c:pt>
                <c:pt idx="543">
                  <c:v>98</c:v>
                </c:pt>
                <c:pt idx="544">
                  <c:v>64</c:v>
                </c:pt>
                <c:pt idx="545">
                  <c:v>32</c:v>
                </c:pt>
                <c:pt idx="546">
                  <c:v>74</c:v>
                </c:pt>
                <c:pt idx="547">
                  <c:v>50</c:v>
                </c:pt>
                <c:pt idx="548">
                  <c:v>64</c:v>
                </c:pt>
                <c:pt idx="549">
                  <c:v>29</c:v>
                </c:pt>
                <c:pt idx="550">
                  <c:v>62</c:v>
                </c:pt>
                <c:pt idx="551">
                  <c:v>78</c:v>
                </c:pt>
                <c:pt idx="552">
                  <c:v>94</c:v>
                </c:pt>
                <c:pt idx="553">
                  <c:v>59</c:v>
                </c:pt>
                <c:pt idx="554">
                  <c:v>47</c:v>
                </c:pt>
                <c:pt idx="555">
                  <c:v>57</c:v>
                </c:pt>
                <c:pt idx="556">
                  <c:v>90</c:v>
                </c:pt>
                <c:pt idx="557">
                  <c:v>60</c:v>
                </c:pt>
                <c:pt idx="558">
                  <c:v>77</c:v>
                </c:pt>
                <c:pt idx="559">
                  <c:v>41</c:v>
                </c:pt>
                <c:pt idx="560">
                  <c:v>48</c:v>
                </c:pt>
                <c:pt idx="561">
                  <c:v>65</c:v>
                </c:pt>
                <c:pt idx="562">
                  <c:v>62</c:v>
                </c:pt>
                <c:pt idx="563">
                  <c:v>99</c:v>
                </c:pt>
                <c:pt idx="564">
                  <c:v>58</c:v>
                </c:pt>
                <c:pt idx="565">
                  <c:v>43</c:v>
                </c:pt>
                <c:pt idx="566">
                  <c:v>93</c:v>
                </c:pt>
                <c:pt idx="567">
                  <c:v>50</c:v>
                </c:pt>
                <c:pt idx="568">
                  <c:v>88</c:v>
                </c:pt>
                <c:pt idx="569">
                  <c:v>33</c:v>
                </c:pt>
                <c:pt idx="570">
                  <c:v>99</c:v>
                </c:pt>
                <c:pt idx="571">
                  <c:v>76</c:v>
                </c:pt>
                <c:pt idx="572">
                  <c:v>97</c:v>
                </c:pt>
                <c:pt idx="573">
                  <c:v>68</c:v>
                </c:pt>
                <c:pt idx="574">
                  <c:v>79</c:v>
                </c:pt>
                <c:pt idx="575">
                  <c:v>86</c:v>
                </c:pt>
                <c:pt idx="576">
                  <c:v>68</c:v>
                </c:pt>
                <c:pt idx="577">
                  <c:v>52</c:v>
                </c:pt>
                <c:pt idx="578">
                  <c:v>90</c:v>
                </c:pt>
                <c:pt idx="579">
                  <c:v>41</c:v>
                </c:pt>
                <c:pt idx="580">
                  <c:v>80</c:v>
                </c:pt>
                <c:pt idx="581">
                  <c:v>100</c:v>
                </c:pt>
                <c:pt idx="582">
                  <c:v>77</c:v>
                </c:pt>
                <c:pt idx="583">
                  <c:v>78</c:v>
                </c:pt>
                <c:pt idx="584">
                  <c:v>94</c:v>
                </c:pt>
                <c:pt idx="585">
                  <c:v>23</c:v>
                </c:pt>
                <c:pt idx="586">
                  <c:v>20</c:v>
                </c:pt>
                <c:pt idx="587">
                  <c:v>86</c:v>
                </c:pt>
                <c:pt idx="588">
                  <c:v>60</c:v>
                </c:pt>
                <c:pt idx="589">
                  <c:v>70</c:v>
                </c:pt>
                <c:pt idx="590">
                  <c:v>39</c:v>
                </c:pt>
                <c:pt idx="591">
                  <c:v>37</c:v>
                </c:pt>
                <c:pt idx="592">
                  <c:v>29</c:v>
                </c:pt>
                <c:pt idx="593">
                  <c:v>35</c:v>
                </c:pt>
                <c:pt idx="594">
                  <c:v>83</c:v>
                </c:pt>
                <c:pt idx="595">
                  <c:v>77</c:v>
                </c:pt>
                <c:pt idx="596">
                  <c:v>37</c:v>
                </c:pt>
                <c:pt idx="597">
                  <c:v>69</c:v>
                </c:pt>
                <c:pt idx="598">
                  <c:v>66</c:v>
                </c:pt>
                <c:pt idx="599">
                  <c:v>26</c:v>
                </c:pt>
                <c:pt idx="600">
                  <c:v>63</c:v>
                </c:pt>
                <c:pt idx="601">
                  <c:v>38</c:v>
                </c:pt>
                <c:pt idx="602">
                  <c:v>58</c:v>
                </c:pt>
                <c:pt idx="603">
                  <c:v>46</c:v>
                </c:pt>
                <c:pt idx="604">
                  <c:v>92</c:v>
                </c:pt>
                <c:pt idx="605">
                  <c:v>32</c:v>
                </c:pt>
                <c:pt idx="606">
                  <c:v>90</c:v>
                </c:pt>
                <c:pt idx="607">
                  <c:v>23</c:v>
                </c:pt>
                <c:pt idx="608">
                  <c:v>25</c:v>
                </c:pt>
                <c:pt idx="609">
                  <c:v>54</c:v>
                </c:pt>
                <c:pt idx="610">
                  <c:v>72</c:v>
                </c:pt>
                <c:pt idx="611">
                  <c:v>33</c:v>
                </c:pt>
                <c:pt idx="612">
                  <c:v>43</c:v>
                </c:pt>
                <c:pt idx="613">
                  <c:v>51</c:v>
                </c:pt>
                <c:pt idx="614">
                  <c:v>85</c:v>
                </c:pt>
                <c:pt idx="615">
                  <c:v>100</c:v>
                </c:pt>
                <c:pt idx="616">
                  <c:v>72</c:v>
                </c:pt>
                <c:pt idx="617">
                  <c:v>57</c:v>
                </c:pt>
                <c:pt idx="618">
                  <c:v>94</c:v>
                </c:pt>
                <c:pt idx="619">
                  <c:v>34</c:v>
                </c:pt>
                <c:pt idx="620">
                  <c:v>89</c:v>
                </c:pt>
                <c:pt idx="621">
                  <c:v>27</c:v>
                </c:pt>
                <c:pt idx="622">
                  <c:v>63</c:v>
                </c:pt>
                <c:pt idx="623">
                  <c:v>70</c:v>
                </c:pt>
                <c:pt idx="624">
                  <c:v>87</c:v>
                </c:pt>
                <c:pt idx="625">
                  <c:v>79</c:v>
                </c:pt>
                <c:pt idx="626">
                  <c:v>79</c:v>
                </c:pt>
                <c:pt idx="627">
                  <c:v>44</c:v>
                </c:pt>
                <c:pt idx="628">
                  <c:v>85</c:v>
                </c:pt>
                <c:pt idx="629">
                  <c:v>90</c:v>
                </c:pt>
                <c:pt idx="630">
                  <c:v>94</c:v>
                </c:pt>
                <c:pt idx="631">
                  <c:v>68</c:v>
                </c:pt>
                <c:pt idx="632">
                  <c:v>51</c:v>
                </c:pt>
                <c:pt idx="633">
                  <c:v>33</c:v>
                </c:pt>
                <c:pt idx="634">
                  <c:v>60</c:v>
                </c:pt>
                <c:pt idx="635">
                  <c:v>59</c:v>
                </c:pt>
                <c:pt idx="636">
                  <c:v>30</c:v>
                </c:pt>
                <c:pt idx="637">
                  <c:v>20</c:v>
                </c:pt>
                <c:pt idx="638">
                  <c:v>20</c:v>
                </c:pt>
                <c:pt idx="639">
                  <c:v>24</c:v>
                </c:pt>
                <c:pt idx="640">
                  <c:v>88</c:v>
                </c:pt>
                <c:pt idx="641">
                  <c:v>78</c:v>
                </c:pt>
                <c:pt idx="642">
                  <c:v>25</c:v>
                </c:pt>
                <c:pt idx="643">
                  <c:v>57</c:v>
                </c:pt>
                <c:pt idx="644">
                  <c:v>93</c:v>
                </c:pt>
                <c:pt idx="645">
                  <c:v>42</c:v>
                </c:pt>
                <c:pt idx="646">
                  <c:v>54</c:v>
                </c:pt>
                <c:pt idx="647">
                  <c:v>70</c:v>
                </c:pt>
                <c:pt idx="648">
                  <c:v>31</c:v>
                </c:pt>
                <c:pt idx="649">
                  <c:v>93</c:v>
                </c:pt>
                <c:pt idx="650">
                  <c:v>40</c:v>
                </c:pt>
                <c:pt idx="651">
                  <c:v>32</c:v>
                </c:pt>
                <c:pt idx="652">
                  <c:v>27</c:v>
                </c:pt>
                <c:pt idx="653">
                  <c:v>68</c:v>
                </c:pt>
                <c:pt idx="654">
                  <c:v>59</c:v>
                </c:pt>
                <c:pt idx="655">
                  <c:v>36</c:v>
                </c:pt>
                <c:pt idx="656">
                  <c:v>23</c:v>
                </c:pt>
                <c:pt idx="657">
                  <c:v>80</c:v>
                </c:pt>
                <c:pt idx="658">
                  <c:v>37</c:v>
                </c:pt>
                <c:pt idx="659">
                  <c:v>52</c:v>
                </c:pt>
                <c:pt idx="660">
                  <c:v>79</c:v>
                </c:pt>
                <c:pt idx="661">
                  <c:v>68</c:v>
                </c:pt>
                <c:pt idx="662">
                  <c:v>98</c:v>
                </c:pt>
                <c:pt idx="663">
                  <c:v>83</c:v>
                </c:pt>
                <c:pt idx="664">
                  <c:v>83</c:v>
                </c:pt>
                <c:pt idx="665">
                  <c:v>55</c:v>
                </c:pt>
                <c:pt idx="666">
                  <c:v>26</c:v>
                </c:pt>
                <c:pt idx="667">
                  <c:v>76</c:v>
                </c:pt>
                <c:pt idx="668">
                  <c:v>85</c:v>
                </c:pt>
                <c:pt idx="669">
                  <c:v>89</c:v>
                </c:pt>
                <c:pt idx="670">
                  <c:v>41</c:v>
                </c:pt>
                <c:pt idx="671">
                  <c:v>30</c:v>
                </c:pt>
                <c:pt idx="672">
                  <c:v>53</c:v>
                </c:pt>
                <c:pt idx="673">
                  <c:v>66</c:v>
                </c:pt>
                <c:pt idx="674">
                  <c:v>33</c:v>
                </c:pt>
                <c:pt idx="675">
                  <c:v>86</c:v>
                </c:pt>
                <c:pt idx="676">
                  <c:v>60</c:v>
                </c:pt>
                <c:pt idx="677">
                  <c:v>62</c:v>
                </c:pt>
                <c:pt idx="678">
                  <c:v>74</c:v>
                </c:pt>
                <c:pt idx="679">
                  <c:v>95</c:v>
                </c:pt>
                <c:pt idx="680">
                  <c:v>25</c:v>
                </c:pt>
                <c:pt idx="681">
                  <c:v>59</c:v>
                </c:pt>
                <c:pt idx="682">
                  <c:v>29</c:v>
                </c:pt>
                <c:pt idx="683">
                  <c:v>36</c:v>
                </c:pt>
                <c:pt idx="684">
                  <c:v>82</c:v>
                </c:pt>
                <c:pt idx="685">
                  <c:v>71</c:v>
                </c:pt>
                <c:pt idx="686">
                  <c:v>35</c:v>
                </c:pt>
                <c:pt idx="687">
                  <c:v>38</c:v>
                </c:pt>
                <c:pt idx="688">
                  <c:v>59</c:v>
                </c:pt>
                <c:pt idx="689">
                  <c:v>91</c:v>
                </c:pt>
                <c:pt idx="690">
                  <c:v>68</c:v>
                </c:pt>
                <c:pt idx="691">
                  <c:v>21</c:v>
                </c:pt>
                <c:pt idx="692">
                  <c:v>95</c:v>
                </c:pt>
                <c:pt idx="693">
                  <c:v>52</c:v>
                </c:pt>
                <c:pt idx="694">
                  <c:v>21</c:v>
                </c:pt>
                <c:pt idx="695">
                  <c:v>67</c:v>
                </c:pt>
                <c:pt idx="696">
                  <c:v>42</c:v>
                </c:pt>
                <c:pt idx="697">
                  <c:v>63</c:v>
                </c:pt>
                <c:pt idx="698">
                  <c:v>41</c:v>
                </c:pt>
                <c:pt idx="699">
                  <c:v>46</c:v>
                </c:pt>
                <c:pt idx="700">
                  <c:v>79</c:v>
                </c:pt>
                <c:pt idx="701">
                  <c:v>90</c:v>
                </c:pt>
                <c:pt idx="702">
                  <c:v>71</c:v>
                </c:pt>
                <c:pt idx="703">
                  <c:v>87</c:v>
                </c:pt>
                <c:pt idx="704">
                  <c:v>66</c:v>
                </c:pt>
                <c:pt idx="705">
                  <c:v>90</c:v>
                </c:pt>
                <c:pt idx="706">
                  <c:v>47</c:v>
                </c:pt>
                <c:pt idx="707">
                  <c:v>38</c:v>
                </c:pt>
                <c:pt idx="708">
                  <c:v>50</c:v>
                </c:pt>
                <c:pt idx="709">
                  <c:v>79</c:v>
                </c:pt>
                <c:pt idx="710">
                  <c:v>91</c:v>
                </c:pt>
                <c:pt idx="711">
                  <c:v>60</c:v>
                </c:pt>
                <c:pt idx="712">
                  <c:v>81</c:v>
                </c:pt>
                <c:pt idx="713">
                  <c:v>90</c:v>
                </c:pt>
                <c:pt idx="714">
                  <c:v>70</c:v>
                </c:pt>
                <c:pt idx="715">
                  <c:v>63</c:v>
                </c:pt>
                <c:pt idx="716">
                  <c:v>29</c:v>
                </c:pt>
                <c:pt idx="717">
                  <c:v>90</c:v>
                </c:pt>
                <c:pt idx="718">
                  <c:v>22</c:v>
                </c:pt>
                <c:pt idx="719">
                  <c:v>22</c:v>
                </c:pt>
                <c:pt idx="720">
                  <c:v>62</c:v>
                </c:pt>
                <c:pt idx="721">
                  <c:v>57</c:v>
                </c:pt>
                <c:pt idx="722">
                  <c:v>32</c:v>
                </c:pt>
                <c:pt idx="723">
                  <c:v>53</c:v>
                </c:pt>
                <c:pt idx="724">
                  <c:v>79</c:v>
                </c:pt>
                <c:pt idx="725">
                  <c:v>61</c:v>
                </c:pt>
                <c:pt idx="726">
                  <c:v>78</c:v>
                </c:pt>
                <c:pt idx="727">
                  <c:v>97</c:v>
                </c:pt>
                <c:pt idx="728">
                  <c:v>78</c:v>
                </c:pt>
                <c:pt idx="729">
                  <c:v>56</c:v>
                </c:pt>
                <c:pt idx="730">
                  <c:v>25</c:v>
                </c:pt>
                <c:pt idx="731">
                  <c:v>28</c:v>
                </c:pt>
                <c:pt idx="732">
                  <c:v>57</c:v>
                </c:pt>
                <c:pt idx="733">
                  <c:v>36</c:v>
                </c:pt>
                <c:pt idx="734">
                  <c:v>69</c:v>
                </c:pt>
                <c:pt idx="735">
                  <c:v>48</c:v>
                </c:pt>
                <c:pt idx="736">
                  <c:v>58</c:v>
                </c:pt>
                <c:pt idx="737">
                  <c:v>24</c:v>
                </c:pt>
                <c:pt idx="738">
                  <c:v>31</c:v>
                </c:pt>
                <c:pt idx="739">
                  <c:v>29</c:v>
                </c:pt>
                <c:pt idx="740">
                  <c:v>69</c:v>
                </c:pt>
                <c:pt idx="741">
                  <c:v>79</c:v>
                </c:pt>
                <c:pt idx="742">
                  <c:v>39</c:v>
                </c:pt>
                <c:pt idx="743">
                  <c:v>84</c:v>
                </c:pt>
                <c:pt idx="744">
                  <c:v>66</c:v>
                </c:pt>
                <c:pt idx="745">
                  <c:v>92</c:v>
                </c:pt>
                <c:pt idx="746">
                  <c:v>45</c:v>
                </c:pt>
                <c:pt idx="747">
                  <c:v>74</c:v>
                </c:pt>
                <c:pt idx="748">
                  <c:v>39</c:v>
                </c:pt>
                <c:pt idx="749">
                  <c:v>71</c:v>
                </c:pt>
                <c:pt idx="750">
                  <c:v>95</c:v>
                </c:pt>
                <c:pt idx="751">
                  <c:v>72</c:v>
                </c:pt>
                <c:pt idx="752">
                  <c:v>85</c:v>
                </c:pt>
                <c:pt idx="753">
                  <c:v>54</c:v>
                </c:pt>
                <c:pt idx="754">
                  <c:v>41</c:v>
                </c:pt>
                <c:pt idx="755">
                  <c:v>24</c:v>
                </c:pt>
                <c:pt idx="756">
                  <c:v>99</c:v>
                </c:pt>
                <c:pt idx="757">
                  <c:v>32</c:v>
                </c:pt>
                <c:pt idx="758">
                  <c:v>71</c:v>
                </c:pt>
                <c:pt idx="759">
                  <c:v>49</c:v>
                </c:pt>
                <c:pt idx="760">
                  <c:v>50</c:v>
                </c:pt>
                <c:pt idx="761">
                  <c:v>91</c:v>
                </c:pt>
                <c:pt idx="762">
                  <c:v>46</c:v>
                </c:pt>
                <c:pt idx="763">
                  <c:v>50</c:v>
                </c:pt>
                <c:pt idx="764">
                  <c:v>39</c:v>
                </c:pt>
                <c:pt idx="765">
                  <c:v>99</c:v>
                </c:pt>
                <c:pt idx="766">
                  <c:v>48</c:v>
                </c:pt>
                <c:pt idx="767">
                  <c:v>77</c:v>
                </c:pt>
                <c:pt idx="768">
                  <c:v>95</c:v>
                </c:pt>
                <c:pt idx="769">
                  <c:v>100</c:v>
                </c:pt>
                <c:pt idx="770">
                  <c:v>54</c:v>
                </c:pt>
                <c:pt idx="771">
                  <c:v>68</c:v>
                </c:pt>
                <c:pt idx="772">
                  <c:v>22</c:v>
                </c:pt>
                <c:pt idx="773">
                  <c:v>84</c:v>
                </c:pt>
                <c:pt idx="774">
                  <c:v>46</c:v>
                </c:pt>
                <c:pt idx="775">
                  <c:v>53</c:v>
                </c:pt>
                <c:pt idx="776">
                  <c:v>60</c:v>
                </c:pt>
                <c:pt idx="777">
                  <c:v>32</c:v>
                </c:pt>
                <c:pt idx="778">
                  <c:v>50</c:v>
                </c:pt>
                <c:pt idx="779">
                  <c:v>94</c:v>
                </c:pt>
                <c:pt idx="780">
                  <c:v>26</c:v>
                </c:pt>
                <c:pt idx="781">
                  <c:v>44</c:v>
                </c:pt>
                <c:pt idx="782">
                  <c:v>57</c:v>
                </c:pt>
                <c:pt idx="783">
                  <c:v>65</c:v>
                </c:pt>
                <c:pt idx="784">
                  <c:v>72</c:v>
                </c:pt>
                <c:pt idx="785">
                  <c:v>62</c:v>
                </c:pt>
                <c:pt idx="786">
                  <c:v>21</c:v>
                </c:pt>
                <c:pt idx="787">
                  <c:v>85</c:v>
                </c:pt>
                <c:pt idx="788">
                  <c:v>51</c:v>
                </c:pt>
                <c:pt idx="789">
                  <c:v>84</c:v>
                </c:pt>
                <c:pt idx="790">
                  <c:v>37</c:v>
                </c:pt>
                <c:pt idx="791">
                  <c:v>44</c:v>
                </c:pt>
                <c:pt idx="792">
                  <c:v>45</c:v>
                </c:pt>
                <c:pt idx="793">
                  <c:v>35</c:v>
                </c:pt>
                <c:pt idx="794">
                  <c:v>50</c:v>
                </c:pt>
                <c:pt idx="795">
                  <c:v>26</c:v>
                </c:pt>
                <c:pt idx="796">
                  <c:v>78</c:v>
                </c:pt>
                <c:pt idx="797">
                  <c:v>82</c:v>
                </c:pt>
                <c:pt idx="798">
                  <c:v>39</c:v>
                </c:pt>
                <c:pt idx="799">
                  <c:v>55</c:v>
                </c:pt>
                <c:pt idx="800">
                  <c:v>20</c:v>
                </c:pt>
                <c:pt idx="801">
                  <c:v>29</c:v>
                </c:pt>
                <c:pt idx="802">
                  <c:v>41</c:v>
                </c:pt>
                <c:pt idx="803">
                  <c:v>38</c:v>
                </c:pt>
                <c:pt idx="804">
                  <c:v>47</c:v>
                </c:pt>
                <c:pt idx="805">
                  <c:v>30</c:v>
                </c:pt>
                <c:pt idx="806">
                  <c:v>56</c:v>
                </c:pt>
                <c:pt idx="807">
                  <c:v>89</c:v>
                </c:pt>
                <c:pt idx="808">
                  <c:v>96</c:v>
                </c:pt>
                <c:pt idx="809">
                  <c:v>81</c:v>
                </c:pt>
                <c:pt idx="810">
                  <c:v>83</c:v>
                </c:pt>
                <c:pt idx="811">
                  <c:v>35</c:v>
                </c:pt>
                <c:pt idx="812">
                  <c:v>56</c:v>
                </c:pt>
                <c:pt idx="813">
                  <c:v>45</c:v>
                </c:pt>
                <c:pt idx="814">
                  <c:v>62</c:v>
                </c:pt>
                <c:pt idx="815">
                  <c:v>84</c:v>
                </c:pt>
                <c:pt idx="816">
                  <c:v>24</c:v>
                </c:pt>
                <c:pt idx="817">
                  <c:v>21</c:v>
                </c:pt>
                <c:pt idx="818">
                  <c:v>91</c:v>
                </c:pt>
                <c:pt idx="819">
                  <c:v>36</c:v>
                </c:pt>
                <c:pt idx="820">
                  <c:v>39</c:v>
                </c:pt>
                <c:pt idx="821">
                  <c:v>39</c:v>
                </c:pt>
                <c:pt idx="822">
                  <c:v>59</c:v>
                </c:pt>
                <c:pt idx="823">
                  <c:v>27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51</c:v>
                </c:pt>
                <c:pt idx="828">
                  <c:v>62</c:v>
                </c:pt>
                <c:pt idx="829">
                  <c:v>57</c:v>
                </c:pt>
                <c:pt idx="830">
                  <c:v>76</c:v>
                </c:pt>
                <c:pt idx="831">
                  <c:v>63</c:v>
                </c:pt>
                <c:pt idx="832">
                  <c:v>80</c:v>
                </c:pt>
                <c:pt idx="833">
                  <c:v>68</c:v>
                </c:pt>
                <c:pt idx="834">
                  <c:v>89</c:v>
                </c:pt>
                <c:pt idx="835">
                  <c:v>26</c:v>
                </c:pt>
                <c:pt idx="836">
                  <c:v>90</c:v>
                </c:pt>
                <c:pt idx="837">
                  <c:v>28</c:v>
                </c:pt>
                <c:pt idx="838">
                  <c:v>29</c:v>
                </c:pt>
                <c:pt idx="839">
                  <c:v>31</c:v>
                </c:pt>
                <c:pt idx="840">
                  <c:v>24</c:v>
                </c:pt>
                <c:pt idx="841">
                  <c:v>88</c:v>
                </c:pt>
                <c:pt idx="842">
                  <c:v>87</c:v>
                </c:pt>
                <c:pt idx="843">
                  <c:v>80</c:v>
                </c:pt>
                <c:pt idx="844">
                  <c:v>48</c:v>
                </c:pt>
                <c:pt idx="845">
                  <c:v>21</c:v>
                </c:pt>
                <c:pt idx="846">
                  <c:v>72</c:v>
                </c:pt>
                <c:pt idx="847">
                  <c:v>44</c:v>
                </c:pt>
                <c:pt idx="848">
                  <c:v>73</c:v>
                </c:pt>
                <c:pt idx="849">
                  <c:v>61</c:v>
                </c:pt>
                <c:pt idx="850">
                  <c:v>20</c:v>
                </c:pt>
                <c:pt idx="851">
                  <c:v>86</c:v>
                </c:pt>
                <c:pt idx="852">
                  <c:v>60</c:v>
                </c:pt>
                <c:pt idx="853">
                  <c:v>43</c:v>
                </c:pt>
                <c:pt idx="854">
                  <c:v>44</c:v>
                </c:pt>
                <c:pt idx="855">
                  <c:v>76</c:v>
                </c:pt>
                <c:pt idx="856">
                  <c:v>33</c:v>
                </c:pt>
                <c:pt idx="857">
                  <c:v>60</c:v>
                </c:pt>
                <c:pt idx="858">
                  <c:v>26</c:v>
                </c:pt>
                <c:pt idx="859">
                  <c:v>73</c:v>
                </c:pt>
                <c:pt idx="860">
                  <c:v>87</c:v>
                </c:pt>
                <c:pt idx="861">
                  <c:v>100</c:v>
                </c:pt>
                <c:pt idx="862">
                  <c:v>84</c:v>
                </c:pt>
                <c:pt idx="863">
                  <c:v>41</c:v>
                </c:pt>
                <c:pt idx="864">
                  <c:v>59</c:v>
                </c:pt>
                <c:pt idx="865">
                  <c:v>26</c:v>
                </c:pt>
                <c:pt idx="866">
                  <c:v>69</c:v>
                </c:pt>
                <c:pt idx="867">
                  <c:v>20</c:v>
                </c:pt>
                <c:pt idx="868">
                  <c:v>83</c:v>
                </c:pt>
                <c:pt idx="869">
                  <c:v>54</c:v>
                </c:pt>
                <c:pt idx="870">
                  <c:v>66</c:v>
                </c:pt>
                <c:pt idx="871">
                  <c:v>42</c:v>
                </c:pt>
                <c:pt idx="872">
                  <c:v>33</c:v>
                </c:pt>
                <c:pt idx="873">
                  <c:v>77</c:v>
                </c:pt>
                <c:pt idx="874">
                  <c:v>65</c:v>
                </c:pt>
                <c:pt idx="875">
                  <c:v>39</c:v>
                </c:pt>
                <c:pt idx="876">
                  <c:v>51</c:v>
                </c:pt>
                <c:pt idx="877">
                  <c:v>65</c:v>
                </c:pt>
                <c:pt idx="878">
                  <c:v>89</c:v>
                </c:pt>
                <c:pt idx="879">
                  <c:v>76</c:v>
                </c:pt>
                <c:pt idx="880">
                  <c:v>75</c:v>
                </c:pt>
                <c:pt idx="881">
                  <c:v>61</c:v>
                </c:pt>
                <c:pt idx="882">
                  <c:v>35</c:v>
                </c:pt>
                <c:pt idx="883">
                  <c:v>37</c:v>
                </c:pt>
                <c:pt idx="884">
                  <c:v>91</c:v>
                </c:pt>
                <c:pt idx="885">
                  <c:v>99</c:v>
                </c:pt>
                <c:pt idx="886">
                  <c:v>54</c:v>
                </c:pt>
                <c:pt idx="887">
                  <c:v>47</c:v>
                </c:pt>
                <c:pt idx="888">
                  <c:v>77</c:v>
                </c:pt>
                <c:pt idx="889">
                  <c:v>84</c:v>
                </c:pt>
                <c:pt idx="890">
                  <c:v>51</c:v>
                </c:pt>
                <c:pt idx="891">
                  <c:v>26</c:v>
                </c:pt>
                <c:pt idx="892">
                  <c:v>64</c:v>
                </c:pt>
                <c:pt idx="893">
                  <c:v>51</c:v>
                </c:pt>
                <c:pt idx="894">
                  <c:v>60</c:v>
                </c:pt>
                <c:pt idx="895">
                  <c:v>69</c:v>
                </c:pt>
                <c:pt idx="896">
                  <c:v>29</c:v>
                </c:pt>
                <c:pt idx="897">
                  <c:v>91</c:v>
                </c:pt>
                <c:pt idx="898">
                  <c:v>70</c:v>
                </c:pt>
                <c:pt idx="899">
                  <c:v>58</c:v>
                </c:pt>
                <c:pt idx="900">
                  <c:v>98</c:v>
                </c:pt>
                <c:pt idx="901">
                  <c:v>68</c:v>
                </c:pt>
                <c:pt idx="902">
                  <c:v>44</c:v>
                </c:pt>
                <c:pt idx="903">
                  <c:v>45</c:v>
                </c:pt>
                <c:pt idx="904">
                  <c:v>99</c:v>
                </c:pt>
                <c:pt idx="905">
                  <c:v>68</c:v>
                </c:pt>
                <c:pt idx="906">
                  <c:v>56</c:v>
                </c:pt>
                <c:pt idx="907">
                  <c:v>43</c:v>
                </c:pt>
                <c:pt idx="908">
                  <c:v>99</c:v>
                </c:pt>
                <c:pt idx="909">
                  <c:v>56</c:v>
                </c:pt>
                <c:pt idx="910">
                  <c:v>25</c:v>
                </c:pt>
                <c:pt idx="911">
                  <c:v>74</c:v>
                </c:pt>
                <c:pt idx="912">
                  <c:v>56</c:v>
                </c:pt>
                <c:pt idx="913">
                  <c:v>47</c:v>
                </c:pt>
                <c:pt idx="914">
                  <c:v>67</c:v>
                </c:pt>
                <c:pt idx="915">
                  <c:v>22</c:v>
                </c:pt>
                <c:pt idx="916">
                  <c:v>34</c:v>
                </c:pt>
                <c:pt idx="917">
                  <c:v>64</c:v>
                </c:pt>
                <c:pt idx="918">
                  <c:v>42</c:v>
                </c:pt>
                <c:pt idx="919">
                  <c:v>82</c:v>
                </c:pt>
                <c:pt idx="920">
                  <c:v>81</c:v>
                </c:pt>
                <c:pt idx="921">
                  <c:v>24</c:v>
                </c:pt>
                <c:pt idx="922">
                  <c:v>60</c:v>
                </c:pt>
                <c:pt idx="923">
                  <c:v>24</c:v>
                </c:pt>
                <c:pt idx="924">
                  <c:v>78</c:v>
                </c:pt>
                <c:pt idx="925">
                  <c:v>88</c:v>
                </c:pt>
                <c:pt idx="926">
                  <c:v>63</c:v>
                </c:pt>
                <c:pt idx="927">
                  <c:v>78</c:v>
                </c:pt>
                <c:pt idx="928">
                  <c:v>37</c:v>
                </c:pt>
                <c:pt idx="929">
                  <c:v>94</c:v>
                </c:pt>
                <c:pt idx="930">
                  <c:v>78</c:v>
                </c:pt>
                <c:pt idx="931">
                  <c:v>36</c:v>
                </c:pt>
                <c:pt idx="932">
                  <c:v>24</c:v>
                </c:pt>
                <c:pt idx="933">
                  <c:v>84</c:v>
                </c:pt>
                <c:pt idx="934">
                  <c:v>47</c:v>
                </c:pt>
                <c:pt idx="935">
                  <c:v>51</c:v>
                </c:pt>
                <c:pt idx="936">
                  <c:v>84</c:v>
                </c:pt>
                <c:pt idx="937">
                  <c:v>24</c:v>
                </c:pt>
                <c:pt idx="938">
                  <c:v>97</c:v>
                </c:pt>
                <c:pt idx="939">
                  <c:v>89</c:v>
                </c:pt>
                <c:pt idx="940">
                  <c:v>44</c:v>
                </c:pt>
                <c:pt idx="941">
                  <c:v>35</c:v>
                </c:pt>
                <c:pt idx="942">
                  <c:v>91</c:v>
                </c:pt>
                <c:pt idx="943">
                  <c:v>63</c:v>
                </c:pt>
                <c:pt idx="944">
                  <c:v>97</c:v>
                </c:pt>
                <c:pt idx="945">
                  <c:v>38</c:v>
                </c:pt>
                <c:pt idx="946">
                  <c:v>24</c:v>
                </c:pt>
                <c:pt idx="947">
                  <c:v>32</c:v>
                </c:pt>
                <c:pt idx="948">
                  <c:v>90</c:v>
                </c:pt>
                <c:pt idx="949">
                  <c:v>36</c:v>
                </c:pt>
                <c:pt idx="950">
                  <c:v>37</c:v>
                </c:pt>
                <c:pt idx="951">
                  <c:v>51</c:v>
                </c:pt>
                <c:pt idx="952">
                  <c:v>71</c:v>
                </c:pt>
                <c:pt idx="953">
                  <c:v>50</c:v>
                </c:pt>
                <c:pt idx="954">
                  <c:v>74</c:v>
                </c:pt>
                <c:pt idx="955">
                  <c:v>75</c:v>
                </c:pt>
                <c:pt idx="956">
                  <c:v>99</c:v>
                </c:pt>
                <c:pt idx="957">
                  <c:v>23</c:v>
                </c:pt>
                <c:pt idx="958">
                  <c:v>53</c:v>
                </c:pt>
                <c:pt idx="959">
                  <c:v>99</c:v>
                </c:pt>
                <c:pt idx="960">
                  <c:v>48</c:v>
                </c:pt>
                <c:pt idx="961">
                  <c:v>72</c:v>
                </c:pt>
                <c:pt idx="962">
                  <c:v>64</c:v>
                </c:pt>
                <c:pt idx="963">
                  <c:v>63</c:v>
                </c:pt>
                <c:pt idx="964">
                  <c:v>51</c:v>
                </c:pt>
                <c:pt idx="965">
                  <c:v>55</c:v>
                </c:pt>
                <c:pt idx="966">
                  <c:v>55</c:v>
                </c:pt>
                <c:pt idx="967">
                  <c:v>26</c:v>
                </c:pt>
                <c:pt idx="968">
                  <c:v>67</c:v>
                </c:pt>
                <c:pt idx="969">
                  <c:v>31</c:v>
                </c:pt>
                <c:pt idx="970">
                  <c:v>66</c:v>
                </c:pt>
                <c:pt idx="971">
                  <c:v>67</c:v>
                </c:pt>
                <c:pt idx="972">
                  <c:v>61</c:v>
                </c:pt>
                <c:pt idx="973">
                  <c:v>75</c:v>
                </c:pt>
                <c:pt idx="974">
                  <c:v>90</c:v>
                </c:pt>
                <c:pt idx="975">
                  <c:v>40</c:v>
                </c:pt>
                <c:pt idx="976">
                  <c:v>90</c:v>
                </c:pt>
                <c:pt idx="977">
                  <c:v>20</c:v>
                </c:pt>
                <c:pt idx="978">
                  <c:v>40</c:v>
                </c:pt>
                <c:pt idx="979">
                  <c:v>33</c:v>
                </c:pt>
                <c:pt idx="980">
                  <c:v>98</c:v>
                </c:pt>
                <c:pt idx="981">
                  <c:v>42</c:v>
                </c:pt>
                <c:pt idx="982">
                  <c:v>62</c:v>
                </c:pt>
                <c:pt idx="983">
                  <c:v>45</c:v>
                </c:pt>
                <c:pt idx="984">
                  <c:v>78</c:v>
                </c:pt>
                <c:pt idx="985">
                  <c:v>80</c:v>
                </c:pt>
                <c:pt idx="986">
                  <c:v>96</c:v>
                </c:pt>
                <c:pt idx="987">
                  <c:v>47</c:v>
                </c:pt>
                <c:pt idx="988">
                  <c:v>84</c:v>
                </c:pt>
                <c:pt idx="989">
                  <c:v>31</c:v>
                </c:pt>
                <c:pt idx="990">
                  <c:v>63</c:v>
                </c:pt>
                <c:pt idx="991">
                  <c:v>97</c:v>
                </c:pt>
                <c:pt idx="992">
                  <c:v>99</c:v>
                </c:pt>
                <c:pt idx="993">
                  <c:v>90</c:v>
                </c:pt>
                <c:pt idx="994">
                  <c:v>68</c:v>
                </c:pt>
                <c:pt idx="995">
                  <c:v>80</c:v>
                </c:pt>
                <c:pt idx="996">
                  <c:v>91</c:v>
                </c:pt>
                <c:pt idx="997">
                  <c:v>30</c:v>
                </c:pt>
                <c:pt idx="998">
                  <c:v>90</c:v>
                </c:pt>
                <c:pt idx="999">
                  <c:v>28</c:v>
                </c:pt>
                <c:pt idx="1000">
                  <c:v>46</c:v>
                </c:pt>
                <c:pt idx="1001">
                  <c:v>60</c:v>
                </c:pt>
                <c:pt idx="1002">
                  <c:v>59</c:v>
                </c:pt>
                <c:pt idx="1003">
                  <c:v>68</c:v>
                </c:pt>
                <c:pt idx="1004">
                  <c:v>79</c:v>
                </c:pt>
                <c:pt idx="1005">
                  <c:v>94</c:v>
                </c:pt>
                <c:pt idx="1006">
                  <c:v>83</c:v>
                </c:pt>
                <c:pt idx="1007">
                  <c:v>62</c:v>
                </c:pt>
                <c:pt idx="1008">
                  <c:v>85</c:v>
                </c:pt>
                <c:pt idx="1009">
                  <c:v>30</c:v>
                </c:pt>
                <c:pt idx="1010">
                  <c:v>24</c:v>
                </c:pt>
                <c:pt idx="1011">
                  <c:v>25</c:v>
                </c:pt>
                <c:pt idx="1012">
                  <c:v>37</c:v>
                </c:pt>
                <c:pt idx="1013">
                  <c:v>69</c:v>
                </c:pt>
                <c:pt idx="1014">
                  <c:v>97</c:v>
                </c:pt>
                <c:pt idx="1015">
                  <c:v>24</c:v>
                </c:pt>
                <c:pt idx="1016">
                  <c:v>30</c:v>
                </c:pt>
                <c:pt idx="1017">
                  <c:v>53</c:v>
                </c:pt>
                <c:pt idx="1018">
                  <c:v>70</c:v>
                </c:pt>
                <c:pt idx="1019">
                  <c:v>76</c:v>
                </c:pt>
                <c:pt idx="1020">
                  <c:v>95</c:v>
                </c:pt>
                <c:pt idx="1021">
                  <c:v>51</c:v>
                </c:pt>
                <c:pt idx="1022">
                  <c:v>41</c:v>
                </c:pt>
                <c:pt idx="1023">
                  <c:v>71</c:v>
                </c:pt>
                <c:pt idx="1024">
                  <c:v>66</c:v>
                </c:pt>
                <c:pt idx="1025">
                  <c:v>84</c:v>
                </c:pt>
                <c:pt idx="1026">
                  <c:v>95</c:v>
                </c:pt>
                <c:pt idx="1027">
                  <c:v>90</c:v>
                </c:pt>
                <c:pt idx="1028">
                  <c:v>36</c:v>
                </c:pt>
                <c:pt idx="1029">
                  <c:v>22</c:v>
                </c:pt>
                <c:pt idx="1030">
                  <c:v>89</c:v>
                </c:pt>
                <c:pt idx="1031">
                  <c:v>50</c:v>
                </c:pt>
                <c:pt idx="1032">
                  <c:v>36</c:v>
                </c:pt>
                <c:pt idx="1033">
                  <c:v>52</c:v>
                </c:pt>
                <c:pt idx="1034">
                  <c:v>29</c:v>
                </c:pt>
                <c:pt idx="1035">
                  <c:v>89</c:v>
                </c:pt>
                <c:pt idx="1036">
                  <c:v>47</c:v>
                </c:pt>
                <c:pt idx="1037">
                  <c:v>25</c:v>
                </c:pt>
                <c:pt idx="1038">
                  <c:v>74</c:v>
                </c:pt>
                <c:pt idx="1039">
                  <c:v>46</c:v>
                </c:pt>
                <c:pt idx="1040">
                  <c:v>22</c:v>
                </c:pt>
                <c:pt idx="1041">
                  <c:v>25</c:v>
                </c:pt>
                <c:pt idx="1042">
                  <c:v>80</c:v>
                </c:pt>
                <c:pt idx="1043">
                  <c:v>76</c:v>
                </c:pt>
                <c:pt idx="1044">
                  <c:v>30</c:v>
                </c:pt>
                <c:pt idx="1045">
                  <c:v>79</c:v>
                </c:pt>
                <c:pt idx="1046">
                  <c:v>22</c:v>
                </c:pt>
                <c:pt idx="1047">
                  <c:v>36</c:v>
                </c:pt>
                <c:pt idx="1048">
                  <c:v>77</c:v>
                </c:pt>
                <c:pt idx="1049">
                  <c:v>33</c:v>
                </c:pt>
                <c:pt idx="1050">
                  <c:v>64</c:v>
                </c:pt>
                <c:pt idx="1051">
                  <c:v>53</c:v>
                </c:pt>
                <c:pt idx="1052">
                  <c:v>36</c:v>
                </c:pt>
                <c:pt idx="1053">
                  <c:v>70</c:v>
                </c:pt>
                <c:pt idx="1054">
                  <c:v>96</c:v>
                </c:pt>
                <c:pt idx="1055">
                  <c:v>27</c:v>
                </c:pt>
                <c:pt idx="1056">
                  <c:v>64</c:v>
                </c:pt>
                <c:pt idx="1057">
                  <c:v>23</c:v>
                </c:pt>
                <c:pt idx="1058">
                  <c:v>33</c:v>
                </c:pt>
                <c:pt idx="1059">
                  <c:v>34</c:v>
                </c:pt>
                <c:pt idx="1060">
                  <c:v>35</c:v>
                </c:pt>
                <c:pt idx="1061">
                  <c:v>62</c:v>
                </c:pt>
                <c:pt idx="1062">
                  <c:v>75</c:v>
                </c:pt>
                <c:pt idx="1063">
                  <c:v>29</c:v>
                </c:pt>
                <c:pt idx="1064">
                  <c:v>28</c:v>
                </c:pt>
                <c:pt idx="1065">
                  <c:v>20</c:v>
                </c:pt>
                <c:pt idx="1066">
                  <c:v>96</c:v>
                </c:pt>
                <c:pt idx="1067">
                  <c:v>43</c:v>
                </c:pt>
                <c:pt idx="1068">
                  <c:v>94</c:v>
                </c:pt>
                <c:pt idx="1069">
                  <c:v>81</c:v>
                </c:pt>
                <c:pt idx="1070">
                  <c:v>75</c:v>
                </c:pt>
                <c:pt idx="1071">
                  <c:v>81</c:v>
                </c:pt>
                <c:pt idx="1072">
                  <c:v>92</c:v>
                </c:pt>
                <c:pt idx="1073">
                  <c:v>96</c:v>
                </c:pt>
                <c:pt idx="1074">
                  <c:v>71</c:v>
                </c:pt>
                <c:pt idx="1075">
                  <c:v>50</c:v>
                </c:pt>
                <c:pt idx="1076">
                  <c:v>72</c:v>
                </c:pt>
                <c:pt idx="1077">
                  <c:v>28</c:v>
                </c:pt>
                <c:pt idx="1078">
                  <c:v>59</c:v>
                </c:pt>
                <c:pt idx="1079">
                  <c:v>33</c:v>
                </c:pt>
                <c:pt idx="1080">
                  <c:v>59</c:v>
                </c:pt>
                <c:pt idx="1081">
                  <c:v>30</c:v>
                </c:pt>
                <c:pt idx="1082">
                  <c:v>85</c:v>
                </c:pt>
                <c:pt idx="1083">
                  <c:v>97</c:v>
                </c:pt>
                <c:pt idx="1084">
                  <c:v>36</c:v>
                </c:pt>
                <c:pt idx="1085">
                  <c:v>85</c:v>
                </c:pt>
                <c:pt idx="1086">
                  <c:v>62</c:v>
                </c:pt>
                <c:pt idx="1087">
                  <c:v>71</c:v>
                </c:pt>
                <c:pt idx="1088">
                  <c:v>21</c:v>
                </c:pt>
                <c:pt idx="1089">
                  <c:v>61</c:v>
                </c:pt>
                <c:pt idx="1090">
                  <c:v>58</c:v>
                </c:pt>
                <c:pt idx="1091">
                  <c:v>80</c:v>
                </c:pt>
                <c:pt idx="1092">
                  <c:v>50</c:v>
                </c:pt>
                <c:pt idx="1093">
                  <c:v>48</c:v>
                </c:pt>
                <c:pt idx="1094">
                  <c:v>40</c:v>
                </c:pt>
                <c:pt idx="1095">
                  <c:v>34</c:v>
                </c:pt>
                <c:pt idx="1096">
                  <c:v>46</c:v>
                </c:pt>
                <c:pt idx="1097">
                  <c:v>27</c:v>
                </c:pt>
                <c:pt idx="1098">
                  <c:v>98</c:v>
                </c:pt>
                <c:pt idx="1099">
                  <c:v>73</c:v>
                </c:pt>
                <c:pt idx="1100">
                  <c:v>28</c:v>
                </c:pt>
                <c:pt idx="1101">
                  <c:v>76</c:v>
                </c:pt>
                <c:pt idx="1102">
                  <c:v>83</c:v>
                </c:pt>
                <c:pt idx="1103">
                  <c:v>23</c:v>
                </c:pt>
                <c:pt idx="1104">
                  <c:v>28</c:v>
                </c:pt>
                <c:pt idx="1105">
                  <c:v>83</c:v>
                </c:pt>
                <c:pt idx="1106">
                  <c:v>96</c:v>
                </c:pt>
                <c:pt idx="1107">
                  <c:v>62</c:v>
                </c:pt>
                <c:pt idx="1108">
                  <c:v>25</c:v>
                </c:pt>
                <c:pt idx="1109">
                  <c:v>97</c:v>
                </c:pt>
                <c:pt idx="1110">
                  <c:v>61</c:v>
                </c:pt>
                <c:pt idx="1111">
                  <c:v>66</c:v>
                </c:pt>
                <c:pt idx="1112">
                  <c:v>67</c:v>
                </c:pt>
                <c:pt idx="1113">
                  <c:v>80</c:v>
                </c:pt>
                <c:pt idx="1114">
                  <c:v>25</c:v>
                </c:pt>
                <c:pt idx="1115">
                  <c:v>58</c:v>
                </c:pt>
                <c:pt idx="1116">
                  <c:v>96</c:v>
                </c:pt>
                <c:pt idx="1117">
                  <c:v>77</c:v>
                </c:pt>
                <c:pt idx="1118">
                  <c:v>65</c:v>
                </c:pt>
                <c:pt idx="1119">
                  <c:v>36</c:v>
                </c:pt>
                <c:pt idx="1120">
                  <c:v>84</c:v>
                </c:pt>
                <c:pt idx="1121">
                  <c:v>58</c:v>
                </c:pt>
                <c:pt idx="1122">
                  <c:v>62</c:v>
                </c:pt>
                <c:pt idx="1123">
                  <c:v>67</c:v>
                </c:pt>
                <c:pt idx="1124">
                  <c:v>20</c:v>
                </c:pt>
                <c:pt idx="1125">
                  <c:v>90</c:v>
                </c:pt>
                <c:pt idx="1126">
                  <c:v>58</c:v>
                </c:pt>
                <c:pt idx="1127">
                  <c:v>53</c:v>
                </c:pt>
                <c:pt idx="1128">
                  <c:v>30</c:v>
                </c:pt>
                <c:pt idx="1129">
                  <c:v>65</c:v>
                </c:pt>
                <c:pt idx="1130">
                  <c:v>41</c:v>
                </c:pt>
                <c:pt idx="1131">
                  <c:v>73</c:v>
                </c:pt>
                <c:pt idx="1132">
                  <c:v>98</c:v>
                </c:pt>
                <c:pt idx="1133">
                  <c:v>36</c:v>
                </c:pt>
                <c:pt idx="1134">
                  <c:v>81</c:v>
                </c:pt>
                <c:pt idx="1135">
                  <c:v>90</c:v>
                </c:pt>
                <c:pt idx="1136">
                  <c:v>83</c:v>
                </c:pt>
                <c:pt idx="1137">
                  <c:v>91</c:v>
                </c:pt>
                <c:pt idx="1138">
                  <c:v>36</c:v>
                </c:pt>
                <c:pt idx="1139">
                  <c:v>53</c:v>
                </c:pt>
                <c:pt idx="1140">
                  <c:v>39</c:v>
                </c:pt>
                <c:pt idx="1141">
                  <c:v>33</c:v>
                </c:pt>
                <c:pt idx="1142">
                  <c:v>76</c:v>
                </c:pt>
                <c:pt idx="1143">
                  <c:v>23</c:v>
                </c:pt>
                <c:pt idx="1144">
                  <c:v>54</c:v>
                </c:pt>
                <c:pt idx="1145">
                  <c:v>89</c:v>
                </c:pt>
                <c:pt idx="1146">
                  <c:v>38</c:v>
                </c:pt>
                <c:pt idx="1147">
                  <c:v>36</c:v>
                </c:pt>
                <c:pt idx="1148">
                  <c:v>66</c:v>
                </c:pt>
                <c:pt idx="1149">
                  <c:v>42</c:v>
                </c:pt>
                <c:pt idx="1150">
                  <c:v>36</c:v>
                </c:pt>
                <c:pt idx="1151">
                  <c:v>86</c:v>
                </c:pt>
                <c:pt idx="1152">
                  <c:v>49</c:v>
                </c:pt>
                <c:pt idx="1153">
                  <c:v>41</c:v>
                </c:pt>
                <c:pt idx="1154">
                  <c:v>82</c:v>
                </c:pt>
                <c:pt idx="1155">
                  <c:v>53</c:v>
                </c:pt>
                <c:pt idx="1156">
                  <c:v>21</c:v>
                </c:pt>
                <c:pt idx="1157">
                  <c:v>66</c:v>
                </c:pt>
                <c:pt idx="1158">
                  <c:v>89</c:v>
                </c:pt>
                <c:pt idx="1159">
                  <c:v>55</c:v>
                </c:pt>
                <c:pt idx="1160">
                  <c:v>42</c:v>
                </c:pt>
                <c:pt idx="1161">
                  <c:v>52</c:v>
                </c:pt>
                <c:pt idx="1162">
                  <c:v>92</c:v>
                </c:pt>
                <c:pt idx="1163">
                  <c:v>56</c:v>
                </c:pt>
                <c:pt idx="1164">
                  <c:v>96</c:v>
                </c:pt>
                <c:pt idx="1165">
                  <c:v>64</c:v>
                </c:pt>
                <c:pt idx="1166">
                  <c:v>48</c:v>
                </c:pt>
                <c:pt idx="1167">
                  <c:v>83</c:v>
                </c:pt>
                <c:pt idx="1168">
                  <c:v>91</c:v>
                </c:pt>
                <c:pt idx="1169">
                  <c:v>94</c:v>
                </c:pt>
                <c:pt idx="1170">
                  <c:v>62</c:v>
                </c:pt>
                <c:pt idx="1171">
                  <c:v>55</c:v>
                </c:pt>
                <c:pt idx="1172">
                  <c:v>68</c:v>
                </c:pt>
                <c:pt idx="1173">
                  <c:v>76</c:v>
                </c:pt>
                <c:pt idx="1174">
                  <c:v>31</c:v>
                </c:pt>
                <c:pt idx="1175">
                  <c:v>81</c:v>
                </c:pt>
                <c:pt idx="1176">
                  <c:v>83</c:v>
                </c:pt>
                <c:pt idx="1177">
                  <c:v>21</c:v>
                </c:pt>
                <c:pt idx="1178">
                  <c:v>22</c:v>
                </c:pt>
                <c:pt idx="1179">
                  <c:v>33</c:v>
                </c:pt>
                <c:pt idx="1180">
                  <c:v>23</c:v>
                </c:pt>
                <c:pt idx="1181">
                  <c:v>96</c:v>
                </c:pt>
                <c:pt idx="1182">
                  <c:v>21</c:v>
                </c:pt>
                <c:pt idx="1183">
                  <c:v>39</c:v>
                </c:pt>
                <c:pt idx="1184">
                  <c:v>73</c:v>
                </c:pt>
                <c:pt idx="1185">
                  <c:v>64</c:v>
                </c:pt>
                <c:pt idx="1186">
                  <c:v>68</c:v>
                </c:pt>
                <c:pt idx="1187">
                  <c:v>89</c:v>
                </c:pt>
                <c:pt idx="1188">
                  <c:v>29</c:v>
                </c:pt>
                <c:pt idx="1189">
                  <c:v>97</c:v>
                </c:pt>
                <c:pt idx="1190">
                  <c:v>45</c:v>
                </c:pt>
                <c:pt idx="1191">
                  <c:v>70</c:v>
                </c:pt>
                <c:pt idx="1192">
                  <c:v>56</c:v>
                </c:pt>
                <c:pt idx="1193">
                  <c:v>55</c:v>
                </c:pt>
                <c:pt idx="1194">
                  <c:v>46</c:v>
                </c:pt>
                <c:pt idx="1195">
                  <c:v>95</c:v>
                </c:pt>
                <c:pt idx="1196">
                  <c:v>88</c:v>
                </c:pt>
                <c:pt idx="1197">
                  <c:v>92</c:v>
                </c:pt>
                <c:pt idx="1198">
                  <c:v>49</c:v>
                </c:pt>
                <c:pt idx="1199">
                  <c:v>89</c:v>
                </c:pt>
                <c:pt idx="1200">
                  <c:v>22</c:v>
                </c:pt>
                <c:pt idx="1201">
                  <c:v>61</c:v>
                </c:pt>
                <c:pt idx="1202">
                  <c:v>29</c:v>
                </c:pt>
                <c:pt idx="1203">
                  <c:v>82</c:v>
                </c:pt>
                <c:pt idx="1204">
                  <c:v>94</c:v>
                </c:pt>
                <c:pt idx="1205">
                  <c:v>99</c:v>
                </c:pt>
                <c:pt idx="1206">
                  <c:v>59</c:v>
                </c:pt>
                <c:pt idx="1207">
                  <c:v>90</c:v>
                </c:pt>
                <c:pt idx="1208">
                  <c:v>100</c:v>
                </c:pt>
                <c:pt idx="1209">
                  <c:v>62</c:v>
                </c:pt>
                <c:pt idx="1210">
                  <c:v>78</c:v>
                </c:pt>
                <c:pt idx="1211">
                  <c:v>94</c:v>
                </c:pt>
                <c:pt idx="1212">
                  <c:v>74</c:v>
                </c:pt>
                <c:pt idx="1213">
                  <c:v>52</c:v>
                </c:pt>
                <c:pt idx="1214">
                  <c:v>81</c:v>
                </c:pt>
                <c:pt idx="1215">
                  <c:v>20</c:v>
                </c:pt>
                <c:pt idx="1216">
                  <c:v>32</c:v>
                </c:pt>
                <c:pt idx="1217">
                  <c:v>63</c:v>
                </c:pt>
                <c:pt idx="1218">
                  <c:v>79</c:v>
                </c:pt>
                <c:pt idx="1219">
                  <c:v>23</c:v>
                </c:pt>
                <c:pt idx="1220">
                  <c:v>64</c:v>
                </c:pt>
                <c:pt idx="1221">
                  <c:v>69</c:v>
                </c:pt>
                <c:pt idx="1222">
                  <c:v>69</c:v>
                </c:pt>
                <c:pt idx="1223">
                  <c:v>24</c:v>
                </c:pt>
                <c:pt idx="1224">
                  <c:v>50</c:v>
                </c:pt>
                <c:pt idx="1225">
                  <c:v>97</c:v>
                </c:pt>
                <c:pt idx="1226">
                  <c:v>91</c:v>
                </c:pt>
                <c:pt idx="1227">
                  <c:v>37</c:v>
                </c:pt>
                <c:pt idx="1228">
                  <c:v>55</c:v>
                </c:pt>
                <c:pt idx="1229">
                  <c:v>52</c:v>
                </c:pt>
                <c:pt idx="1230">
                  <c:v>80</c:v>
                </c:pt>
                <c:pt idx="1231">
                  <c:v>79</c:v>
                </c:pt>
                <c:pt idx="1232">
                  <c:v>23</c:v>
                </c:pt>
                <c:pt idx="1233">
                  <c:v>73</c:v>
                </c:pt>
                <c:pt idx="1234">
                  <c:v>99</c:v>
                </c:pt>
                <c:pt idx="1235">
                  <c:v>22</c:v>
                </c:pt>
                <c:pt idx="1236">
                  <c:v>68</c:v>
                </c:pt>
                <c:pt idx="1237">
                  <c:v>92</c:v>
                </c:pt>
                <c:pt idx="1238">
                  <c:v>77</c:v>
                </c:pt>
                <c:pt idx="1239">
                  <c:v>37</c:v>
                </c:pt>
                <c:pt idx="1240">
                  <c:v>79</c:v>
                </c:pt>
                <c:pt idx="1241">
                  <c:v>51</c:v>
                </c:pt>
                <c:pt idx="1242">
                  <c:v>27</c:v>
                </c:pt>
                <c:pt idx="1243">
                  <c:v>23</c:v>
                </c:pt>
                <c:pt idx="1244">
                  <c:v>76</c:v>
                </c:pt>
                <c:pt idx="1245">
                  <c:v>31</c:v>
                </c:pt>
                <c:pt idx="1246">
                  <c:v>60</c:v>
                </c:pt>
                <c:pt idx="1247">
                  <c:v>99</c:v>
                </c:pt>
                <c:pt idx="1248">
                  <c:v>37</c:v>
                </c:pt>
                <c:pt idx="1249">
                  <c:v>50</c:v>
                </c:pt>
                <c:pt idx="1250">
                  <c:v>26</c:v>
                </c:pt>
                <c:pt idx="1251">
                  <c:v>86</c:v>
                </c:pt>
                <c:pt idx="1252">
                  <c:v>41</c:v>
                </c:pt>
                <c:pt idx="1253">
                  <c:v>23</c:v>
                </c:pt>
                <c:pt idx="1254">
                  <c:v>56</c:v>
                </c:pt>
                <c:pt idx="1255">
                  <c:v>68</c:v>
                </c:pt>
                <c:pt idx="1256">
                  <c:v>48</c:v>
                </c:pt>
                <c:pt idx="1257">
                  <c:v>67</c:v>
                </c:pt>
                <c:pt idx="1258">
                  <c:v>87</c:v>
                </c:pt>
                <c:pt idx="1259">
                  <c:v>64</c:v>
                </c:pt>
                <c:pt idx="1260">
                  <c:v>93</c:v>
                </c:pt>
                <c:pt idx="1261">
                  <c:v>29</c:v>
                </c:pt>
                <c:pt idx="1262">
                  <c:v>62</c:v>
                </c:pt>
                <c:pt idx="1263">
                  <c:v>70</c:v>
                </c:pt>
                <c:pt idx="1264">
                  <c:v>92</c:v>
                </c:pt>
                <c:pt idx="1265">
                  <c:v>79</c:v>
                </c:pt>
                <c:pt idx="1266">
                  <c:v>31</c:v>
                </c:pt>
                <c:pt idx="1267">
                  <c:v>83</c:v>
                </c:pt>
                <c:pt idx="1268">
                  <c:v>88</c:v>
                </c:pt>
                <c:pt idx="1269">
                  <c:v>53</c:v>
                </c:pt>
                <c:pt idx="1270">
                  <c:v>98</c:v>
                </c:pt>
                <c:pt idx="1271">
                  <c:v>57</c:v>
                </c:pt>
                <c:pt idx="1272">
                  <c:v>80</c:v>
                </c:pt>
                <c:pt idx="1273">
                  <c:v>29</c:v>
                </c:pt>
                <c:pt idx="1274">
                  <c:v>73</c:v>
                </c:pt>
                <c:pt idx="1275">
                  <c:v>32</c:v>
                </c:pt>
                <c:pt idx="1276">
                  <c:v>68</c:v>
                </c:pt>
                <c:pt idx="1277">
                  <c:v>97</c:v>
                </c:pt>
                <c:pt idx="1278">
                  <c:v>98</c:v>
                </c:pt>
                <c:pt idx="1279">
                  <c:v>56</c:v>
                </c:pt>
                <c:pt idx="1280">
                  <c:v>78</c:v>
                </c:pt>
                <c:pt idx="1281">
                  <c:v>81</c:v>
                </c:pt>
                <c:pt idx="1282">
                  <c:v>68</c:v>
                </c:pt>
                <c:pt idx="1283">
                  <c:v>94</c:v>
                </c:pt>
                <c:pt idx="1284">
                  <c:v>93</c:v>
                </c:pt>
                <c:pt idx="1285">
                  <c:v>99</c:v>
                </c:pt>
                <c:pt idx="1286">
                  <c:v>49</c:v>
                </c:pt>
                <c:pt idx="1287">
                  <c:v>28</c:v>
                </c:pt>
                <c:pt idx="1288">
                  <c:v>93</c:v>
                </c:pt>
                <c:pt idx="1289">
                  <c:v>24</c:v>
                </c:pt>
                <c:pt idx="1290">
                  <c:v>35</c:v>
                </c:pt>
                <c:pt idx="1291">
                  <c:v>68</c:v>
                </c:pt>
                <c:pt idx="1292">
                  <c:v>61</c:v>
                </c:pt>
                <c:pt idx="1293">
                  <c:v>74</c:v>
                </c:pt>
                <c:pt idx="1294">
                  <c:v>64</c:v>
                </c:pt>
                <c:pt idx="1295">
                  <c:v>60</c:v>
                </c:pt>
                <c:pt idx="1296">
                  <c:v>29</c:v>
                </c:pt>
                <c:pt idx="1297">
                  <c:v>85</c:v>
                </c:pt>
                <c:pt idx="1298">
                  <c:v>81</c:v>
                </c:pt>
                <c:pt idx="1299">
                  <c:v>23</c:v>
                </c:pt>
                <c:pt idx="1300">
                  <c:v>100</c:v>
                </c:pt>
                <c:pt idx="1301">
                  <c:v>54</c:v>
                </c:pt>
                <c:pt idx="1302">
                  <c:v>25</c:v>
                </c:pt>
                <c:pt idx="1303">
                  <c:v>32</c:v>
                </c:pt>
                <c:pt idx="1304">
                  <c:v>63</c:v>
                </c:pt>
                <c:pt idx="1305">
                  <c:v>56</c:v>
                </c:pt>
                <c:pt idx="1306">
                  <c:v>33</c:v>
                </c:pt>
                <c:pt idx="1307">
                  <c:v>32</c:v>
                </c:pt>
                <c:pt idx="1308">
                  <c:v>38</c:v>
                </c:pt>
                <c:pt idx="1309">
                  <c:v>21</c:v>
                </c:pt>
                <c:pt idx="1310">
                  <c:v>59</c:v>
                </c:pt>
                <c:pt idx="1311">
                  <c:v>87</c:v>
                </c:pt>
                <c:pt idx="1312">
                  <c:v>79</c:v>
                </c:pt>
                <c:pt idx="1313">
                  <c:v>28</c:v>
                </c:pt>
                <c:pt idx="1314">
                  <c:v>67</c:v>
                </c:pt>
                <c:pt idx="1315">
                  <c:v>75</c:v>
                </c:pt>
                <c:pt idx="1316">
                  <c:v>32</c:v>
                </c:pt>
                <c:pt idx="1317">
                  <c:v>43</c:v>
                </c:pt>
                <c:pt idx="1318">
                  <c:v>93</c:v>
                </c:pt>
                <c:pt idx="1319">
                  <c:v>24</c:v>
                </c:pt>
                <c:pt idx="1320">
                  <c:v>31</c:v>
                </c:pt>
                <c:pt idx="1321">
                  <c:v>84</c:v>
                </c:pt>
                <c:pt idx="1322">
                  <c:v>74</c:v>
                </c:pt>
                <c:pt idx="1323">
                  <c:v>62</c:v>
                </c:pt>
                <c:pt idx="1324">
                  <c:v>77</c:v>
                </c:pt>
                <c:pt idx="1325">
                  <c:v>73</c:v>
                </c:pt>
                <c:pt idx="1326">
                  <c:v>50</c:v>
                </c:pt>
                <c:pt idx="1327">
                  <c:v>40</c:v>
                </c:pt>
                <c:pt idx="1328">
                  <c:v>97</c:v>
                </c:pt>
                <c:pt idx="1329">
                  <c:v>63</c:v>
                </c:pt>
                <c:pt idx="1330">
                  <c:v>65</c:v>
                </c:pt>
                <c:pt idx="1331">
                  <c:v>91</c:v>
                </c:pt>
                <c:pt idx="1332">
                  <c:v>60</c:v>
                </c:pt>
                <c:pt idx="1333">
                  <c:v>69</c:v>
                </c:pt>
                <c:pt idx="1334">
                  <c:v>52</c:v>
                </c:pt>
                <c:pt idx="1335">
                  <c:v>49</c:v>
                </c:pt>
                <c:pt idx="1336">
                  <c:v>85</c:v>
                </c:pt>
                <c:pt idx="1337">
                  <c:v>86</c:v>
                </c:pt>
                <c:pt idx="1338">
                  <c:v>51</c:v>
                </c:pt>
                <c:pt idx="1339">
                  <c:v>56</c:v>
                </c:pt>
                <c:pt idx="1340">
                  <c:v>72</c:v>
                </c:pt>
                <c:pt idx="1341">
                  <c:v>27</c:v>
                </c:pt>
                <c:pt idx="1342">
                  <c:v>43</c:v>
                </c:pt>
                <c:pt idx="1343">
                  <c:v>56</c:v>
                </c:pt>
                <c:pt idx="1344">
                  <c:v>37</c:v>
                </c:pt>
                <c:pt idx="1345">
                  <c:v>21</c:v>
                </c:pt>
                <c:pt idx="1346">
                  <c:v>91</c:v>
                </c:pt>
                <c:pt idx="1347">
                  <c:v>95</c:v>
                </c:pt>
                <c:pt idx="1348">
                  <c:v>54</c:v>
                </c:pt>
                <c:pt idx="1349">
                  <c:v>36</c:v>
                </c:pt>
                <c:pt idx="1350">
                  <c:v>71</c:v>
                </c:pt>
                <c:pt idx="1351">
                  <c:v>31</c:v>
                </c:pt>
                <c:pt idx="1352">
                  <c:v>89</c:v>
                </c:pt>
                <c:pt idx="1353">
                  <c:v>83</c:v>
                </c:pt>
                <c:pt idx="1354">
                  <c:v>42</c:v>
                </c:pt>
                <c:pt idx="1355">
                  <c:v>91</c:v>
                </c:pt>
                <c:pt idx="1356">
                  <c:v>61</c:v>
                </c:pt>
                <c:pt idx="1357">
                  <c:v>66</c:v>
                </c:pt>
                <c:pt idx="1358">
                  <c:v>22</c:v>
                </c:pt>
                <c:pt idx="1359">
                  <c:v>68</c:v>
                </c:pt>
                <c:pt idx="1360">
                  <c:v>43</c:v>
                </c:pt>
                <c:pt idx="1361">
                  <c:v>32</c:v>
                </c:pt>
                <c:pt idx="1362">
                  <c:v>46</c:v>
                </c:pt>
                <c:pt idx="1363">
                  <c:v>90</c:v>
                </c:pt>
                <c:pt idx="1364">
                  <c:v>75</c:v>
                </c:pt>
                <c:pt idx="1365">
                  <c:v>69</c:v>
                </c:pt>
                <c:pt idx="1366">
                  <c:v>40</c:v>
                </c:pt>
                <c:pt idx="1367">
                  <c:v>63</c:v>
                </c:pt>
                <c:pt idx="1368">
                  <c:v>36</c:v>
                </c:pt>
                <c:pt idx="1369">
                  <c:v>75</c:v>
                </c:pt>
                <c:pt idx="1370">
                  <c:v>67</c:v>
                </c:pt>
                <c:pt idx="1371">
                  <c:v>64</c:v>
                </c:pt>
                <c:pt idx="1372">
                  <c:v>61</c:v>
                </c:pt>
                <c:pt idx="1373">
                  <c:v>40</c:v>
                </c:pt>
                <c:pt idx="1374">
                  <c:v>97</c:v>
                </c:pt>
                <c:pt idx="1375">
                  <c:v>31</c:v>
                </c:pt>
                <c:pt idx="1376">
                  <c:v>65</c:v>
                </c:pt>
                <c:pt idx="1377">
                  <c:v>54</c:v>
                </c:pt>
                <c:pt idx="1378">
                  <c:v>49</c:v>
                </c:pt>
                <c:pt idx="1379">
                  <c:v>64</c:v>
                </c:pt>
                <c:pt idx="1380">
                  <c:v>35</c:v>
                </c:pt>
                <c:pt idx="1381">
                  <c:v>86</c:v>
                </c:pt>
                <c:pt idx="1382">
                  <c:v>55</c:v>
                </c:pt>
                <c:pt idx="1383">
                  <c:v>58</c:v>
                </c:pt>
                <c:pt idx="1384">
                  <c:v>96</c:v>
                </c:pt>
                <c:pt idx="1385">
                  <c:v>64</c:v>
                </c:pt>
                <c:pt idx="1386">
                  <c:v>56</c:v>
                </c:pt>
                <c:pt idx="1387">
                  <c:v>85</c:v>
                </c:pt>
                <c:pt idx="1388">
                  <c:v>23</c:v>
                </c:pt>
                <c:pt idx="1389">
                  <c:v>72</c:v>
                </c:pt>
                <c:pt idx="1390">
                  <c:v>38</c:v>
                </c:pt>
                <c:pt idx="1391">
                  <c:v>29</c:v>
                </c:pt>
                <c:pt idx="1392">
                  <c:v>46</c:v>
                </c:pt>
                <c:pt idx="1393">
                  <c:v>58</c:v>
                </c:pt>
                <c:pt idx="1394">
                  <c:v>43</c:v>
                </c:pt>
                <c:pt idx="1395">
                  <c:v>32</c:v>
                </c:pt>
                <c:pt idx="1396">
                  <c:v>30</c:v>
                </c:pt>
                <c:pt idx="1397">
                  <c:v>67</c:v>
                </c:pt>
                <c:pt idx="1398">
                  <c:v>45</c:v>
                </c:pt>
                <c:pt idx="1399">
                  <c:v>81</c:v>
                </c:pt>
                <c:pt idx="1400">
                  <c:v>23</c:v>
                </c:pt>
                <c:pt idx="1401">
                  <c:v>59</c:v>
                </c:pt>
                <c:pt idx="1402">
                  <c:v>21</c:v>
                </c:pt>
                <c:pt idx="1403">
                  <c:v>20</c:v>
                </c:pt>
                <c:pt idx="1404">
                  <c:v>28</c:v>
                </c:pt>
                <c:pt idx="1405">
                  <c:v>100</c:v>
                </c:pt>
                <c:pt idx="1406">
                  <c:v>46</c:v>
                </c:pt>
                <c:pt idx="1407">
                  <c:v>61</c:v>
                </c:pt>
                <c:pt idx="1408">
                  <c:v>58</c:v>
                </c:pt>
                <c:pt idx="1409">
                  <c:v>50</c:v>
                </c:pt>
                <c:pt idx="1410">
                  <c:v>93</c:v>
                </c:pt>
                <c:pt idx="1411">
                  <c:v>24</c:v>
                </c:pt>
                <c:pt idx="1412">
                  <c:v>100</c:v>
                </c:pt>
                <c:pt idx="1413">
                  <c:v>79</c:v>
                </c:pt>
                <c:pt idx="1414">
                  <c:v>51</c:v>
                </c:pt>
                <c:pt idx="1415">
                  <c:v>90</c:v>
                </c:pt>
                <c:pt idx="1416">
                  <c:v>56</c:v>
                </c:pt>
                <c:pt idx="1417">
                  <c:v>25</c:v>
                </c:pt>
                <c:pt idx="1418">
                  <c:v>75</c:v>
                </c:pt>
                <c:pt idx="1419">
                  <c:v>75</c:v>
                </c:pt>
                <c:pt idx="1420">
                  <c:v>53</c:v>
                </c:pt>
                <c:pt idx="1421">
                  <c:v>100</c:v>
                </c:pt>
                <c:pt idx="1422">
                  <c:v>27</c:v>
                </c:pt>
                <c:pt idx="1423">
                  <c:v>60</c:v>
                </c:pt>
                <c:pt idx="1424">
                  <c:v>23</c:v>
                </c:pt>
                <c:pt idx="1425">
                  <c:v>40</c:v>
                </c:pt>
                <c:pt idx="1426">
                  <c:v>38</c:v>
                </c:pt>
                <c:pt idx="1427">
                  <c:v>90</c:v>
                </c:pt>
                <c:pt idx="1428">
                  <c:v>97</c:v>
                </c:pt>
                <c:pt idx="1429">
                  <c:v>38</c:v>
                </c:pt>
                <c:pt idx="1430">
                  <c:v>30</c:v>
                </c:pt>
                <c:pt idx="1431">
                  <c:v>88</c:v>
                </c:pt>
                <c:pt idx="1432">
                  <c:v>33</c:v>
                </c:pt>
                <c:pt idx="1433">
                  <c:v>60</c:v>
                </c:pt>
                <c:pt idx="1434">
                  <c:v>64</c:v>
                </c:pt>
                <c:pt idx="1435">
                  <c:v>95</c:v>
                </c:pt>
                <c:pt idx="1436">
                  <c:v>83</c:v>
                </c:pt>
                <c:pt idx="1437">
                  <c:v>97</c:v>
                </c:pt>
                <c:pt idx="1438">
                  <c:v>38</c:v>
                </c:pt>
                <c:pt idx="1439">
                  <c:v>48</c:v>
                </c:pt>
                <c:pt idx="1440">
                  <c:v>76</c:v>
                </c:pt>
                <c:pt idx="1441">
                  <c:v>25</c:v>
                </c:pt>
                <c:pt idx="1442">
                  <c:v>92</c:v>
                </c:pt>
                <c:pt idx="1443">
                  <c:v>47</c:v>
                </c:pt>
                <c:pt idx="1444">
                  <c:v>36</c:v>
                </c:pt>
                <c:pt idx="1445">
                  <c:v>51</c:v>
                </c:pt>
                <c:pt idx="1446">
                  <c:v>35</c:v>
                </c:pt>
                <c:pt idx="1447">
                  <c:v>57</c:v>
                </c:pt>
                <c:pt idx="1448">
                  <c:v>95</c:v>
                </c:pt>
                <c:pt idx="1449">
                  <c:v>41</c:v>
                </c:pt>
                <c:pt idx="1450">
                  <c:v>44</c:v>
                </c:pt>
                <c:pt idx="1451">
                  <c:v>34</c:v>
                </c:pt>
                <c:pt idx="1452">
                  <c:v>25</c:v>
                </c:pt>
                <c:pt idx="1453">
                  <c:v>93</c:v>
                </c:pt>
                <c:pt idx="1454">
                  <c:v>50</c:v>
                </c:pt>
                <c:pt idx="1455">
                  <c:v>79</c:v>
                </c:pt>
                <c:pt idx="1456">
                  <c:v>100</c:v>
                </c:pt>
                <c:pt idx="1457">
                  <c:v>57</c:v>
                </c:pt>
                <c:pt idx="1458">
                  <c:v>28</c:v>
                </c:pt>
                <c:pt idx="1459">
                  <c:v>35</c:v>
                </c:pt>
                <c:pt idx="1460">
                  <c:v>85</c:v>
                </c:pt>
                <c:pt idx="1461">
                  <c:v>95</c:v>
                </c:pt>
                <c:pt idx="1462">
                  <c:v>90</c:v>
                </c:pt>
                <c:pt idx="1463">
                  <c:v>49</c:v>
                </c:pt>
                <c:pt idx="1464">
                  <c:v>92</c:v>
                </c:pt>
                <c:pt idx="1465">
                  <c:v>72</c:v>
                </c:pt>
                <c:pt idx="1466">
                  <c:v>71</c:v>
                </c:pt>
                <c:pt idx="1467">
                  <c:v>27</c:v>
                </c:pt>
                <c:pt idx="1468">
                  <c:v>39</c:v>
                </c:pt>
                <c:pt idx="1469">
                  <c:v>98</c:v>
                </c:pt>
                <c:pt idx="1470">
                  <c:v>27</c:v>
                </c:pt>
                <c:pt idx="1471">
                  <c:v>71</c:v>
                </c:pt>
                <c:pt idx="1472">
                  <c:v>24</c:v>
                </c:pt>
                <c:pt idx="1473">
                  <c:v>63</c:v>
                </c:pt>
                <c:pt idx="1474">
                  <c:v>72</c:v>
                </c:pt>
                <c:pt idx="1475">
                  <c:v>61</c:v>
                </c:pt>
                <c:pt idx="1476">
                  <c:v>56</c:v>
                </c:pt>
                <c:pt idx="1477">
                  <c:v>32</c:v>
                </c:pt>
                <c:pt idx="1478">
                  <c:v>23</c:v>
                </c:pt>
                <c:pt idx="1479">
                  <c:v>100</c:v>
                </c:pt>
                <c:pt idx="1480">
                  <c:v>74</c:v>
                </c:pt>
                <c:pt idx="1481">
                  <c:v>33</c:v>
                </c:pt>
                <c:pt idx="1482">
                  <c:v>67</c:v>
                </c:pt>
                <c:pt idx="1483">
                  <c:v>61</c:v>
                </c:pt>
                <c:pt idx="1484">
                  <c:v>46</c:v>
                </c:pt>
                <c:pt idx="1485">
                  <c:v>56</c:v>
                </c:pt>
                <c:pt idx="1486">
                  <c:v>73</c:v>
                </c:pt>
                <c:pt idx="1487">
                  <c:v>44</c:v>
                </c:pt>
                <c:pt idx="1488">
                  <c:v>44</c:v>
                </c:pt>
                <c:pt idx="1489">
                  <c:v>26</c:v>
                </c:pt>
                <c:pt idx="1490">
                  <c:v>52</c:v>
                </c:pt>
                <c:pt idx="1491">
                  <c:v>54</c:v>
                </c:pt>
                <c:pt idx="1492">
                  <c:v>38</c:v>
                </c:pt>
                <c:pt idx="1493">
                  <c:v>44</c:v>
                </c:pt>
                <c:pt idx="1494">
                  <c:v>76</c:v>
                </c:pt>
                <c:pt idx="1495">
                  <c:v>23</c:v>
                </c:pt>
                <c:pt idx="1496">
                  <c:v>98</c:v>
                </c:pt>
                <c:pt idx="1497">
                  <c:v>33</c:v>
                </c:pt>
                <c:pt idx="1498">
                  <c:v>32</c:v>
                </c:pt>
                <c:pt idx="1499">
                  <c:v>85</c:v>
                </c:pt>
                <c:pt idx="1500">
                  <c:v>69</c:v>
                </c:pt>
                <c:pt idx="1501">
                  <c:v>55</c:v>
                </c:pt>
                <c:pt idx="1502">
                  <c:v>66</c:v>
                </c:pt>
                <c:pt idx="1503">
                  <c:v>30</c:v>
                </c:pt>
                <c:pt idx="1504">
                  <c:v>80</c:v>
                </c:pt>
                <c:pt idx="1505">
                  <c:v>20</c:v>
                </c:pt>
                <c:pt idx="1506">
                  <c:v>30</c:v>
                </c:pt>
                <c:pt idx="1507">
                  <c:v>86</c:v>
                </c:pt>
                <c:pt idx="1508">
                  <c:v>84</c:v>
                </c:pt>
                <c:pt idx="1509">
                  <c:v>54</c:v>
                </c:pt>
                <c:pt idx="1510">
                  <c:v>30</c:v>
                </c:pt>
                <c:pt idx="1511">
                  <c:v>91</c:v>
                </c:pt>
                <c:pt idx="1512">
                  <c:v>23</c:v>
                </c:pt>
                <c:pt idx="1513">
                  <c:v>35</c:v>
                </c:pt>
                <c:pt idx="1514">
                  <c:v>90</c:v>
                </c:pt>
                <c:pt idx="1515">
                  <c:v>93</c:v>
                </c:pt>
                <c:pt idx="1516">
                  <c:v>68</c:v>
                </c:pt>
                <c:pt idx="1517">
                  <c:v>41</c:v>
                </c:pt>
                <c:pt idx="1518">
                  <c:v>73</c:v>
                </c:pt>
                <c:pt idx="1519">
                  <c:v>73</c:v>
                </c:pt>
                <c:pt idx="1520">
                  <c:v>66</c:v>
                </c:pt>
                <c:pt idx="1521">
                  <c:v>59</c:v>
                </c:pt>
                <c:pt idx="1522">
                  <c:v>72</c:v>
                </c:pt>
                <c:pt idx="1523">
                  <c:v>88</c:v>
                </c:pt>
                <c:pt idx="1524">
                  <c:v>76</c:v>
                </c:pt>
                <c:pt idx="1525">
                  <c:v>31</c:v>
                </c:pt>
                <c:pt idx="1526">
                  <c:v>22</c:v>
                </c:pt>
                <c:pt idx="1527">
                  <c:v>75</c:v>
                </c:pt>
                <c:pt idx="1528">
                  <c:v>75</c:v>
                </c:pt>
                <c:pt idx="1529">
                  <c:v>63</c:v>
                </c:pt>
                <c:pt idx="1530">
                  <c:v>21</c:v>
                </c:pt>
                <c:pt idx="1531">
                  <c:v>83</c:v>
                </c:pt>
                <c:pt idx="1532">
                  <c:v>46</c:v>
                </c:pt>
                <c:pt idx="1533">
                  <c:v>59</c:v>
                </c:pt>
                <c:pt idx="1534">
                  <c:v>66</c:v>
                </c:pt>
                <c:pt idx="1535">
                  <c:v>74</c:v>
                </c:pt>
                <c:pt idx="1536">
                  <c:v>82</c:v>
                </c:pt>
                <c:pt idx="1537">
                  <c:v>89</c:v>
                </c:pt>
                <c:pt idx="1538">
                  <c:v>65</c:v>
                </c:pt>
                <c:pt idx="1539">
                  <c:v>55</c:v>
                </c:pt>
                <c:pt idx="1540">
                  <c:v>95</c:v>
                </c:pt>
                <c:pt idx="1541">
                  <c:v>77</c:v>
                </c:pt>
                <c:pt idx="1542">
                  <c:v>44</c:v>
                </c:pt>
                <c:pt idx="1543">
                  <c:v>89</c:v>
                </c:pt>
                <c:pt idx="1544">
                  <c:v>24</c:v>
                </c:pt>
                <c:pt idx="1545">
                  <c:v>43</c:v>
                </c:pt>
                <c:pt idx="1546">
                  <c:v>51</c:v>
                </c:pt>
                <c:pt idx="1547">
                  <c:v>46</c:v>
                </c:pt>
                <c:pt idx="1548">
                  <c:v>32</c:v>
                </c:pt>
                <c:pt idx="1549">
                  <c:v>55</c:v>
                </c:pt>
                <c:pt idx="1550">
                  <c:v>26</c:v>
                </c:pt>
                <c:pt idx="1551">
                  <c:v>29</c:v>
                </c:pt>
                <c:pt idx="1552">
                  <c:v>49</c:v>
                </c:pt>
                <c:pt idx="1553">
                  <c:v>45</c:v>
                </c:pt>
                <c:pt idx="1554">
                  <c:v>48</c:v>
                </c:pt>
                <c:pt idx="1555">
                  <c:v>47</c:v>
                </c:pt>
                <c:pt idx="1556">
                  <c:v>57</c:v>
                </c:pt>
                <c:pt idx="1557">
                  <c:v>34</c:v>
                </c:pt>
                <c:pt idx="1558">
                  <c:v>75</c:v>
                </c:pt>
                <c:pt idx="1559">
                  <c:v>94</c:v>
                </c:pt>
                <c:pt idx="1560">
                  <c:v>84</c:v>
                </c:pt>
                <c:pt idx="1561">
                  <c:v>38</c:v>
                </c:pt>
                <c:pt idx="1562">
                  <c:v>75</c:v>
                </c:pt>
                <c:pt idx="1563">
                  <c:v>44</c:v>
                </c:pt>
                <c:pt idx="1564">
                  <c:v>33</c:v>
                </c:pt>
                <c:pt idx="1565">
                  <c:v>93</c:v>
                </c:pt>
                <c:pt idx="1566">
                  <c:v>99</c:v>
                </c:pt>
                <c:pt idx="1567">
                  <c:v>33</c:v>
                </c:pt>
                <c:pt idx="1568">
                  <c:v>76</c:v>
                </c:pt>
                <c:pt idx="1569">
                  <c:v>63</c:v>
                </c:pt>
                <c:pt idx="1570">
                  <c:v>41</c:v>
                </c:pt>
                <c:pt idx="1571">
                  <c:v>88</c:v>
                </c:pt>
                <c:pt idx="1572">
                  <c:v>92</c:v>
                </c:pt>
                <c:pt idx="1573">
                  <c:v>31</c:v>
                </c:pt>
                <c:pt idx="1574">
                  <c:v>25</c:v>
                </c:pt>
                <c:pt idx="1575">
                  <c:v>28</c:v>
                </c:pt>
                <c:pt idx="1576">
                  <c:v>75</c:v>
                </c:pt>
                <c:pt idx="1577">
                  <c:v>34</c:v>
                </c:pt>
                <c:pt idx="1578">
                  <c:v>97</c:v>
                </c:pt>
                <c:pt idx="1579">
                  <c:v>80</c:v>
                </c:pt>
                <c:pt idx="1580">
                  <c:v>71</c:v>
                </c:pt>
                <c:pt idx="1581">
                  <c:v>77</c:v>
                </c:pt>
                <c:pt idx="1582">
                  <c:v>41</c:v>
                </c:pt>
                <c:pt idx="1583">
                  <c:v>92</c:v>
                </c:pt>
                <c:pt idx="1584">
                  <c:v>95</c:v>
                </c:pt>
                <c:pt idx="1585">
                  <c:v>25</c:v>
                </c:pt>
                <c:pt idx="1586">
                  <c:v>77</c:v>
                </c:pt>
                <c:pt idx="1587">
                  <c:v>99</c:v>
                </c:pt>
                <c:pt idx="1588">
                  <c:v>24</c:v>
                </c:pt>
                <c:pt idx="1589">
                  <c:v>72</c:v>
                </c:pt>
                <c:pt idx="1590">
                  <c:v>80</c:v>
                </c:pt>
                <c:pt idx="1591">
                  <c:v>100</c:v>
                </c:pt>
                <c:pt idx="1592">
                  <c:v>83</c:v>
                </c:pt>
                <c:pt idx="1593">
                  <c:v>95</c:v>
                </c:pt>
                <c:pt idx="1594">
                  <c:v>41</c:v>
                </c:pt>
                <c:pt idx="1595">
                  <c:v>35</c:v>
                </c:pt>
                <c:pt idx="1596">
                  <c:v>30</c:v>
                </c:pt>
                <c:pt idx="1597">
                  <c:v>21</c:v>
                </c:pt>
                <c:pt idx="1598">
                  <c:v>85</c:v>
                </c:pt>
                <c:pt idx="1599">
                  <c:v>54</c:v>
                </c:pt>
                <c:pt idx="1600">
                  <c:v>26</c:v>
                </c:pt>
                <c:pt idx="1601">
                  <c:v>59</c:v>
                </c:pt>
                <c:pt idx="1602">
                  <c:v>48</c:v>
                </c:pt>
                <c:pt idx="1603">
                  <c:v>98</c:v>
                </c:pt>
                <c:pt idx="1604">
                  <c:v>92</c:v>
                </c:pt>
                <c:pt idx="1605">
                  <c:v>46</c:v>
                </c:pt>
                <c:pt idx="1606">
                  <c:v>21</c:v>
                </c:pt>
                <c:pt idx="1607">
                  <c:v>72</c:v>
                </c:pt>
                <c:pt idx="1608">
                  <c:v>58</c:v>
                </c:pt>
                <c:pt idx="1609">
                  <c:v>93</c:v>
                </c:pt>
                <c:pt idx="1610">
                  <c:v>31</c:v>
                </c:pt>
                <c:pt idx="1611">
                  <c:v>26</c:v>
                </c:pt>
                <c:pt idx="1612">
                  <c:v>68</c:v>
                </c:pt>
                <c:pt idx="1613">
                  <c:v>31</c:v>
                </c:pt>
                <c:pt idx="1614">
                  <c:v>41</c:v>
                </c:pt>
                <c:pt idx="1615">
                  <c:v>62</c:v>
                </c:pt>
                <c:pt idx="1616">
                  <c:v>41</c:v>
                </c:pt>
                <c:pt idx="1617">
                  <c:v>64</c:v>
                </c:pt>
                <c:pt idx="1618">
                  <c:v>72</c:v>
                </c:pt>
                <c:pt idx="1619">
                  <c:v>78</c:v>
                </c:pt>
                <c:pt idx="1620">
                  <c:v>47</c:v>
                </c:pt>
                <c:pt idx="1621">
                  <c:v>46</c:v>
                </c:pt>
                <c:pt idx="1622">
                  <c:v>43</c:v>
                </c:pt>
                <c:pt idx="1623">
                  <c:v>58</c:v>
                </c:pt>
                <c:pt idx="1624">
                  <c:v>32</c:v>
                </c:pt>
                <c:pt idx="1625">
                  <c:v>45</c:v>
                </c:pt>
                <c:pt idx="1626">
                  <c:v>35</c:v>
                </c:pt>
                <c:pt idx="1627">
                  <c:v>21</c:v>
                </c:pt>
                <c:pt idx="1628">
                  <c:v>64</c:v>
                </c:pt>
                <c:pt idx="1629">
                  <c:v>88</c:v>
                </c:pt>
                <c:pt idx="1630">
                  <c:v>48</c:v>
                </c:pt>
                <c:pt idx="1631">
                  <c:v>36</c:v>
                </c:pt>
                <c:pt idx="1632">
                  <c:v>28</c:v>
                </c:pt>
                <c:pt idx="1633">
                  <c:v>80</c:v>
                </c:pt>
                <c:pt idx="1634">
                  <c:v>23</c:v>
                </c:pt>
                <c:pt idx="1635">
                  <c:v>24</c:v>
                </c:pt>
                <c:pt idx="1636">
                  <c:v>22</c:v>
                </c:pt>
                <c:pt idx="1637">
                  <c:v>21</c:v>
                </c:pt>
                <c:pt idx="1638">
                  <c:v>51</c:v>
                </c:pt>
                <c:pt idx="1639">
                  <c:v>65</c:v>
                </c:pt>
                <c:pt idx="1640">
                  <c:v>51</c:v>
                </c:pt>
                <c:pt idx="1641">
                  <c:v>32</c:v>
                </c:pt>
                <c:pt idx="1642">
                  <c:v>70</c:v>
                </c:pt>
                <c:pt idx="1643">
                  <c:v>77</c:v>
                </c:pt>
                <c:pt idx="1644">
                  <c:v>90</c:v>
                </c:pt>
                <c:pt idx="1645">
                  <c:v>36</c:v>
                </c:pt>
                <c:pt idx="1646">
                  <c:v>77</c:v>
                </c:pt>
                <c:pt idx="1647">
                  <c:v>78</c:v>
                </c:pt>
                <c:pt idx="1648">
                  <c:v>69</c:v>
                </c:pt>
                <c:pt idx="1649">
                  <c:v>63</c:v>
                </c:pt>
                <c:pt idx="1650">
                  <c:v>36</c:v>
                </c:pt>
                <c:pt idx="1651">
                  <c:v>80</c:v>
                </c:pt>
                <c:pt idx="1652">
                  <c:v>35</c:v>
                </c:pt>
                <c:pt idx="1653">
                  <c:v>93</c:v>
                </c:pt>
                <c:pt idx="1654">
                  <c:v>25</c:v>
                </c:pt>
                <c:pt idx="1655">
                  <c:v>81</c:v>
                </c:pt>
                <c:pt idx="1656">
                  <c:v>42</c:v>
                </c:pt>
                <c:pt idx="1657">
                  <c:v>36</c:v>
                </c:pt>
                <c:pt idx="1658">
                  <c:v>66</c:v>
                </c:pt>
                <c:pt idx="1659">
                  <c:v>37</c:v>
                </c:pt>
                <c:pt idx="1660">
                  <c:v>45</c:v>
                </c:pt>
                <c:pt idx="1661">
                  <c:v>86</c:v>
                </c:pt>
                <c:pt idx="1662">
                  <c:v>24</c:v>
                </c:pt>
                <c:pt idx="1663">
                  <c:v>22</c:v>
                </c:pt>
                <c:pt idx="1664">
                  <c:v>53</c:v>
                </c:pt>
                <c:pt idx="1665">
                  <c:v>41</c:v>
                </c:pt>
                <c:pt idx="1666">
                  <c:v>64</c:v>
                </c:pt>
                <c:pt idx="1667">
                  <c:v>40</c:v>
                </c:pt>
                <c:pt idx="1668">
                  <c:v>33</c:v>
                </c:pt>
                <c:pt idx="1669">
                  <c:v>59</c:v>
                </c:pt>
                <c:pt idx="1670">
                  <c:v>73</c:v>
                </c:pt>
                <c:pt idx="1671">
                  <c:v>22</c:v>
                </c:pt>
                <c:pt idx="1672">
                  <c:v>73</c:v>
                </c:pt>
                <c:pt idx="1673">
                  <c:v>62</c:v>
                </c:pt>
                <c:pt idx="1674">
                  <c:v>56</c:v>
                </c:pt>
                <c:pt idx="1675">
                  <c:v>90</c:v>
                </c:pt>
                <c:pt idx="1676">
                  <c:v>44</c:v>
                </c:pt>
                <c:pt idx="1677">
                  <c:v>35</c:v>
                </c:pt>
                <c:pt idx="1678">
                  <c:v>71</c:v>
                </c:pt>
                <c:pt idx="1679">
                  <c:v>52</c:v>
                </c:pt>
                <c:pt idx="1680">
                  <c:v>37</c:v>
                </c:pt>
                <c:pt idx="1681">
                  <c:v>95</c:v>
                </c:pt>
                <c:pt idx="1682">
                  <c:v>97</c:v>
                </c:pt>
                <c:pt idx="1683">
                  <c:v>57</c:v>
                </c:pt>
                <c:pt idx="1684">
                  <c:v>93</c:v>
                </c:pt>
                <c:pt idx="1685">
                  <c:v>48</c:v>
                </c:pt>
                <c:pt idx="1686">
                  <c:v>75</c:v>
                </c:pt>
                <c:pt idx="1687">
                  <c:v>70</c:v>
                </c:pt>
                <c:pt idx="1688">
                  <c:v>26</c:v>
                </c:pt>
                <c:pt idx="1689">
                  <c:v>73</c:v>
                </c:pt>
                <c:pt idx="1690">
                  <c:v>30</c:v>
                </c:pt>
                <c:pt idx="1691">
                  <c:v>61</c:v>
                </c:pt>
                <c:pt idx="1692">
                  <c:v>75</c:v>
                </c:pt>
                <c:pt idx="1693">
                  <c:v>88</c:v>
                </c:pt>
                <c:pt idx="1694">
                  <c:v>67</c:v>
                </c:pt>
                <c:pt idx="1695">
                  <c:v>95</c:v>
                </c:pt>
                <c:pt idx="1696">
                  <c:v>69</c:v>
                </c:pt>
                <c:pt idx="1697">
                  <c:v>87</c:v>
                </c:pt>
                <c:pt idx="1698">
                  <c:v>41</c:v>
                </c:pt>
                <c:pt idx="1699">
                  <c:v>67</c:v>
                </c:pt>
                <c:pt idx="1700">
                  <c:v>70</c:v>
                </c:pt>
                <c:pt idx="1701">
                  <c:v>41</c:v>
                </c:pt>
                <c:pt idx="1702">
                  <c:v>83</c:v>
                </c:pt>
                <c:pt idx="1703">
                  <c:v>22</c:v>
                </c:pt>
                <c:pt idx="1704">
                  <c:v>20</c:v>
                </c:pt>
                <c:pt idx="1705">
                  <c:v>29</c:v>
                </c:pt>
                <c:pt idx="1706">
                  <c:v>87</c:v>
                </c:pt>
                <c:pt idx="1707">
                  <c:v>81</c:v>
                </c:pt>
                <c:pt idx="1708">
                  <c:v>58</c:v>
                </c:pt>
                <c:pt idx="1709">
                  <c:v>83</c:v>
                </c:pt>
                <c:pt idx="1710">
                  <c:v>59</c:v>
                </c:pt>
                <c:pt idx="1711">
                  <c:v>93</c:v>
                </c:pt>
                <c:pt idx="1712">
                  <c:v>87</c:v>
                </c:pt>
                <c:pt idx="1713">
                  <c:v>22</c:v>
                </c:pt>
                <c:pt idx="1714">
                  <c:v>71</c:v>
                </c:pt>
                <c:pt idx="1715">
                  <c:v>69</c:v>
                </c:pt>
                <c:pt idx="1716">
                  <c:v>47</c:v>
                </c:pt>
                <c:pt idx="1717">
                  <c:v>50</c:v>
                </c:pt>
                <c:pt idx="1718">
                  <c:v>96</c:v>
                </c:pt>
                <c:pt idx="1719">
                  <c:v>39</c:v>
                </c:pt>
                <c:pt idx="1720">
                  <c:v>84</c:v>
                </c:pt>
                <c:pt idx="1721">
                  <c:v>28</c:v>
                </c:pt>
                <c:pt idx="1722">
                  <c:v>51</c:v>
                </c:pt>
                <c:pt idx="1723">
                  <c:v>20</c:v>
                </c:pt>
                <c:pt idx="1724">
                  <c:v>72</c:v>
                </c:pt>
                <c:pt idx="1725">
                  <c:v>33</c:v>
                </c:pt>
                <c:pt idx="1726">
                  <c:v>28</c:v>
                </c:pt>
                <c:pt idx="1727">
                  <c:v>53</c:v>
                </c:pt>
                <c:pt idx="1728">
                  <c:v>48</c:v>
                </c:pt>
                <c:pt idx="1729">
                  <c:v>21</c:v>
                </c:pt>
                <c:pt idx="1730">
                  <c:v>22</c:v>
                </c:pt>
                <c:pt idx="1731">
                  <c:v>87</c:v>
                </c:pt>
                <c:pt idx="1732">
                  <c:v>50</c:v>
                </c:pt>
                <c:pt idx="1733">
                  <c:v>85</c:v>
                </c:pt>
                <c:pt idx="1734">
                  <c:v>98</c:v>
                </c:pt>
                <c:pt idx="1735">
                  <c:v>34</c:v>
                </c:pt>
                <c:pt idx="1736">
                  <c:v>61</c:v>
                </c:pt>
                <c:pt idx="1737">
                  <c:v>98</c:v>
                </c:pt>
                <c:pt idx="1738">
                  <c:v>61</c:v>
                </c:pt>
                <c:pt idx="1739">
                  <c:v>98</c:v>
                </c:pt>
                <c:pt idx="1740">
                  <c:v>21</c:v>
                </c:pt>
                <c:pt idx="1741">
                  <c:v>51</c:v>
                </c:pt>
                <c:pt idx="1742">
                  <c:v>80</c:v>
                </c:pt>
                <c:pt idx="1743">
                  <c:v>72</c:v>
                </c:pt>
                <c:pt idx="1744">
                  <c:v>63</c:v>
                </c:pt>
                <c:pt idx="1745">
                  <c:v>27</c:v>
                </c:pt>
                <c:pt idx="1746">
                  <c:v>44</c:v>
                </c:pt>
                <c:pt idx="1747">
                  <c:v>23</c:v>
                </c:pt>
                <c:pt idx="1748">
                  <c:v>93</c:v>
                </c:pt>
                <c:pt idx="1749">
                  <c:v>70</c:v>
                </c:pt>
                <c:pt idx="1750">
                  <c:v>85</c:v>
                </c:pt>
                <c:pt idx="1751">
                  <c:v>40</c:v>
                </c:pt>
                <c:pt idx="1752">
                  <c:v>29</c:v>
                </c:pt>
                <c:pt idx="1753">
                  <c:v>27</c:v>
                </c:pt>
                <c:pt idx="1754">
                  <c:v>93</c:v>
                </c:pt>
                <c:pt idx="1755">
                  <c:v>20</c:v>
                </c:pt>
                <c:pt idx="1756">
                  <c:v>55</c:v>
                </c:pt>
                <c:pt idx="1757">
                  <c:v>94</c:v>
                </c:pt>
                <c:pt idx="1758">
                  <c:v>56</c:v>
                </c:pt>
                <c:pt idx="1759">
                  <c:v>58</c:v>
                </c:pt>
                <c:pt idx="1760">
                  <c:v>44</c:v>
                </c:pt>
                <c:pt idx="1761">
                  <c:v>95</c:v>
                </c:pt>
                <c:pt idx="1762">
                  <c:v>42</c:v>
                </c:pt>
                <c:pt idx="1763">
                  <c:v>93</c:v>
                </c:pt>
                <c:pt idx="1764">
                  <c:v>56</c:v>
                </c:pt>
                <c:pt idx="1765">
                  <c:v>88</c:v>
                </c:pt>
                <c:pt idx="1766">
                  <c:v>54</c:v>
                </c:pt>
                <c:pt idx="1767">
                  <c:v>89</c:v>
                </c:pt>
                <c:pt idx="1768">
                  <c:v>45</c:v>
                </c:pt>
                <c:pt idx="1769">
                  <c:v>75</c:v>
                </c:pt>
                <c:pt idx="1770">
                  <c:v>22</c:v>
                </c:pt>
                <c:pt idx="1771">
                  <c:v>82</c:v>
                </c:pt>
                <c:pt idx="1772">
                  <c:v>34</c:v>
                </c:pt>
                <c:pt idx="1773">
                  <c:v>92</c:v>
                </c:pt>
                <c:pt idx="1774">
                  <c:v>78</c:v>
                </c:pt>
                <c:pt idx="1775">
                  <c:v>47</c:v>
                </c:pt>
                <c:pt idx="1776">
                  <c:v>64</c:v>
                </c:pt>
                <c:pt idx="1777">
                  <c:v>44</c:v>
                </c:pt>
                <c:pt idx="1778">
                  <c:v>94</c:v>
                </c:pt>
                <c:pt idx="1779">
                  <c:v>62</c:v>
                </c:pt>
                <c:pt idx="1780">
                  <c:v>81</c:v>
                </c:pt>
                <c:pt idx="1781">
                  <c:v>33</c:v>
                </c:pt>
                <c:pt idx="1782">
                  <c:v>88</c:v>
                </c:pt>
                <c:pt idx="1783">
                  <c:v>49</c:v>
                </c:pt>
                <c:pt idx="1784">
                  <c:v>31</c:v>
                </c:pt>
                <c:pt idx="1785">
                  <c:v>29</c:v>
                </c:pt>
                <c:pt idx="1786">
                  <c:v>34</c:v>
                </c:pt>
                <c:pt idx="1787">
                  <c:v>38</c:v>
                </c:pt>
                <c:pt idx="1788">
                  <c:v>41</c:v>
                </c:pt>
                <c:pt idx="1789">
                  <c:v>34</c:v>
                </c:pt>
                <c:pt idx="1790">
                  <c:v>26</c:v>
                </c:pt>
                <c:pt idx="1791">
                  <c:v>98</c:v>
                </c:pt>
                <c:pt idx="1792">
                  <c:v>59</c:v>
                </c:pt>
                <c:pt idx="1793">
                  <c:v>92</c:v>
                </c:pt>
                <c:pt idx="1794">
                  <c:v>40</c:v>
                </c:pt>
                <c:pt idx="1795">
                  <c:v>20</c:v>
                </c:pt>
                <c:pt idx="1796">
                  <c:v>35</c:v>
                </c:pt>
                <c:pt idx="1797">
                  <c:v>35</c:v>
                </c:pt>
                <c:pt idx="1798">
                  <c:v>82</c:v>
                </c:pt>
                <c:pt idx="1799">
                  <c:v>48</c:v>
                </c:pt>
                <c:pt idx="1800">
                  <c:v>58</c:v>
                </c:pt>
                <c:pt idx="1801">
                  <c:v>57</c:v>
                </c:pt>
                <c:pt idx="1802">
                  <c:v>96</c:v>
                </c:pt>
                <c:pt idx="1803">
                  <c:v>97</c:v>
                </c:pt>
                <c:pt idx="1804">
                  <c:v>42</c:v>
                </c:pt>
                <c:pt idx="1805">
                  <c:v>62</c:v>
                </c:pt>
                <c:pt idx="1806">
                  <c:v>67</c:v>
                </c:pt>
                <c:pt idx="1807">
                  <c:v>46</c:v>
                </c:pt>
                <c:pt idx="1808">
                  <c:v>71</c:v>
                </c:pt>
                <c:pt idx="1809">
                  <c:v>99</c:v>
                </c:pt>
                <c:pt idx="1810">
                  <c:v>28</c:v>
                </c:pt>
                <c:pt idx="1811">
                  <c:v>77</c:v>
                </c:pt>
                <c:pt idx="1812">
                  <c:v>63</c:v>
                </c:pt>
                <c:pt idx="1813">
                  <c:v>62</c:v>
                </c:pt>
                <c:pt idx="1814">
                  <c:v>92</c:v>
                </c:pt>
                <c:pt idx="1815">
                  <c:v>72</c:v>
                </c:pt>
                <c:pt idx="1816">
                  <c:v>79</c:v>
                </c:pt>
                <c:pt idx="1817">
                  <c:v>27</c:v>
                </c:pt>
                <c:pt idx="1818">
                  <c:v>39</c:v>
                </c:pt>
                <c:pt idx="1819">
                  <c:v>86</c:v>
                </c:pt>
                <c:pt idx="1820">
                  <c:v>94</c:v>
                </c:pt>
                <c:pt idx="1821">
                  <c:v>53</c:v>
                </c:pt>
                <c:pt idx="1822">
                  <c:v>85</c:v>
                </c:pt>
                <c:pt idx="1823">
                  <c:v>50</c:v>
                </c:pt>
                <c:pt idx="1824">
                  <c:v>47</c:v>
                </c:pt>
                <c:pt idx="1825">
                  <c:v>75</c:v>
                </c:pt>
                <c:pt idx="1826">
                  <c:v>60</c:v>
                </c:pt>
                <c:pt idx="1827">
                  <c:v>36</c:v>
                </c:pt>
                <c:pt idx="1828">
                  <c:v>80</c:v>
                </c:pt>
                <c:pt idx="1829">
                  <c:v>96</c:v>
                </c:pt>
                <c:pt idx="1830">
                  <c:v>80</c:v>
                </c:pt>
                <c:pt idx="1831">
                  <c:v>71</c:v>
                </c:pt>
                <c:pt idx="1832">
                  <c:v>29</c:v>
                </c:pt>
                <c:pt idx="1833">
                  <c:v>53</c:v>
                </c:pt>
                <c:pt idx="1834">
                  <c:v>35</c:v>
                </c:pt>
                <c:pt idx="1835">
                  <c:v>75</c:v>
                </c:pt>
                <c:pt idx="1836">
                  <c:v>52</c:v>
                </c:pt>
                <c:pt idx="1837">
                  <c:v>77</c:v>
                </c:pt>
                <c:pt idx="1838">
                  <c:v>24</c:v>
                </c:pt>
                <c:pt idx="1839">
                  <c:v>78</c:v>
                </c:pt>
                <c:pt idx="1840">
                  <c:v>98</c:v>
                </c:pt>
                <c:pt idx="1841">
                  <c:v>57</c:v>
                </c:pt>
                <c:pt idx="1842">
                  <c:v>78</c:v>
                </c:pt>
                <c:pt idx="1843">
                  <c:v>76</c:v>
                </c:pt>
                <c:pt idx="1844">
                  <c:v>26</c:v>
                </c:pt>
                <c:pt idx="1845">
                  <c:v>78</c:v>
                </c:pt>
                <c:pt idx="1846">
                  <c:v>53</c:v>
                </c:pt>
                <c:pt idx="1847">
                  <c:v>100</c:v>
                </c:pt>
                <c:pt idx="1848">
                  <c:v>73</c:v>
                </c:pt>
                <c:pt idx="1849">
                  <c:v>40</c:v>
                </c:pt>
                <c:pt idx="1850">
                  <c:v>76</c:v>
                </c:pt>
                <c:pt idx="1851">
                  <c:v>80</c:v>
                </c:pt>
                <c:pt idx="1852">
                  <c:v>80</c:v>
                </c:pt>
                <c:pt idx="1853">
                  <c:v>67</c:v>
                </c:pt>
                <c:pt idx="1854">
                  <c:v>61</c:v>
                </c:pt>
                <c:pt idx="1855">
                  <c:v>76</c:v>
                </c:pt>
                <c:pt idx="1856">
                  <c:v>55</c:v>
                </c:pt>
                <c:pt idx="1857">
                  <c:v>85</c:v>
                </c:pt>
                <c:pt idx="1858">
                  <c:v>69</c:v>
                </c:pt>
                <c:pt idx="1859">
                  <c:v>26</c:v>
                </c:pt>
                <c:pt idx="1860">
                  <c:v>64</c:v>
                </c:pt>
                <c:pt idx="1861">
                  <c:v>60</c:v>
                </c:pt>
                <c:pt idx="1862">
                  <c:v>36</c:v>
                </c:pt>
                <c:pt idx="1863">
                  <c:v>21</c:v>
                </c:pt>
                <c:pt idx="1864">
                  <c:v>72</c:v>
                </c:pt>
                <c:pt idx="1865">
                  <c:v>62</c:v>
                </c:pt>
                <c:pt idx="1866">
                  <c:v>44</c:v>
                </c:pt>
                <c:pt idx="1867">
                  <c:v>52</c:v>
                </c:pt>
                <c:pt idx="1868">
                  <c:v>58</c:v>
                </c:pt>
                <c:pt idx="1869">
                  <c:v>77</c:v>
                </c:pt>
                <c:pt idx="1870">
                  <c:v>99</c:v>
                </c:pt>
                <c:pt idx="1871">
                  <c:v>96</c:v>
                </c:pt>
                <c:pt idx="1872">
                  <c:v>64</c:v>
                </c:pt>
                <c:pt idx="1873">
                  <c:v>44</c:v>
                </c:pt>
                <c:pt idx="1874">
                  <c:v>33</c:v>
                </c:pt>
                <c:pt idx="1875">
                  <c:v>71</c:v>
                </c:pt>
                <c:pt idx="1876">
                  <c:v>36</c:v>
                </c:pt>
                <c:pt idx="1877">
                  <c:v>62</c:v>
                </c:pt>
                <c:pt idx="1878">
                  <c:v>29</c:v>
                </c:pt>
                <c:pt idx="1879">
                  <c:v>33</c:v>
                </c:pt>
                <c:pt idx="1880">
                  <c:v>33</c:v>
                </c:pt>
                <c:pt idx="1881">
                  <c:v>41</c:v>
                </c:pt>
                <c:pt idx="1882">
                  <c:v>54</c:v>
                </c:pt>
                <c:pt idx="1883">
                  <c:v>58</c:v>
                </c:pt>
                <c:pt idx="1884">
                  <c:v>30</c:v>
                </c:pt>
                <c:pt idx="1885">
                  <c:v>53</c:v>
                </c:pt>
                <c:pt idx="1886">
                  <c:v>91</c:v>
                </c:pt>
                <c:pt idx="1887">
                  <c:v>44</c:v>
                </c:pt>
                <c:pt idx="1888">
                  <c:v>89</c:v>
                </c:pt>
                <c:pt idx="1889">
                  <c:v>57</c:v>
                </c:pt>
                <c:pt idx="1890">
                  <c:v>57</c:v>
                </c:pt>
                <c:pt idx="1891">
                  <c:v>74</c:v>
                </c:pt>
                <c:pt idx="1892">
                  <c:v>30</c:v>
                </c:pt>
                <c:pt idx="1893">
                  <c:v>20</c:v>
                </c:pt>
                <c:pt idx="1894">
                  <c:v>90</c:v>
                </c:pt>
                <c:pt idx="1895">
                  <c:v>61</c:v>
                </c:pt>
                <c:pt idx="1896">
                  <c:v>51</c:v>
                </c:pt>
                <c:pt idx="1897">
                  <c:v>97</c:v>
                </c:pt>
                <c:pt idx="1898">
                  <c:v>97</c:v>
                </c:pt>
                <c:pt idx="1899">
                  <c:v>40</c:v>
                </c:pt>
                <c:pt idx="1900">
                  <c:v>85</c:v>
                </c:pt>
                <c:pt idx="1901">
                  <c:v>76</c:v>
                </c:pt>
                <c:pt idx="1902">
                  <c:v>22</c:v>
                </c:pt>
                <c:pt idx="1903">
                  <c:v>63</c:v>
                </c:pt>
                <c:pt idx="1904">
                  <c:v>71</c:v>
                </c:pt>
                <c:pt idx="1905">
                  <c:v>35</c:v>
                </c:pt>
                <c:pt idx="1906">
                  <c:v>30</c:v>
                </c:pt>
                <c:pt idx="1907">
                  <c:v>74</c:v>
                </c:pt>
                <c:pt idx="1908">
                  <c:v>71</c:v>
                </c:pt>
                <c:pt idx="1909">
                  <c:v>84</c:v>
                </c:pt>
                <c:pt idx="1910">
                  <c:v>38</c:v>
                </c:pt>
                <c:pt idx="1911">
                  <c:v>81</c:v>
                </c:pt>
                <c:pt idx="1912">
                  <c:v>56</c:v>
                </c:pt>
                <c:pt idx="1913">
                  <c:v>48</c:v>
                </c:pt>
                <c:pt idx="1914">
                  <c:v>97</c:v>
                </c:pt>
                <c:pt idx="1915">
                  <c:v>74</c:v>
                </c:pt>
                <c:pt idx="1916">
                  <c:v>50</c:v>
                </c:pt>
                <c:pt idx="1917">
                  <c:v>71</c:v>
                </c:pt>
                <c:pt idx="1918">
                  <c:v>33</c:v>
                </c:pt>
                <c:pt idx="1919">
                  <c:v>56</c:v>
                </c:pt>
                <c:pt idx="1920">
                  <c:v>84</c:v>
                </c:pt>
                <c:pt idx="1921">
                  <c:v>36</c:v>
                </c:pt>
                <c:pt idx="1922">
                  <c:v>63</c:v>
                </c:pt>
                <c:pt idx="1923">
                  <c:v>36</c:v>
                </c:pt>
                <c:pt idx="1924">
                  <c:v>63</c:v>
                </c:pt>
                <c:pt idx="1925">
                  <c:v>32</c:v>
                </c:pt>
                <c:pt idx="1926">
                  <c:v>93</c:v>
                </c:pt>
                <c:pt idx="1927">
                  <c:v>29</c:v>
                </c:pt>
                <c:pt idx="1928">
                  <c:v>92</c:v>
                </c:pt>
                <c:pt idx="1929">
                  <c:v>33</c:v>
                </c:pt>
                <c:pt idx="1930">
                  <c:v>52</c:v>
                </c:pt>
                <c:pt idx="1931">
                  <c:v>42</c:v>
                </c:pt>
                <c:pt idx="1932">
                  <c:v>36</c:v>
                </c:pt>
                <c:pt idx="1933">
                  <c:v>67</c:v>
                </c:pt>
                <c:pt idx="1934">
                  <c:v>43</c:v>
                </c:pt>
                <c:pt idx="1935">
                  <c:v>68</c:v>
                </c:pt>
                <c:pt idx="1936">
                  <c:v>60</c:v>
                </c:pt>
                <c:pt idx="1937">
                  <c:v>53</c:v>
                </c:pt>
                <c:pt idx="1938">
                  <c:v>23</c:v>
                </c:pt>
                <c:pt idx="1939">
                  <c:v>57</c:v>
                </c:pt>
                <c:pt idx="1940">
                  <c:v>89</c:v>
                </c:pt>
                <c:pt idx="1941">
                  <c:v>99</c:v>
                </c:pt>
                <c:pt idx="1942">
                  <c:v>28</c:v>
                </c:pt>
                <c:pt idx="1943">
                  <c:v>53</c:v>
                </c:pt>
                <c:pt idx="1944">
                  <c:v>45</c:v>
                </c:pt>
                <c:pt idx="1945">
                  <c:v>38</c:v>
                </c:pt>
                <c:pt idx="1946">
                  <c:v>49</c:v>
                </c:pt>
                <c:pt idx="1947">
                  <c:v>32</c:v>
                </c:pt>
                <c:pt idx="1948">
                  <c:v>37</c:v>
                </c:pt>
                <c:pt idx="1949">
                  <c:v>80</c:v>
                </c:pt>
                <c:pt idx="1950">
                  <c:v>78</c:v>
                </c:pt>
                <c:pt idx="1951">
                  <c:v>53</c:v>
                </c:pt>
                <c:pt idx="1952">
                  <c:v>82</c:v>
                </c:pt>
                <c:pt idx="1953">
                  <c:v>33</c:v>
                </c:pt>
                <c:pt idx="1954">
                  <c:v>77</c:v>
                </c:pt>
                <c:pt idx="1955">
                  <c:v>56</c:v>
                </c:pt>
                <c:pt idx="1956">
                  <c:v>37</c:v>
                </c:pt>
                <c:pt idx="1957">
                  <c:v>54</c:v>
                </c:pt>
                <c:pt idx="1958">
                  <c:v>67</c:v>
                </c:pt>
                <c:pt idx="1959">
                  <c:v>90</c:v>
                </c:pt>
                <c:pt idx="1960">
                  <c:v>72</c:v>
                </c:pt>
                <c:pt idx="1961">
                  <c:v>59</c:v>
                </c:pt>
                <c:pt idx="1962">
                  <c:v>45</c:v>
                </c:pt>
                <c:pt idx="1963">
                  <c:v>30</c:v>
                </c:pt>
                <c:pt idx="1964">
                  <c:v>51</c:v>
                </c:pt>
                <c:pt idx="1965">
                  <c:v>90</c:v>
                </c:pt>
                <c:pt idx="1966">
                  <c:v>95</c:v>
                </c:pt>
                <c:pt idx="1967">
                  <c:v>81</c:v>
                </c:pt>
                <c:pt idx="1968">
                  <c:v>70</c:v>
                </c:pt>
                <c:pt idx="1969">
                  <c:v>32</c:v>
                </c:pt>
                <c:pt idx="1970">
                  <c:v>94</c:v>
                </c:pt>
                <c:pt idx="1971">
                  <c:v>29</c:v>
                </c:pt>
                <c:pt idx="1972">
                  <c:v>31</c:v>
                </c:pt>
                <c:pt idx="1973">
                  <c:v>20</c:v>
                </c:pt>
                <c:pt idx="1974">
                  <c:v>44</c:v>
                </c:pt>
                <c:pt idx="1975">
                  <c:v>77</c:v>
                </c:pt>
                <c:pt idx="1976">
                  <c:v>51</c:v>
                </c:pt>
                <c:pt idx="1977">
                  <c:v>49</c:v>
                </c:pt>
                <c:pt idx="1978">
                  <c:v>78</c:v>
                </c:pt>
                <c:pt idx="1979">
                  <c:v>98</c:v>
                </c:pt>
                <c:pt idx="1980">
                  <c:v>94</c:v>
                </c:pt>
                <c:pt idx="1981">
                  <c:v>91</c:v>
                </c:pt>
                <c:pt idx="1982">
                  <c:v>77</c:v>
                </c:pt>
                <c:pt idx="1983">
                  <c:v>97</c:v>
                </c:pt>
                <c:pt idx="1984">
                  <c:v>58</c:v>
                </c:pt>
                <c:pt idx="1985">
                  <c:v>97</c:v>
                </c:pt>
                <c:pt idx="1986">
                  <c:v>48</c:v>
                </c:pt>
                <c:pt idx="1987">
                  <c:v>23</c:v>
                </c:pt>
                <c:pt idx="1988">
                  <c:v>79</c:v>
                </c:pt>
                <c:pt idx="1989">
                  <c:v>42</c:v>
                </c:pt>
                <c:pt idx="1990">
                  <c:v>95</c:v>
                </c:pt>
                <c:pt idx="1991">
                  <c:v>29</c:v>
                </c:pt>
                <c:pt idx="1992">
                  <c:v>98</c:v>
                </c:pt>
                <c:pt idx="1993">
                  <c:v>96</c:v>
                </c:pt>
                <c:pt idx="1994">
                  <c:v>66</c:v>
                </c:pt>
                <c:pt idx="1995">
                  <c:v>80</c:v>
                </c:pt>
                <c:pt idx="1996">
                  <c:v>27</c:v>
                </c:pt>
                <c:pt idx="1997">
                  <c:v>25</c:v>
                </c:pt>
                <c:pt idx="1998">
                  <c:v>45</c:v>
                </c:pt>
                <c:pt idx="1999">
                  <c:v>89</c:v>
                </c:pt>
                <c:pt idx="2000">
                  <c:v>27</c:v>
                </c:pt>
                <c:pt idx="2001">
                  <c:v>90</c:v>
                </c:pt>
                <c:pt idx="2002">
                  <c:v>65</c:v>
                </c:pt>
                <c:pt idx="2003">
                  <c:v>72</c:v>
                </c:pt>
                <c:pt idx="2004">
                  <c:v>70</c:v>
                </c:pt>
                <c:pt idx="2005">
                  <c:v>82</c:v>
                </c:pt>
                <c:pt idx="2006">
                  <c:v>97</c:v>
                </c:pt>
                <c:pt idx="2007">
                  <c:v>25</c:v>
                </c:pt>
                <c:pt idx="2008">
                  <c:v>48</c:v>
                </c:pt>
                <c:pt idx="2009">
                  <c:v>99</c:v>
                </c:pt>
                <c:pt idx="2010">
                  <c:v>21</c:v>
                </c:pt>
                <c:pt idx="2011">
                  <c:v>94</c:v>
                </c:pt>
                <c:pt idx="2012">
                  <c:v>53</c:v>
                </c:pt>
                <c:pt idx="2013">
                  <c:v>70</c:v>
                </c:pt>
                <c:pt idx="2014">
                  <c:v>26</c:v>
                </c:pt>
                <c:pt idx="2015">
                  <c:v>82</c:v>
                </c:pt>
                <c:pt idx="2016">
                  <c:v>47</c:v>
                </c:pt>
                <c:pt idx="2017">
                  <c:v>32</c:v>
                </c:pt>
                <c:pt idx="2018">
                  <c:v>97</c:v>
                </c:pt>
                <c:pt idx="2019">
                  <c:v>68</c:v>
                </c:pt>
                <c:pt idx="2020">
                  <c:v>23</c:v>
                </c:pt>
                <c:pt idx="2021">
                  <c:v>33</c:v>
                </c:pt>
                <c:pt idx="2022">
                  <c:v>38</c:v>
                </c:pt>
                <c:pt idx="2023">
                  <c:v>68</c:v>
                </c:pt>
                <c:pt idx="2024">
                  <c:v>23</c:v>
                </c:pt>
                <c:pt idx="2025">
                  <c:v>29</c:v>
                </c:pt>
                <c:pt idx="2026">
                  <c:v>35</c:v>
                </c:pt>
                <c:pt idx="2027">
                  <c:v>73</c:v>
                </c:pt>
                <c:pt idx="2028">
                  <c:v>84</c:v>
                </c:pt>
                <c:pt idx="2029">
                  <c:v>23</c:v>
                </c:pt>
                <c:pt idx="2030">
                  <c:v>67</c:v>
                </c:pt>
                <c:pt idx="2031">
                  <c:v>51</c:v>
                </c:pt>
                <c:pt idx="2032">
                  <c:v>36</c:v>
                </c:pt>
                <c:pt idx="2033">
                  <c:v>55</c:v>
                </c:pt>
                <c:pt idx="2034">
                  <c:v>30</c:v>
                </c:pt>
                <c:pt idx="2035">
                  <c:v>70</c:v>
                </c:pt>
                <c:pt idx="2036">
                  <c:v>63</c:v>
                </c:pt>
                <c:pt idx="2037">
                  <c:v>87</c:v>
                </c:pt>
                <c:pt idx="2038">
                  <c:v>70</c:v>
                </c:pt>
                <c:pt idx="2039">
                  <c:v>51</c:v>
                </c:pt>
                <c:pt idx="2040">
                  <c:v>25</c:v>
                </c:pt>
                <c:pt idx="2041">
                  <c:v>32</c:v>
                </c:pt>
                <c:pt idx="2042">
                  <c:v>52</c:v>
                </c:pt>
                <c:pt idx="2043">
                  <c:v>33</c:v>
                </c:pt>
                <c:pt idx="2044">
                  <c:v>68</c:v>
                </c:pt>
                <c:pt idx="2045">
                  <c:v>20</c:v>
                </c:pt>
                <c:pt idx="2046">
                  <c:v>32</c:v>
                </c:pt>
                <c:pt idx="2047">
                  <c:v>82</c:v>
                </c:pt>
                <c:pt idx="2048">
                  <c:v>64</c:v>
                </c:pt>
                <c:pt idx="2049">
                  <c:v>24</c:v>
                </c:pt>
                <c:pt idx="2050">
                  <c:v>96</c:v>
                </c:pt>
                <c:pt idx="2051">
                  <c:v>94</c:v>
                </c:pt>
                <c:pt idx="2052">
                  <c:v>48</c:v>
                </c:pt>
                <c:pt idx="2053">
                  <c:v>60</c:v>
                </c:pt>
                <c:pt idx="2054">
                  <c:v>56</c:v>
                </c:pt>
                <c:pt idx="2055">
                  <c:v>33</c:v>
                </c:pt>
                <c:pt idx="2056">
                  <c:v>46</c:v>
                </c:pt>
                <c:pt idx="2057">
                  <c:v>37</c:v>
                </c:pt>
                <c:pt idx="2058">
                  <c:v>98</c:v>
                </c:pt>
                <c:pt idx="2059">
                  <c:v>50</c:v>
                </c:pt>
                <c:pt idx="2060">
                  <c:v>63</c:v>
                </c:pt>
                <c:pt idx="2061">
                  <c:v>70</c:v>
                </c:pt>
                <c:pt idx="2062">
                  <c:v>63</c:v>
                </c:pt>
                <c:pt idx="2063">
                  <c:v>86</c:v>
                </c:pt>
                <c:pt idx="2064">
                  <c:v>99</c:v>
                </c:pt>
                <c:pt idx="2065">
                  <c:v>40</c:v>
                </c:pt>
                <c:pt idx="2066">
                  <c:v>92</c:v>
                </c:pt>
                <c:pt idx="2067">
                  <c:v>21</c:v>
                </c:pt>
                <c:pt idx="2068">
                  <c:v>81</c:v>
                </c:pt>
                <c:pt idx="2069">
                  <c:v>82</c:v>
                </c:pt>
                <c:pt idx="2070">
                  <c:v>88</c:v>
                </c:pt>
                <c:pt idx="2071">
                  <c:v>100</c:v>
                </c:pt>
                <c:pt idx="2072">
                  <c:v>66</c:v>
                </c:pt>
                <c:pt idx="2073">
                  <c:v>25</c:v>
                </c:pt>
                <c:pt idx="2074">
                  <c:v>53</c:v>
                </c:pt>
                <c:pt idx="2075">
                  <c:v>28</c:v>
                </c:pt>
                <c:pt idx="2076">
                  <c:v>23</c:v>
                </c:pt>
                <c:pt idx="2077">
                  <c:v>34</c:v>
                </c:pt>
                <c:pt idx="2078">
                  <c:v>42</c:v>
                </c:pt>
                <c:pt idx="2079">
                  <c:v>24</c:v>
                </c:pt>
                <c:pt idx="2080">
                  <c:v>47</c:v>
                </c:pt>
                <c:pt idx="2081">
                  <c:v>78</c:v>
                </c:pt>
                <c:pt idx="2082">
                  <c:v>89</c:v>
                </c:pt>
                <c:pt idx="2083">
                  <c:v>59</c:v>
                </c:pt>
                <c:pt idx="2084">
                  <c:v>94</c:v>
                </c:pt>
                <c:pt idx="2085">
                  <c:v>49</c:v>
                </c:pt>
                <c:pt idx="2086">
                  <c:v>89</c:v>
                </c:pt>
                <c:pt idx="2087">
                  <c:v>91</c:v>
                </c:pt>
                <c:pt idx="2088">
                  <c:v>89</c:v>
                </c:pt>
                <c:pt idx="2089">
                  <c:v>57</c:v>
                </c:pt>
                <c:pt idx="2090">
                  <c:v>71</c:v>
                </c:pt>
                <c:pt idx="2091">
                  <c:v>97</c:v>
                </c:pt>
                <c:pt idx="2092">
                  <c:v>45</c:v>
                </c:pt>
                <c:pt idx="2093">
                  <c:v>91</c:v>
                </c:pt>
                <c:pt idx="2094">
                  <c:v>25</c:v>
                </c:pt>
                <c:pt idx="2095">
                  <c:v>63</c:v>
                </c:pt>
                <c:pt idx="2096">
                  <c:v>52</c:v>
                </c:pt>
                <c:pt idx="2097">
                  <c:v>43</c:v>
                </c:pt>
                <c:pt idx="2098">
                  <c:v>28</c:v>
                </c:pt>
                <c:pt idx="2099">
                  <c:v>78</c:v>
                </c:pt>
                <c:pt idx="2100">
                  <c:v>31</c:v>
                </c:pt>
                <c:pt idx="2101">
                  <c:v>23</c:v>
                </c:pt>
                <c:pt idx="2102">
                  <c:v>25</c:v>
                </c:pt>
                <c:pt idx="2103">
                  <c:v>86</c:v>
                </c:pt>
                <c:pt idx="2104">
                  <c:v>88</c:v>
                </c:pt>
                <c:pt idx="2105">
                  <c:v>35</c:v>
                </c:pt>
                <c:pt idx="2106">
                  <c:v>34</c:v>
                </c:pt>
                <c:pt idx="2107">
                  <c:v>75</c:v>
                </c:pt>
                <c:pt idx="2108">
                  <c:v>46</c:v>
                </c:pt>
                <c:pt idx="2109">
                  <c:v>31</c:v>
                </c:pt>
                <c:pt idx="2110">
                  <c:v>93</c:v>
                </c:pt>
                <c:pt idx="2111">
                  <c:v>85</c:v>
                </c:pt>
                <c:pt idx="2112">
                  <c:v>68</c:v>
                </c:pt>
                <c:pt idx="2113">
                  <c:v>40</c:v>
                </c:pt>
                <c:pt idx="2114">
                  <c:v>51</c:v>
                </c:pt>
                <c:pt idx="2115">
                  <c:v>85</c:v>
                </c:pt>
                <c:pt idx="2116">
                  <c:v>23</c:v>
                </c:pt>
                <c:pt idx="2117">
                  <c:v>28</c:v>
                </c:pt>
                <c:pt idx="2118">
                  <c:v>44</c:v>
                </c:pt>
                <c:pt idx="2119">
                  <c:v>57</c:v>
                </c:pt>
                <c:pt idx="2120">
                  <c:v>98</c:v>
                </c:pt>
                <c:pt idx="2121">
                  <c:v>68</c:v>
                </c:pt>
                <c:pt idx="2122">
                  <c:v>36</c:v>
                </c:pt>
                <c:pt idx="2123">
                  <c:v>71</c:v>
                </c:pt>
                <c:pt idx="2124">
                  <c:v>60</c:v>
                </c:pt>
                <c:pt idx="2125">
                  <c:v>87</c:v>
                </c:pt>
                <c:pt idx="2126">
                  <c:v>38</c:v>
                </c:pt>
                <c:pt idx="2127">
                  <c:v>45</c:v>
                </c:pt>
                <c:pt idx="2128">
                  <c:v>47</c:v>
                </c:pt>
                <c:pt idx="2129">
                  <c:v>57</c:v>
                </c:pt>
                <c:pt idx="2130">
                  <c:v>68</c:v>
                </c:pt>
                <c:pt idx="2131">
                  <c:v>52</c:v>
                </c:pt>
                <c:pt idx="2132">
                  <c:v>87</c:v>
                </c:pt>
                <c:pt idx="2133">
                  <c:v>34</c:v>
                </c:pt>
                <c:pt idx="2134">
                  <c:v>41</c:v>
                </c:pt>
                <c:pt idx="2135">
                  <c:v>94</c:v>
                </c:pt>
                <c:pt idx="2136">
                  <c:v>93</c:v>
                </c:pt>
                <c:pt idx="2137">
                  <c:v>51</c:v>
                </c:pt>
                <c:pt idx="2138">
                  <c:v>42</c:v>
                </c:pt>
                <c:pt idx="2139">
                  <c:v>95</c:v>
                </c:pt>
                <c:pt idx="2140">
                  <c:v>90</c:v>
                </c:pt>
                <c:pt idx="2141">
                  <c:v>98</c:v>
                </c:pt>
                <c:pt idx="2142">
                  <c:v>39</c:v>
                </c:pt>
                <c:pt idx="2143">
                  <c:v>66</c:v>
                </c:pt>
                <c:pt idx="2144">
                  <c:v>23</c:v>
                </c:pt>
                <c:pt idx="2145">
                  <c:v>73</c:v>
                </c:pt>
                <c:pt idx="2146">
                  <c:v>23</c:v>
                </c:pt>
                <c:pt idx="2147">
                  <c:v>43</c:v>
                </c:pt>
                <c:pt idx="2148">
                  <c:v>45</c:v>
                </c:pt>
                <c:pt idx="2149">
                  <c:v>21</c:v>
                </c:pt>
                <c:pt idx="2150">
                  <c:v>40</c:v>
                </c:pt>
                <c:pt idx="2151">
                  <c:v>58</c:v>
                </c:pt>
                <c:pt idx="2152">
                  <c:v>48</c:v>
                </c:pt>
                <c:pt idx="2153">
                  <c:v>94</c:v>
                </c:pt>
                <c:pt idx="2154">
                  <c:v>74</c:v>
                </c:pt>
                <c:pt idx="2155">
                  <c:v>51</c:v>
                </c:pt>
                <c:pt idx="2156">
                  <c:v>83</c:v>
                </c:pt>
                <c:pt idx="2157">
                  <c:v>68</c:v>
                </c:pt>
                <c:pt idx="2158">
                  <c:v>84</c:v>
                </c:pt>
                <c:pt idx="2159">
                  <c:v>58</c:v>
                </c:pt>
                <c:pt idx="2160">
                  <c:v>92</c:v>
                </c:pt>
                <c:pt idx="2161">
                  <c:v>69</c:v>
                </c:pt>
                <c:pt idx="2162">
                  <c:v>48</c:v>
                </c:pt>
                <c:pt idx="2163">
                  <c:v>60</c:v>
                </c:pt>
                <c:pt idx="2164">
                  <c:v>20</c:v>
                </c:pt>
                <c:pt idx="2165">
                  <c:v>55</c:v>
                </c:pt>
                <c:pt idx="2166">
                  <c:v>88</c:v>
                </c:pt>
                <c:pt idx="2167">
                  <c:v>48</c:v>
                </c:pt>
                <c:pt idx="2168">
                  <c:v>74</c:v>
                </c:pt>
                <c:pt idx="2169">
                  <c:v>42</c:v>
                </c:pt>
                <c:pt idx="2170">
                  <c:v>32</c:v>
                </c:pt>
                <c:pt idx="2171">
                  <c:v>98</c:v>
                </c:pt>
                <c:pt idx="2172">
                  <c:v>89</c:v>
                </c:pt>
                <c:pt idx="2173">
                  <c:v>97</c:v>
                </c:pt>
                <c:pt idx="2174">
                  <c:v>49</c:v>
                </c:pt>
                <c:pt idx="2175">
                  <c:v>50</c:v>
                </c:pt>
                <c:pt idx="2176">
                  <c:v>91</c:v>
                </c:pt>
                <c:pt idx="2177">
                  <c:v>93</c:v>
                </c:pt>
                <c:pt idx="2178">
                  <c:v>98</c:v>
                </c:pt>
                <c:pt idx="2179">
                  <c:v>82</c:v>
                </c:pt>
                <c:pt idx="2180">
                  <c:v>37</c:v>
                </c:pt>
                <c:pt idx="2181">
                  <c:v>63</c:v>
                </c:pt>
                <c:pt idx="2182">
                  <c:v>99</c:v>
                </c:pt>
                <c:pt idx="2183">
                  <c:v>37</c:v>
                </c:pt>
                <c:pt idx="2184">
                  <c:v>34</c:v>
                </c:pt>
                <c:pt idx="2185">
                  <c:v>32</c:v>
                </c:pt>
                <c:pt idx="2186">
                  <c:v>23</c:v>
                </c:pt>
                <c:pt idx="2187">
                  <c:v>78</c:v>
                </c:pt>
                <c:pt idx="2188">
                  <c:v>54</c:v>
                </c:pt>
                <c:pt idx="2189">
                  <c:v>94</c:v>
                </c:pt>
                <c:pt idx="2190">
                  <c:v>75</c:v>
                </c:pt>
                <c:pt idx="2191">
                  <c:v>69</c:v>
                </c:pt>
                <c:pt idx="2192">
                  <c:v>35</c:v>
                </c:pt>
                <c:pt idx="2193">
                  <c:v>78</c:v>
                </c:pt>
                <c:pt idx="2194">
                  <c:v>29</c:v>
                </c:pt>
                <c:pt idx="2195">
                  <c:v>62</c:v>
                </c:pt>
                <c:pt idx="2196">
                  <c:v>58</c:v>
                </c:pt>
                <c:pt idx="2197">
                  <c:v>88</c:v>
                </c:pt>
                <c:pt idx="2198">
                  <c:v>80</c:v>
                </c:pt>
                <c:pt idx="2199">
                  <c:v>47</c:v>
                </c:pt>
                <c:pt idx="2200">
                  <c:v>51</c:v>
                </c:pt>
                <c:pt idx="2201">
                  <c:v>25</c:v>
                </c:pt>
                <c:pt idx="2202">
                  <c:v>36</c:v>
                </c:pt>
                <c:pt idx="2203">
                  <c:v>79</c:v>
                </c:pt>
                <c:pt idx="2204">
                  <c:v>41</c:v>
                </c:pt>
                <c:pt idx="2205">
                  <c:v>68</c:v>
                </c:pt>
                <c:pt idx="2206">
                  <c:v>51</c:v>
                </c:pt>
                <c:pt idx="2207">
                  <c:v>38</c:v>
                </c:pt>
                <c:pt idx="2208">
                  <c:v>46</c:v>
                </c:pt>
                <c:pt idx="2209">
                  <c:v>20</c:v>
                </c:pt>
                <c:pt idx="2210">
                  <c:v>25</c:v>
                </c:pt>
                <c:pt idx="2211">
                  <c:v>89</c:v>
                </c:pt>
                <c:pt idx="2212">
                  <c:v>77</c:v>
                </c:pt>
                <c:pt idx="2213">
                  <c:v>94</c:v>
                </c:pt>
                <c:pt idx="2214">
                  <c:v>100</c:v>
                </c:pt>
                <c:pt idx="2215">
                  <c:v>96</c:v>
                </c:pt>
                <c:pt idx="2216">
                  <c:v>36</c:v>
                </c:pt>
                <c:pt idx="2217">
                  <c:v>27</c:v>
                </c:pt>
                <c:pt idx="2218">
                  <c:v>67</c:v>
                </c:pt>
                <c:pt idx="2219">
                  <c:v>91</c:v>
                </c:pt>
                <c:pt idx="2220">
                  <c:v>62</c:v>
                </c:pt>
                <c:pt idx="2221">
                  <c:v>88</c:v>
                </c:pt>
                <c:pt idx="2222">
                  <c:v>66</c:v>
                </c:pt>
                <c:pt idx="2223">
                  <c:v>65</c:v>
                </c:pt>
                <c:pt idx="2224">
                  <c:v>25</c:v>
                </c:pt>
                <c:pt idx="2225">
                  <c:v>64</c:v>
                </c:pt>
                <c:pt idx="2226">
                  <c:v>72</c:v>
                </c:pt>
                <c:pt idx="2227">
                  <c:v>74</c:v>
                </c:pt>
                <c:pt idx="2228">
                  <c:v>50</c:v>
                </c:pt>
                <c:pt idx="2229">
                  <c:v>97</c:v>
                </c:pt>
                <c:pt idx="2230">
                  <c:v>36</c:v>
                </c:pt>
                <c:pt idx="2231">
                  <c:v>49</c:v>
                </c:pt>
                <c:pt idx="2232">
                  <c:v>64</c:v>
                </c:pt>
                <c:pt idx="2233">
                  <c:v>31</c:v>
                </c:pt>
                <c:pt idx="2234">
                  <c:v>66</c:v>
                </c:pt>
                <c:pt idx="2235">
                  <c:v>82</c:v>
                </c:pt>
                <c:pt idx="2236">
                  <c:v>88</c:v>
                </c:pt>
                <c:pt idx="2237">
                  <c:v>34</c:v>
                </c:pt>
                <c:pt idx="2238">
                  <c:v>84</c:v>
                </c:pt>
                <c:pt idx="2239">
                  <c:v>96</c:v>
                </c:pt>
                <c:pt idx="2240">
                  <c:v>71</c:v>
                </c:pt>
                <c:pt idx="2241">
                  <c:v>77</c:v>
                </c:pt>
                <c:pt idx="2242">
                  <c:v>66</c:v>
                </c:pt>
                <c:pt idx="2243">
                  <c:v>21</c:v>
                </c:pt>
                <c:pt idx="2244">
                  <c:v>37</c:v>
                </c:pt>
                <c:pt idx="2245">
                  <c:v>90</c:v>
                </c:pt>
                <c:pt idx="2246">
                  <c:v>96</c:v>
                </c:pt>
                <c:pt idx="2247">
                  <c:v>37</c:v>
                </c:pt>
                <c:pt idx="2248">
                  <c:v>66</c:v>
                </c:pt>
                <c:pt idx="2249">
                  <c:v>45</c:v>
                </c:pt>
                <c:pt idx="2250">
                  <c:v>89</c:v>
                </c:pt>
                <c:pt idx="2251">
                  <c:v>94</c:v>
                </c:pt>
                <c:pt idx="2252">
                  <c:v>96</c:v>
                </c:pt>
                <c:pt idx="2253">
                  <c:v>31</c:v>
                </c:pt>
                <c:pt idx="2254">
                  <c:v>79</c:v>
                </c:pt>
                <c:pt idx="2255">
                  <c:v>39</c:v>
                </c:pt>
                <c:pt idx="2256">
                  <c:v>22</c:v>
                </c:pt>
                <c:pt idx="2257">
                  <c:v>32</c:v>
                </c:pt>
                <c:pt idx="2258">
                  <c:v>71</c:v>
                </c:pt>
                <c:pt idx="2259">
                  <c:v>96</c:v>
                </c:pt>
                <c:pt idx="2260">
                  <c:v>82</c:v>
                </c:pt>
                <c:pt idx="2261">
                  <c:v>76</c:v>
                </c:pt>
                <c:pt idx="2262">
                  <c:v>22</c:v>
                </c:pt>
                <c:pt idx="2263">
                  <c:v>40</c:v>
                </c:pt>
                <c:pt idx="2264">
                  <c:v>92</c:v>
                </c:pt>
                <c:pt idx="2265">
                  <c:v>94</c:v>
                </c:pt>
                <c:pt idx="2266">
                  <c:v>44</c:v>
                </c:pt>
                <c:pt idx="2267">
                  <c:v>49</c:v>
                </c:pt>
                <c:pt idx="2268">
                  <c:v>26</c:v>
                </c:pt>
                <c:pt idx="2269">
                  <c:v>38</c:v>
                </c:pt>
                <c:pt idx="2270">
                  <c:v>72</c:v>
                </c:pt>
                <c:pt idx="2271">
                  <c:v>99</c:v>
                </c:pt>
                <c:pt idx="2272">
                  <c:v>38</c:v>
                </c:pt>
                <c:pt idx="2273">
                  <c:v>96</c:v>
                </c:pt>
                <c:pt idx="2274">
                  <c:v>27</c:v>
                </c:pt>
                <c:pt idx="2275">
                  <c:v>24</c:v>
                </c:pt>
                <c:pt idx="2276">
                  <c:v>82</c:v>
                </c:pt>
                <c:pt idx="2277">
                  <c:v>56</c:v>
                </c:pt>
                <c:pt idx="2278">
                  <c:v>25</c:v>
                </c:pt>
                <c:pt idx="2279">
                  <c:v>67</c:v>
                </c:pt>
                <c:pt idx="2280">
                  <c:v>21</c:v>
                </c:pt>
                <c:pt idx="2281">
                  <c:v>27</c:v>
                </c:pt>
                <c:pt idx="2282">
                  <c:v>97</c:v>
                </c:pt>
                <c:pt idx="2283">
                  <c:v>45</c:v>
                </c:pt>
                <c:pt idx="2284">
                  <c:v>63</c:v>
                </c:pt>
                <c:pt idx="2285">
                  <c:v>100</c:v>
                </c:pt>
                <c:pt idx="2286">
                  <c:v>38</c:v>
                </c:pt>
                <c:pt idx="2287">
                  <c:v>45</c:v>
                </c:pt>
                <c:pt idx="2288">
                  <c:v>91</c:v>
                </c:pt>
                <c:pt idx="2289">
                  <c:v>82</c:v>
                </c:pt>
                <c:pt idx="2290">
                  <c:v>48</c:v>
                </c:pt>
                <c:pt idx="2291">
                  <c:v>30</c:v>
                </c:pt>
                <c:pt idx="2292">
                  <c:v>34</c:v>
                </c:pt>
                <c:pt idx="2293">
                  <c:v>68</c:v>
                </c:pt>
                <c:pt idx="2294">
                  <c:v>95</c:v>
                </c:pt>
                <c:pt idx="2295">
                  <c:v>22</c:v>
                </c:pt>
                <c:pt idx="2296">
                  <c:v>88</c:v>
                </c:pt>
                <c:pt idx="2297">
                  <c:v>83</c:v>
                </c:pt>
                <c:pt idx="2298">
                  <c:v>87</c:v>
                </c:pt>
                <c:pt idx="2299">
                  <c:v>57</c:v>
                </c:pt>
                <c:pt idx="2300">
                  <c:v>88</c:v>
                </c:pt>
                <c:pt idx="2301">
                  <c:v>20</c:v>
                </c:pt>
                <c:pt idx="2302">
                  <c:v>39</c:v>
                </c:pt>
                <c:pt idx="2303">
                  <c:v>71</c:v>
                </c:pt>
                <c:pt idx="2304">
                  <c:v>73</c:v>
                </c:pt>
                <c:pt idx="2305">
                  <c:v>63</c:v>
                </c:pt>
                <c:pt idx="2306">
                  <c:v>78</c:v>
                </c:pt>
                <c:pt idx="2307">
                  <c:v>96</c:v>
                </c:pt>
                <c:pt idx="2308">
                  <c:v>81</c:v>
                </c:pt>
                <c:pt idx="2309">
                  <c:v>95</c:v>
                </c:pt>
                <c:pt idx="2310">
                  <c:v>68</c:v>
                </c:pt>
                <c:pt idx="2311">
                  <c:v>28</c:v>
                </c:pt>
                <c:pt idx="2312">
                  <c:v>30</c:v>
                </c:pt>
                <c:pt idx="2313">
                  <c:v>31</c:v>
                </c:pt>
                <c:pt idx="2314">
                  <c:v>95</c:v>
                </c:pt>
                <c:pt idx="2315">
                  <c:v>79</c:v>
                </c:pt>
                <c:pt idx="2316">
                  <c:v>39</c:v>
                </c:pt>
                <c:pt idx="2317">
                  <c:v>34</c:v>
                </c:pt>
                <c:pt idx="2318">
                  <c:v>28</c:v>
                </c:pt>
                <c:pt idx="2319">
                  <c:v>38</c:v>
                </c:pt>
                <c:pt idx="2320">
                  <c:v>55</c:v>
                </c:pt>
                <c:pt idx="2321">
                  <c:v>31</c:v>
                </c:pt>
                <c:pt idx="2322">
                  <c:v>84</c:v>
                </c:pt>
                <c:pt idx="2323">
                  <c:v>93</c:v>
                </c:pt>
                <c:pt idx="2324">
                  <c:v>28</c:v>
                </c:pt>
                <c:pt idx="2325">
                  <c:v>55</c:v>
                </c:pt>
                <c:pt idx="2326">
                  <c:v>63</c:v>
                </c:pt>
                <c:pt idx="2327">
                  <c:v>94</c:v>
                </c:pt>
                <c:pt idx="2328">
                  <c:v>36</c:v>
                </c:pt>
                <c:pt idx="2329">
                  <c:v>97</c:v>
                </c:pt>
                <c:pt idx="2330">
                  <c:v>63</c:v>
                </c:pt>
                <c:pt idx="2331">
                  <c:v>77</c:v>
                </c:pt>
                <c:pt idx="2332">
                  <c:v>53</c:v>
                </c:pt>
                <c:pt idx="2333">
                  <c:v>77</c:v>
                </c:pt>
                <c:pt idx="2334">
                  <c:v>79</c:v>
                </c:pt>
                <c:pt idx="2335">
                  <c:v>37</c:v>
                </c:pt>
                <c:pt idx="2336">
                  <c:v>94</c:v>
                </c:pt>
                <c:pt idx="2337">
                  <c:v>76</c:v>
                </c:pt>
                <c:pt idx="2338">
                  <c:v>68</c:v>
                </c:pt>
                <c:pt idx="2339">
                  <c:v>65</c:v>
                </c:pt>
                <c:pt idx="2340">
                  <c:v>24</c:v>
                </c:pt>
                <c:pt idx="2341">
                  <c:v>31</c:v>
                </c:pt>
                <c:pt idx="2342">
                  <c:v>89</c:v>
                </c:pt>
                <c:pt idx="2343">
                  <c:v>49</c:v>
                </c:pt>
                <c:pt idx="2344">
                  <c:v>92</c:v>
                </c:pt>
                <c:pt idx="2345">
                  <c:v>32</c:v>
                </c:pt>
                <c:pt idx="2346">
                  <c:v>67</c:v>
                </c:pt>
                <c:pt idx="2347">
                  <c:v>64</c:v>
                </c:pt>
                <c:pt idx="2348">
                  <c:v>84</c:v>
                </c:pt>
                <c:pt idx="2349">
                  <c:v>34</c:v>
                </c:pt>
                <c:pt idx="2350">
                  <c:v>26</c:v>
                </c:pt>
                <c:pt idx="2351">
                  <c:v>50</c:v>
                </c:pt>
                <c:pt idx="2352">
                  <c:v>46</c:v>
                </c:pt>
                <c:pt idx="2353">
                  <c:v>71</c:v>
                </c:pt>
                <c:pt idx="2354">
                  <c:v>78</c:v>
                </c:pt>
                <c:pt idx="2355">
                  <c:v>35</c:v>
                </c:pt>
                <c:pt idx="2356">
                  <c:v>58</c:v>
                </c:pt>
                <c:pt idx="2357">
                  <c:v>67</c:v>
                </c:pt>
                <c:pt idx="2358">
                  <c:v>93</c:v>
                </c:pt>
                <c:pt idx="2359">
                  <c:v>81</c:v>
                </c:pt>
                <c:pt idx="2360">
                  <c:v>80</c:v>
                </c:pt>
                <c:pt idx="2361">
                  <c:v>64</c:v>
                </c:pt>
                <c:pt idx="2362">
                  <c:v>41</c:v>
                </c:pt>
                <c:pt idx="2363">
                  <c:v>79</c:v>
                </c:pt>
                <c:pt idx="2364">
                  <c:v>60</c:v>
                </c:pt>
                <c:pt idx="2365">
                  <c:v>91</c:v>
                </c:pt>
                <c:pt idx="2366">
                  <c:v>66</c:v>
                </c:pt>
                <c:pt idx="2367">
                  <c:v>85</c:v>
                </c:pt>
                <c:pt idx="2368">
                  <c:v>38</c:v>
                </c:pt>
                <c:pt idx="2369">
                  <c:v>23</c:v>
                </c:pt>
                <c:pt idx="2370">
                  <c:v>71</c:v>
                </c:pt>
                <c:pt idx="2371">
                  <c:v>25</c:v>
                </c:pt>
                <c:pt idx="2372">
                  <c:v>39</c:v>
                </c:pt>
                <c:pt idx="2373">
                  <c:v>20</c:v>
                </c:pt>
                <c:pt idx="2374">
                  <c:v>73</c:v>
                </c:pt>
                <c:pt idx="2375">
                  <c:v>63</c:v>
                </c:pt>
                <c:pt idx="2376">
                  <c:v>94</c:v>
                </c:pt>
                <c:pt idx="2377">
                  <c:v>94</c:v>
                </c:pt>
                <c:pt idx="2378">
                  <c:v>71</c:v>
                </c:pt>
                <c:pt idx="2379">
                  <c:v>77</c:v>
                </c:pt>
                <c:pt idx="2380">
                  <c:v>66</c:v>
                </c:pt>
                <c:pt idx="2381">
                  <c:v>23</c:v>
                </c:pt>
                <c:pt idx="2382">
                  <c:v>60</c:v>
                </c:pt>
                <c:pt idx="2383">
                  <c:v>72</c:v>
                </c:pt>
                <c:pt idx="2384">
                  <c:v>35</c:v>
                </c:pt>
                <c:pt idx="2385">
                  <c:v>31</c:v>
                </c:pt>
                <c:pt idx="2386">
                  <c:v>33</c:v>
                </c:pt>
                <c:pt idx="2387">
                  <c:v>95</c:v>
                </c:pt>
                <c:pt idx="2388">
                  <c:v>68</c:v>
                </c:pt>
                <c:pt idx="2389">
                  <c:v>87</c:v>
                </c:pt>
                <c:pt idx="2390">
                  <c:v>64</c:v>
                </c:pt>
                <c:pt idx="2391">
                  <c:v>74</c:v>
                </c:pt>
                <c:pt idx="2392">
                  <c:v>62</c:v>
                </c:pt>
                <c:pt idx="2393">
                  <c:v>97</c:v>
                </c:pt>
                <c:pt idx="2394">
                  <c:v>47</c:v>
                </c:pt>
                <c:pt idx="2395">
                  <c:v>83</c:v>
                </c:pt>
                <c:pt idx="2396">
                  <c:v>82</c:v>
                </c:pt>
                <c:pt idx="2397">
                  <c:v>26</c:v>
                </c:pt>
                <c:pt idx="2398">
                  <c:v>81</c:v>
                </c:pt>
                <c:pt idx="2399">
                  <c:v>44</c:v>
                </c:pt>
                <c:pt idx="2400">
                  <c:v>88</c:v>
                </c:pt>
                <c:pt idx="2401">
                  <c:v>76</c:v>
                </c:pt>
                <c:pt idx="2402">
                  <c:v>89</c:v>
                </c:pt>
                <c:pt idx="2403">
                  <c:v>22</c:v>
                </c:pt>
                <c:pt idx="2404">
                  <c:v>33</c:v>
                </c:pt>
                <c:pt idx="2405">
                  <c:v>97</c:v>
                </c:pt>
                <c:pt idx="2406">
                  <c:v>57</c:v>
                </c:pt>
                <c:pt idx="2407">
                  <c:v>38</c:v>
                </c:pt>
                <c:pt idx="2408">
                  <c:v>55</c:v>
                </c:pt>
                <c:pt idx="2409">
                  <c:v>37</c:v>
                </c:pt>
                <c:pt idx="2410">
                  <c:v>43</c:v>
                </c:pt>
                <c:pt idx="2411">
                  <c:v>96</c:v>
                </c:pt>
                <c:pt idx="2412">
                  <c:v>51</c:v>
                </c:pt>
                <c:pt idx="2413">
                  <c:v>95</c:v>
                </c:pt>
                <c:pt idx="2414">
                  <c:v>26</c:v>
                </c:pt>
                <c:pt idx="2415">
                  <c:v>34</c:v>
                </c:pt>
                <c:pt idx="2416">
                  <c:v>83</c:v>
                </c:pt>
                <c:pt idx="2417">
                  <c:v>24</c:v>
                </c:pt>
                <c:pt idx="2418">
                  <c:v>69</c:v>
                </c:pt>
                <c:pt idx="2419">
                  <c:v>40</c:v>
                </c:pt>
                <c:pt idx="2420">
                  <c:v>87</c:v>
                </c:pt>
                <c:pt idx="2421">
                  <c:v>46</c:v>
                </c:pt>
                <c:pt idx="2422">
                  <c:v>82</c:v>
                </c:pt>
                <c:pt idx="2423">
                  <c:v>81</c:v>
                </c:pt>
                <c:pt idx="2424">
                  <c:v>57</c:v>
                </c:pt>
                <c:pt idx="2425">
                  <c:v>49</c:v>
                </c:pt>
                <c:pt idx="2426">
                  <c:v>42</c:v>
                </c:pt>
                <c:pt idx="2427">
                  <c:v>26</c:v>
                </c:pt>
                <c:pt idx="2428">
                  <c:v>38</c:v>
                </c:pt>
                <c:pt idx="2429">
                  <c:v>57</c:v>
                </c:pt>
                <c:pt idx="2430">
                  <c:v>100</c:v>
                </c:pt>
                <c:pt idx="2431">
                  <c:v>73</c:v>
                </c:pt>
                <c:pt idx="2432">
                  <c:v>66</c:v>
                </c:pt>
                <c:pt idx="2433">
                  <c:v>73</c:v>
                </c:pt>
                <c:pt idx="2434">
                  <c:v>45</c:v>
                </c:pt>
                <c:pt idx="2435">
                  <c:v>27</c:v>
                </c:pt>
                <c:pt idx="2436">
                  <c:v>24</c:v>
                </c:pt>
                <c:pt idx="2437">
                  <c:v>59</c:v>
                </c:pt>
                <c:pt idx="2438">
                  <c:v>20</c:v>
                </c:pt>
                <c:pt idx="2439">
                  <c:v>44</c:v>
                </c:pt>
                <c:pt idx="2440">
                  <c:v>90</c:v>
                </c:pt>
                <c:pt idx="2441">
                  <c:v>36</c:v>
                </c:pt>
                <c:pt idx="2442">
                  <c:v>95</c:v>
                </c:pt>
                <c:pt idx="2443">
                  <c:v>30</c:v>
                </c:pt>
                <c:pt idx="2444">
                  <c:v>65</c:v>
                </c:pt>
                <c:pt idx="2445">
                  <c:v>96</c:v>
                </c:pt>
                <c:pt idx="2446">
                  <c:v>65</c:v>
                </c:pt>
                <c:pt idx="2447">
                  <c:v>47</c:v>
                </c:pt>
                <c:pt idx="2448">
                  <c:v>25</c:v>
                </c:pt>
                <c:pt idx="2449">
                  <c:v>56</c:v>
                </c:pt>
                <c:pt idx="2450">
                  <c:v>76</c:v>
                </c:pt>
                <c:pt idx="2451">
                  <c:v>60</c:v>
                </c:pt>
                <c:pt idx="2452">
                  <c:v>67</c:v>
                </c:pt>
                <c:pt idx="2453">
                  <c:v>95</c:v>
                </c:pt>
                <c:pt idx="2454">
                  <c:v>72</c:v>
                </c:pt>
                <c:pt idx="2455">
                  <c:v>98</c:v>
                </c:pt>
                <c:pt idx="2456">
                  <c:v>83</c:v>
                </c:pt>
                <c:pt idx="2457">
                  <c:v>37</c:v>
                </c:pt>
                <c:pt idx="2458">
                  <c:v>85</c:v>
                </c:pt>
                <c:pt idx="2459">
                  <c:v>36</c:v>
                </c:pt>
                <c:pt idx="2460">
                  <c:v>36</c:v>
                </c:pt>
                <c:pt idx="2461">
                  <c:v>86</c:v>
                </c:pt>
                <c:pt idx="2462">
                  <c:v>99</c:v>
                </c:pt>
                <c:pt idx="2463">
                  <c:v>21</c:v>
                </c:pt>
                <c:pt idx="2464">
                  <c:v>84</c:v>
                </c:pt>
                <c:pt idx="2465">
                  <c:v>63</c:v>
                </c:pt>
                <c:pt idx="2466">
                  <c:v>84</c:v>
                </c:pt>
                <c:pt idx="2467">
                  <c:v>72</c:v>
                </c:pt>
                <c:pt idx="2468">
                  <c:v>21</c:v>
                </c:pt>
                <c:pt idx="2469">
                  <c:v>92</c:v>
                </c:pt>
                <c:pt idx="2470">
                  <c:v>72</c:v>
                </c:pt>
                <c:pt idx="2471">
                  <c:v>83</c:v>
                </c:pt>
                <c:pt idx="2472">
                  <c:v>73</c:v>
                </c:pt>
                <c:pt idx="2473">
                  <c:v>98</c:v>
                </c:pt>
                <c:pt idx="2474">
                  <c:v>76</c:v>
                </c:pt>
                <c:pt idx="2475">
                  <c:v>43</c:v>
                </c:pt>
                <c:pt idx="2476">
                  <c:v>60</c:v>
                </c:pt>
                <c:pt idx="2477">
                  <c:v>40</c:v>
                </c:pt>
                <c:pt idx="2478">
                  <c:v>93</c:v>
                </c:pt>
                <c:pt idx="2479">
                  <c:v>98</c:v>
                </c:pt>
                <c:pt idx="2480">
                  <c:v>91</c:v>
                </c:pt>
                <c:pt idx="2481">
                  <c:v>92</c:v>
                </c:pt>
                <c:pt idx="2482">
                  <c:v>87</c:v>
                </c:pt>
                <c:pt idx="2483">
                  <c:v>96</c:v>
                </c:pt>
                <c:pt idx="2484">
                  <c:v>97</c:v>
                </c:pt>
                <c:pt idx="2485">
                  <c:v>55</c:v>
                </c:pt>
                <c:pt idx="2486">
                  <c:v>58</c:v>
                </c:pt>
                <c:pt idx="2487">
                  <c:v>21</c:v>
                </c:pt>
                <c:pt idx="2488">
                  <c:v>82</c:v>
                </c:pt>
                <c:pt idx="2489">
                  <c:v>34</c:v>
                </c:pt>
                <c:pt idx="2490">
                  <c:v>78</c:v>
                </c:pt>
                <c:pt idx="2491">
                  <c:v>47</c:v>
                </c:pt>
                <c:pt idx="2492">
                  <c:v>96</c:v>
                </c:pt>
                <c:pt idx="2493">
                  <c:v>23</c:v>
                </c:pt>
                <c:pt idx="2494">
                  <c:v>27</c:v>
                </c:pt>
                <c:pt idx="2495">
                  <c:v>37</c:v>
                </c:pt>
                <c:pt idx="2496">
                  <c:v>79</c:v>
                </c:pt>
                <c:pt idx="2497">
                  <c:v>40</c:v>
                </c:pt>
                <c:pt idx="2498">
                  <c:v>39</c:v>
                </c:pt>
                <c:pt idx="2499">
                  <c:v>73</c:v>
                </c:pt>
                <c:pt idx="2500">
                  <c:v>84</c:v>
                </c:pt>
                <c:pt idx="2501">
                  <c:v>94</c:v>
                </c:pt>
                <c:pt idx="2502">
                  <c:v>47</c:v>
                </c:pt>
                <c:pt idx="2503">
                  <c:v>77</c:v>
                </c:pt>
                <c:pt idx="2504">
                  <c:v>94</c:v>
                </c:pt>
                <c:pt idx="2505">
                  <c:v>75</c:v>
                </c:pt>
                <c:pt idx="2506">
                  <c:v>82</c:v>
                </c:pt>
                <c:pt idx="2507">
                  <c:v>36</c:v>
                </c:pt>
                <c:pt idx="2508">
                  <c:v>90</c:v>
                </c:pt>
                <c:pt idx="2509">
                  <c:v>48</c:v>
                </c:pt>
                <c:pt idx="2510">
                  <c:v>42</c:v>
                </c:pt>
                <c:pt idx="2511">
                  <c:v>33</c:v>
                </c:pt>
                <c:pt idx="2512">
                  <c:v>63</c:v>
                </c:pt>
                <c:pt idx="2513">
                  <c:v>53</c:v>
                </c:pt>
                <c:pt idx="2514">
                  <c:v>37</c:v>
                </c:pt>
                <c:pt idx="2515">
                  <c:v>92</c:v>
                </c:pt>
                <c:pt idx="2516">
                  <c:v>73</c:v>
                </c:pt>
                <c:pt idx="2517">
                  <c:v>38</c:v>
                </c:pt>
                <c:pt idx="2518">
                  <c:v>51</c:v>
                </c:pt>
                <c:pt idx="2519">
                  <c:v>90</c:v>
                </c:pt>
                <c:pt idx="2520">
                  <c:v>56</c:v>
                </c:pt>
                <c:pt idx="2521">
                  <c:v>33</c:v>
                </c:pt>
                <c:pt idx="2522">
                  <c:v>53</c:v>
                </c:pt>
                <c:pt idx="2523">
                  <c:v>24</c:v>
                </c:pt>
                <c:pt idx="2524">
                  <c:v>59</c:v>
                </c:pt>
                <c:pt idx="2525">
                  <c:v>72</c:v>
                </c:pt>
                <c:pt idx="2526">
                  <c:v>28</c:v>
                </c:pt>
                <c:pt idx="2527">
                  <c:v>36</c:v>
                </c:pt>
                <c:pt idx="2528">
                  <c:v>47</c:v>
                </c:pt>
                <c:pt idx="2529">
                  <c:v>62</c:v>
                </c:pt>
                <c:pt idx="2530">
                  <c:v>98</c:v>
                </c:pt>
                <c:pt idx="2531">
                  <c:v>28</c:v>
                </c:pt>
                <c:pt idx="2532">
                  <c:v>86</c:v>
                </c:pt>
                <c:pt idx="2533">
                  <c:v>46</c:v>
                </c:pt>
                <c:pt idx="2534">
                  <c:v>42</c:v>
                </c:pt>
                <c:pt idx="2535">
                  <c:v>80</c:v>
                </c:pt>
                <c:pt idx="2536">
                  <c:v>39</c:v>
                </c:pt>
                <c:pt idx="2537">
                  <c:v>49</c:v>
                </c:pt>
                <c:pt idx="2538">
                  <c:v>32</c:v>
                </c:pt>
                <c:pt idx="2539">
                  <c:v>73</c:v>
                </c:pt>
                <c:pt idx="2540">
                  <c:v>42</c:v>
                </c:pt>
                <c:pt idx="2541">
                  <c:v>58</c:v>
                </c:pt>
                <c:pt idx="2542">
                  <c:v>22</c:v>
                </c:pt>
                <c:pt idx="2543">
                  <c:v>56</c:v>
                </c:pt>
                <c:pt idx="2544">
                  <c:v>70</c:v>
                </c:pt>
                <c:pt idx="2545">
                  <c:v>50</c:v>
                </c:pt>
                <c:pt idx="2546">
                  <c:v>21</c:v>
                </c:pt>
                <c:pt idx="2547">
                  <c:v>97</c:v>
                </c:pt>
                <c:pt idx="2548">
                  <c:v>63</c:v>
                </c:pt>
                <c:pt idx="2549">
                  <c:v>60</c:v>
                </c:pt>
                <c:pt idx="2550">
                  <c:v>52</c:v>
                </c:pt>
                <c:pt idx="2551">
                  <c:v>32</c:v>
                </c:pt>
                <c:pt idx="2552">
                  <c:v>48</c:v>
                </c:pt>
                <c:pt idx="2553">
                  <c:v>25</c:v>
                </c:pt>
                <c:pt idx="2554">
                  <c:v>68</c:v>
                </c:pt>
                <c:pt idx="2555">
                  <c:v>74</c:v>
                </c:pt>
                <c:pt idx="2556">
                  <c:v>88</c:v>
                </c:pt>
                <c:pt idx="2557">
                  <c:v>23</c:v>
                </c:pt>
                <c:pt idx="2558">
                  <c:v>32</c:v>
                </c:pt>
                <c:pt idx="2559">
                  <c:v>71</c:v>
                </c:pt>
                <c:pt idx="2560">
                  <c:v>62</c:v>
                </c:pt>
                <c:pt idx="2561">
                  <c:v>20</c:v>
                </c:pt>
                <c:pt idx="2562">
                  <c:v>62</c:v>
                </c:pt>
                <c:pt idx="2563">
                  <c:v>81</c:v>
                </c:pt>
                <c:pt idx="2564">
                  <c:v>90</c:v>
                </c:pt>
                <c:pt idx="2565">
                  <c:v>43</c:v>
                </c:pt>
                <c:pt idx="2566">
                  <c:v>38</c:v>
                </c:pt>
                <c:pt idx="2567">
                  <c:v>25</c:v>
                </c:pt>
                <c:pt idx="2568">
                  <c:v>98</c:v>
                </c:pt>
                <c:pt idx="2569">
                  <c:v>75</c:v>
                </c:pt>
                <c:pt idx="2570">
                  <c:v>27</c:v>
                </c:pt>
                <c:pt idx="2571">
                  <c:v>27</c:v>
                </c:pt>
                <c:pt idx="2572">
                  <c:v>42</c:v>
                </c:pt>
                <c:pt idx="2573">
                  <c:v>90</c:v>
                </c:pt>
                <c:pt idx="2574">
                  <c:v>63</c:v>
                </c:pt>
                <c:pt idx="2575">
                  <c:v>96</c:v>
                </c:pt>
                <c:pt idx="2576">
                  <c:v>40</c:v>
                </c:pt>
                <c:pt idx="2577">
                  <c:v>39</c:v>
                </c:pt>
                <c:pt idx="2578">
                  <c:v>48</c:v>
                </c:pt>
                <c:pt idx="2579">
                  <c:v>20</c:v>
                </c:pt>
                <c:pt idx="2580">
                  <c:v>29</c:v>
                </c:pt>
                <c:pt idx="2581">
                  <c:v>81</c:v>
                </c:pt>
                <c:pt idx="2582">
                  <c:v>98</c:v>
                </c:pt>
                <c:pt idx="2583">
                  <c:v>93</c:v>
                </c:pt>
                <c:pt idx="2584">
                  <c:v>30</c:v>
                </c:pt>
                <c:pt idx="2585">
                  <c:v>37</c:v>
                </c:pt>
                <c:pt idx="2586">
                  <c:v>28</c:v>
                </c:pt>
                <c:pt idx="2587">
                  <c:v>29</c:v>
                </c:pt>
                <c:pt idx="2588">
                  <c:v>49</c:v>
                </c:pt>
                <c:pt idx="2589">
                  <c:v>53</c:v>
                </c:pt>
                <c:pt idx="2590">
                  <c:v>66</c:v>
                </c:pt>
                <c:pt idx="2591">
                  <c:v>61</c:v>
                </c:pt>
                <c:pt idx="2592">
                  <c:v>23</c:v>
                </c:pt>
                <c:pt idx="2593">
                  <c:v>36</c:v>
                </c:pt>
                <c:pt idx="2594">
                  <c:v>81</c:v>
                </c:pt>
                <c:pt idx="2595">
                  <c:v>56</c:v>
                </c:pt>
                <c:pt idx="2596">
                  <c:v>78</c:v>
                </c:pt>
                <c:pt idx="2597">
                  <c:v>25</c:v>
                </c:pt>
                <c:pt idx="2598">
                  <c:v>86</c:v>
                </c:pt>
                <c:pt idx="2599">
                  <c:v>99</c:v>
                </c:pt>
                <c:pt idx="2600">
                  <c:v>83</c:v>
                </c:pt>
                <c:pt idx="2601">
                  <c:v>33</c:v>
                </c:pt>
                <c:pt idx="2602">
                  <c:v>44</c:v>
                </c:pt>
                <c:pt idx="2603">
                  <c:v>58</c:v>
                </c:pt>
                <c:pt idx="2604">
                  <c:v>54</c:v>
                </c:pt>
                <c:pt idx="2605">
                  <c:v>93</c:v>
                </c:pt>
                <c:pt idx="2606">
                  <c:v>98</c:v>
                </c:pt>
                <c:pt idx="2607">
                  <c:v>36</c:v>
                </c:pt>
                <c:pt idx="2608">
                  <c:v>68</c:v>
                </c:pt>
                <c:pt idx="2609">
                  <c:v>95</c:v>
                </c:pt>
                <c:pt idx="2610">
                  <c:v>93</c:v>
                </c:pt>
                <c:pt idx="2611">
                  <c:v>99</c:v>
                </c:pt>
                <c:pt idx="2612">
                  <c:v>22</c:v>
                </c:pt>
                <c:pt idx="2613">
                  <c:v>88</c:v>
                </c:pt>
                <c:pt idx="2614">
                  <c:v>65</c:v>
                </c:pt>
                <c:pt idx="2615">
                  <c:v>62</c:v>
                </c:pt>
                <c:pt idx="2616">
                  <c:v>55</c:v>
                </c:pt>
                <c:pt idx="2617">
                  <c:v>97</c:v>
                </c:pt>
                <c:pt idx="2618">
                  <c:v>77</c:v>
                </c:pt>
                <c:pt idx="2619">
                  <c:v>40</c:v>
                </c:pt>
                <c:pt idx="2620">
                  <c:v>23</c:v>
                </c:pt>
                <c:pt idx="2621">
                  <c:v>46</c:v>
                </c:pt>
                <c:pt idx="2622">
                  <c:v>75</c:v>
                </c:pt>
                <c:pt idx="2623">
                  <c:v>76</c:v>
                </c:pt>
                <c:pt idx="2624">
                  <c:v>59</c:v>
                </c:pt>
                <c:pt idx="2625">
                  <c:v>51</c:v>
                </c:pt>
                <c:pt idx="2626">
                  <c:v>46</c:v>
                </c:pt>
                <c:pt idx="2627">
                  <c:v>26</c:v>
                </c:pt>
                <c:pt idx="2628">
                  <c:v>51</c:v>
                </c:pt>
                <c:pt idx="2629">
                  <c:v>44</c:v>
                </c:pt>
                <c:pt idx="2630">
                  <c:v>82</c:v>
                </c:pt>
                <c:pt idx="2631">
                  <c:v>44</c:v>
                </c:pt>
                <c:pt idx="2632">
                  <c:v>27</c:v>
                </c:pt>
                <c:pt idx="2633">
                  <c:v>90</c:v>
                </c:pt>
                <c:pt idx="2634">
                  <c:v>58</c:v>
                </c:pt>
                <c:pt idx="2635">
                  <c:v>80</c:v>
                </c:pt>
                <c:pt idx="2636">
                  <c:v>40</c:v>
                </c:pt>
                <c:pt idx="2637">
                  <c:v>23</c:v>
                </c:pt>
                <c:pt idx="2638">
                  <c:v>34</c:v>
                </c:pt>
                <c:pt idx="2639">
                  <c:v>35</c:v>
                </c:pt>
                <c:pt idx="2640">
                  <c:v>75</c:v>
                </c:pt>
                <c:pt idx="2641">
                  <c:v>60</c:v>
                </c:pt>
                <c:pt idx="2642">
                  <c:v>87</c:v>
                </c:pt>
                <c:pt idx="2643">
                  <c:v>41</c:v>
                </c:pt>
                <c:pt idx="2644">
                  <c:v>83</c:v>
                </c:pt>
                <c:pt idx="2645">
                  <c:v>81</c:v>
                </c:pt>
                <c:pt idx="2646">
                  <c:v>56</c:v>
                </c:pt>
                <c:pt idx="2647">
                  <c:v>58</c:v>
                </c:pt>
                <c:pt idx="2648">
                  <c:v>84</c:v>
                </c:pt>
                <c:pt idx="2649">
                  <c:v>21</c:v>
                </c:pt>
                <c:pt idx="2650">
                  <c:v>35</c:v>
                </c:pt>
                <c:pt idx="2651">
                  <c:v>43</c:v>
                </c:pt>
                <c:pt idx="2652">
                  <c:v>20</c:v>
                </c:pt>
                <c:pt idx="2653">
                  <c:v>36</c:v>
                </c:pt>
                <c:pt idx="2654">
                  <c:v>70</c:v>
                </c:pt>
                <c:pt idx="2655">
                  <c:v>83</c:v>
                </c:pt>
                <c:pt idx="2656">
                  <c:v>76</c:v>
                </c:pt>
                <c:pt idx="2657">
                  <c:v>81</c:v>
                </c:pt>
                <c:pt idx="2658">
                  <c:v>47</c:v>
                </c:pt>
                <c:pt idx="2659">
                  <c:v>35</c:v>
                </c:pt>
                <c:pt idx="2660">
                  <c:v>85</c:v>
                </c:pt>
                <c:pt idx="2661">
                  <c:v>96</c:v>
                </c:pt>
                <c:pt idx="2662">
                  <c:v>98</c:v>
                </c:pt>
                <c:pt idx="2663">
                  <c:v>52</c:v>
                </c:pt>
                <c:pt idx="2664">
                  <c:v>84</c:v>
                </c:pt>
                <c:pt idx="2665">
                  <c:v>71</c:v>
                </c:pt>
                <c:pt idx="2666">
                  <c:v>95</c:v>
                </c:pt>
                <c:pt idx="2667">
                  <c:v>47</c:v>
                </c:pt>
                <c:pt idx="2668">
                  <c:v>75</c:v>
                </c:pt>
                <c:pt idx="2669">
                  <c:v>28</c:v>
                </c:pt>
                <c:pt idx="2670">
                  <c:v>44</c:v>
                </c:pt>
                <c:pt idx="2671">
                  <c:v>64</c:v>
                </c:pt>
                <c:pt idx="2672">
                  <c:v>28</c:v>
                </c:pt>
                <c:pt idx="2673">
                  <c:v>21</c:v>
                </c:pt>
                <c:pt idx="2674">
                  <c:v>41</c:v>
                </c:pt>
                <c:pt idx="2675">
                  <c:v>38</c:v>
                </c:pt>
                <c:pt idx="2676">
                  <c:v>77</c:v>
                </c:pt>
                <c:pt idx="2677">
                  <c:v>43</c:v>
                </c:pt>
                <c:pt idx="2678">
                  <c:v>91</c:v>
                </c:pt>
                <c:pt idx="2679">
                  <c:v>68</c:v>
                </c:pt>
                <c:pt idx="2680">
                  <c:v>37</c:v>
                </c:pt>
                <c:pt idx="2681">
                  <c:v>23</c:v>
                </c:pt>
                <c:pt idx="2682">
                  <c:v>65</c:v>
                </c:pt>
                <c:pt idx="2683">
                  <c:v>30</c:v>
                </c:pt>
                <c:pt idx="2684">
                  <c:v>45</c:v>
                </c:pt>
                <c:pt idx="2685">
                  <c:v>25</c:v>
                </c:pt>
                <c:pt idx="2686">
                  <c:v>72</c:v>
                </c:pt>
                <c:pt idx="2687">
                  <c:v>75</c:v>
                </c:pt>
                <c:pt idx="2688">
                  <c:v>63</c:v>
                </c:pt>
                <c:pt idx="2689">
                  <c:v>35</c:v>
                </c:pt>
                <c:pt idx="2690">
                  <c:v>32</c:v>
                </c:pt>
                <c:pt idx="2691">
                  <c:v>25</c:v>
                </c:pt>
                <c:pt idx="2692">
                  <c:v>90</c:v>
                </c:pt>
                <c:pt idx="2693">
                  <c:v>70</c:v>
                </c:pt>
                <c:pt idx="2694">
                  <c:v>27</c:v>
                </c:pt>
                <c:pt idx="2695">
                  <c:v>92</c:v>
                </c:pt>
                <c:pt idx="2696">
                  <c:v>20</c:v>
                </c:pt>
                <c:pt idx="2697">
                  <c:v>52</c:v>
                </c:pt>
                <c:pt idx="2698">
                  <c:v>57</c:v>
                </c:pt>
                <c:pt idx="2699">
                  <c:v>96</c:v>
                </c:pt>
                <c:pt idx="2700">
                  <c:v>68</c:v>
                </c:pt>
                <c:pt idx="2701">
                  <c:v>30</c:v>
                </c:pt>
                <c:pt idx="2702">
                  <c:v>37</c:v>
                </c:pt>
                <c:pt idx="2703">
                  <c:v>42</c:v>
                </c:pt>
                <c:pt idx="2704">
                  <c:v>54</c:v>
                </c:pt>
                <c:pt idx="2705">
                  <c:v>81</c:v>
                </c:pt>
                <c:pt idx="2706">
                  <c:v>40</c:v>
                </c:pt>
                <c:pt idx="2707">
                  <c:v>88</c:v>
                </c:pt>
                <c:pt idx="2708">
                  <c:v>94</c:v>
                </c:pt>
                <c:pt idx="2709">
                  <c:v>54</c:v>
                </c:pt>
                <c:pt idx="2710">
                  <c:v>51</c:v>
                </c:pt>
                <c:pt idx="2711">
                  <c:v>22</c:v>
                </c:pt>
                <c:pt idx="2712">
                  <c:v>95</c:v>
                </c:pt>
                <c:pt idx="2713">
                  <c:v>57</c:v>
                </c:pt>
                <c:pt idx="2714">
                  <c:v>45</c:v>
                </c:pt>
                <c:pt idx="2715">
                  <c:v>92</c:v>
                </c:pt>
                <c:pt idx="2716">
                  <c:v>40</c:v>
                </c:pt>
                <c:pt idx="2717">
                  <c:v>62</c:v>
                </c:pt>
                <c:pt idx="2718">
                  <c:v>90</c:v>
                </c:pt>
                <c:pt idx="2719">
                  <c:v>82</c:v>
                </c:pt>
                <c:pt idx="2720">
                  <c:v>52</c:v>
                </c:pt>
                <c:pt idx="2721">
                  <c:v>70</c:v>
                </c:pt>
                <c:pt idx="2722">
                  <c:v>83</c:v>
                </c:pt>
                <c:pt idx="2723">
                  <c:v>49</c:v>
                </c:pt>
                <c:pt idx="2724">
                  <c:v>91</c:v>
                </c:pt>
                <c:pt idx="2725">
                  <c:v>99</c:v>
                </c:pt>
                <c:pt idx="2726">
                  <c:v>92</c:v>
                </c:pt>
                <c:pt idx="2727">
                  <c:v>87</c:v>
                </c:pt>
                <c:pt idx="2728">
                  <c:v>28</c:v>
                </c:pt>
                <c:pt idx="2729">
                  <c:v>71</c:v>
                </c:pt>
                <c:pt idx="2730">
                  <c:v>32</c:v>
                </c:pt>
                <c:pt idx="2731">
                  <c:v>33</c:v>
                </c:pt>
                <c:pt idx="2732">
                  <c:v>75</c:v>
                </c:pt>
                <c:pt idx="2733">
                  <c:v>83</c:v>
                </c:pt>
                <c:pt idx="2734">
                  <c:v>93</c:v>
                </c:pt>
                <c:pt idx="2735">
                  <c:v>29</c:v>
                </c:pt>
                <c:pt idx="2736">
                  <c:v>25</c:v>
                </c:pt>
                <c:pt idx="2737">
                  <c:v>76</c:v>
                </c:pt>
                <c:pt idx="2738">
                  <c:v>81</c:v>
                </c:pt>
                <c:pt idx="2739">
                  <c:v>80</c:v>
                </c:pt>
                <c:pt idx="2740">
                  <c:v>70</c:v>
                </c:pt>
                <c:pt idx="2741">
                  <c:v>81</c:v>
                </c:pt>
                <c:pt idx="2742">
                  <c:v>86</c:v>
                </c:pt>
                <c:pt idx="2743">
                  <c:v>94</c:v>
                </c:pt>
                <c:pt idx="2744">
                  <c:v>66</c:v>
                </c:pt>
                <c:pt idx="2745">
                  <c:v>98</c:v>
                </c:pt>
                <c:pt idx="2746">
                  <c:v>25</c:v>
                </c:pt>
                <c:pt idx="2747">
                  <c:v>62</c:v>
                </c:pt>
                <c:pt idx="2748">
                  <c:v>98</c:v>
                </c:pt>
                <c:pt idx="2749">
                  <c:v>53</c:v>
                </c:pt>
                <c:pt idx="2750">
                  <c:v>66</c:v>
                </c:pt>
                <c:pt idx="2751">
                  <c:v>52</c:v>
                </c:pt>
                <c:pt idx="2752">
                  <c:v>64</c:v>
                </c:pt>
                <c:pt idx="2753">
                  <c:v>59</c:v>
                </c:pt>
                <c:pt idx="2754">
                  <c:v>61</c:v>
                </c:pt>
                <c:pt idx="2755">
                  <c:v>97</c:v>
                </c:pt>
                <c:pt idx="2756">
                  <c:v>23</c:v>
                </c:pt>
                <c:pt idx="2757">
                  <c:v>98</c:v>
                </c:pt>
                <c:pt idx="2758">
                  <c:v>98</c:v>
                </c:pt>
                <c:pt idx="2759">
                  <c:v>59</c:v>
                </c:pt>
                <c:pt idx="2760">
                  <c:v>82</c:v>
                </c:pt>
                <c:pt idx="2761">
                  <c:v>82</c:v>
                </c:pt>
                <c:pt idx="2762">
                  <c:v>41</c:v>
                </c:pt>
                <c:pt idx="2763">
                  <c:v>52</c:v>
                </c:pt>
                <c:pt idx="2764">
                  <c:v>41</c:v>
                </c:pt>
                <c:pt idx="2765">
                  <c:v>70</c:v>
                </c:pt>
                <c:pt idx="2766">
                  <c:v>91</c:v>
                </c:pt>
                <c:pt idx="2767">
                  <c:v>95</c:v>
                </c:pt>
                <c:pt idx="2768">
                  <c:v>25</c:v>
                </c:pt>
                <c:pt idx="2769">
                  <c:v>89</c:v>
                </c:pt>
                <c:pt idx="2770">
                  <c:v>44</c:v>
                </c:pt>
                <c:pt idx="2771">
                  <c:v>52</c:v>
                </c:pt>
                <c:pt idx="2772">
                  <c:v>94</c:v>
                </c:pt>
                <c:pt idx="2773">
                  <c:v>98</c:v>
                </c:pt>
                <c:pt idx="2774">
                  <c:v>40</c:v>
                </c:pt>
                <c:pt idx="2775">
                  <c:v>25</c:v>
                </c:pt>
                <c:pt idx="2776">
                  <c:v>62</c:v>
                </c:pt>
                <c:pt idx="2777">
                  <c:v>24</c:v>
                </c:pt>
                <c:pt idx="2778">
                  <c:v>57</c:v>
                </c:pt>
                <c:pt idx="2779">
                  <c:v>66</c:v>
                </c:pt>
                <c:pt idx="2780">
                  <c:v>70</c:v>
                </c:pt>
                <c:pt idx="2781">
                  <c:v>39</c:v>
                </c:pt>
                <c:pt idx="2782">
                  <c:v>34</c:v>
                </c:pt>
                <c:pt idx="2783">
                  <c:v>38</c:v>
                </c:pt>
                <c:pt idx="2784">
                  <c:v>70</c:v>
                </c:pt>
                <c:pt idx="2785">
                  <c:v>80</c:v>
                </c:pt>
                <c:pt idx="2786">
                  <c:v>51</c:v>
                </c:pt>
                <c:pt idx="2787">
                  <c:v>79</c:v>
                </c:pt>
                <c:pt idx="2788">
                  <c:v>92</c:v>
                </c:pt>
                <c:pt idx="2789">
                  <c:v>85</c:v>
                </c:pt>
                <c:pt idx="2790">
                  <c:v>63</c:v>
                </c:pt>
                <c:pt idx="2791">
                  <c:v>60</c:v>
                </c:pt>
                <c:pt idx="2792">
                  <c:v>44</c:v>
                </c:pt>
                <c:pt idx="2793">
                  <c:v>57</c:v>
                </c:pt>
                <c:pt idx="2794">
                  <c:v>24</c:v>
                </c:pt>
                <c:pt idx="2795">
                  <c:v>35</c:v>
                </c:pt>
                <c:pt idx="2796">
                  <c:v>73</c:v>
                </c:pt>
                <c:pt idx="2797">
                  <c:v>42</c:v>
                </c:pt>
                <c:pt idx="2798">
                  <c:v>20</c:v>
                </c:pt>
                <c:pt idx="2799">
                  <c:v>89</c:v>
                </c:pt>
                <c:pt idx="2800">
                  <c:v>76</c:v>
                </c:pt>
                <c:pt idx="2801">
                  <c:v>56</c:v>
                </c:pt>
                <c:pt idx="2802">
                  <c:v>100</c:v>
                </c:pt>
                <c:pt idx="2803">
                  <c:v>44</c:v>
                </c:pt>
                <c:pt idx="2804">
                  <c:v>76</c:v>
                </c:pt>
                <c:pt idx="2805">
                  <c:v>97</c:v>
                </c:pt>
                <c:pt idx="2806">
                  <c:v>39</c:v>
                </c:pt>
                <c:pt idx="2807">
                  <c:v>100</c:v>
                </c:pt>
                <c:pt idx="2808">
                  <c:v>62</c:v>
                </c:pt>
                <c:pt idx="2809">
                  <c:v>98</c:v>
                </c:pt>
                <c:pt idx="2810">
                  <c:v>31</c:v>
                </c:pt>
                <c:pt idx="2811">
                  <c:v>89</c:v>
                </c:pt>
                <c:pt idx="2812">
                  <c:v>91</c:v>
                </c:pt>
                <c:pt idx="2813">
                  <c:v>50</c:v>
                </c:pt>
                <c:pt idx="2814">
                  <c:v>32</c:v>
                </c:pt>
                <c:pt idx="2815">
                  <c:v>67</c:v>
                </c:pt>
                <c:pt idx="2816">
                  <c:v>28</c:v>
                </c:pt>
                <c:pt idx="2817">
                  <c:v>65</c:v>
                </c:pt>
                <c:pt idx="2818">
                  <c:v>73</c:v>
                </c:pt>
                <c:pt idx="2819">
                  <c:v>27</c:v>
                </c:pt>
                <c:pt idx="2820">
                  <c:v>89</c:v>
                </c:pt>
                <c:pt idx="2821">
                  <c:v>72</c:v>
                </c:pt>
                <c:pt idx="2822">
                  <c:v>37</c:v>
                </c:pt>
                <c:pt idx="2823">
                  <c:v>63</c:v>
                </c:pt>
                <c:pt idx="2824">
                  <c:v>90</c:v>
                </c:pt>
                <c:pt idx="2825">
                  <c:v>62</c:v>
                </c:pt>
                <c:pt idx="2826">
                  <c:v>43</c:v>
                </c:pt>
                <c:pt idx="2827">
                  <c:v>96</c:v>
                </c:pt>
                <c:pt idx="2828">
                  <c:v>83</c:v>
                </c:pt>
                <c:pt idx="2829">
                  <c:v>67</c:v>
                </c:pt>
                <c:pt idx="2830">
                  <c:v>90</c:v>
                </c:pt>
                <c:pt idx="2831">
                  <c:v>53</c:v>
                </c:pt>
                <c:pt idx="2832">
                  <c:v>37</c:v>
                </c:pt>
                <c:pt idx="2833">
                  <c:v>56</c:v>
                </c:pt>
                <c:pt idx="2834">
                  <c:v>43</c:v>
                </c:pt>
                <c:pt idx="2835">
                  <c:v>84</c:v>
                </c:pt>
                <c:pt idx="2836">
                  <c:v>50</c:v>
                </c:pt>
                <c:pt idx="2837">
                  <c:v>88</c:v>
                </c:pt>
                <c:pt idx="2838">
                  <c:v>50</c:v>
                </c:pt>
                <c:pt idx="2839">
                  <c:v>80</c:v>
                </c:pt>
                <c:pt idx="2840">
                  <c:v>47</c:v>
                </c:pt>
                <c:pt idx="2841">
                  <c:v>33</c:v>
                </c:pt>
                <c:pt idx="2842">
                  <c:v>100</c:v>
                </c:pt>
                <c:pt idx="2843">
                  <c:v>26</c:v>
                </c:pt>
                <c:pt idx="2844">
                  <c:v>79</c:v>
                </c:pt>
                <c:pt idx="2845">
                  <c:v>77</c:v>
                </c:pt>
                <c:pt idx="2846">
                  <c:v>36</c:v>
                </c:pt>
                <c:pt idx="2847">
                  <c:v>21</c:v>
                </c:pt>
                <c:pt idx="2848">
                  <c:v>72</c:v>
                </c:pt>
                <c:pt idx="2849">
                  <c:v>25</c:v>
                </c:pt>
                <c:pt idx="2850">
                  <c:v>79</c:v>
                </c:pt>
                <c:pt idx="2851">
                  <c:v>73</c:v>
                </c:pt>
                <c:pt idx="2852">
                  <c:v>71</c:v>
                </c:pt>
                <c:pt idx="2853">
                  <c:v>48</c:v>
                </c:pt>
                <c:pt idx="2854">
                  <c:v>28</c:v>
                </c:pt>
                <c:pt idx="2855">
                  <c:v>95</c:v>
                </c:pt>
                <c:pt idx="2856">
                  <c:v>48</c:v>
                </c:pt>
                <c:pt idx="2857">
                  <c:v>93</c:v>
                </c:pt>
                <c:pt idx="2858">
                  <c:v>87</c:v>
                </c:pt>
                <c:pt idx="2859">
                  <c:v>32</c:v>
                </c:pt>
                <c:pt idx="2860">
                  <c:v>38</c:v>
                </c:pt>
                <c:pt idx="2861">
                  <c:v>54</c:v>
                </c:pt>
                <c:pt idx="2862">
                  <c:v>75</c:v>
                </c:pt>
                <c:pt idx="2863">
                  <c:v>56</c:v>
                </c:pt>
                <c:pt idx="2864">
                  <c:v>43</c:v>
                </c:pt>
                <c:pt idx="2865">
                  <c:v>97</c:v>
                </c:pt>
                <c:pt idx="2866">
                  <c:v>75</c:v>
                </c:pt>
                <c:pt idx="2867">
                  <c:v>55</c:v>
                </c:pt>
                <c:pt idx="2868">
                  <c:v>49</c:v>
                </c:pt>
                <c:pt idx="2869">
                  <c:v>58</c:v>
                </c:pt>
                <c:pt idx="2870">
                  <c:v>34</c:v>
                </c:pt>
                <c:pt idx="2871">
                  <c:v>43</c:v>
                </c:pt>
                <c:pt idx="2872">
                  <c:v>48</c:v>
                </c:pt>
                <c:pt idx="2873">
                  <c:v>40</c:v>
                </c:pt>
                <c:pt idx="2874">
                  <c:v>29</c:v>
                </c:pt>
                <c:pt idx="2875">
                  <c:v>81</c:v>
                </c:pt>
                <c:pt idx="2876">
                  <c:v>84</c:v>
                </c:pt>
                <c:pt idx="2877">
                  <c:v>46</c:v>
                </c:pt>
                <c:pt idx="2878">
                  <c:v>86</c:v>
                </c:pt>
                <c:pt idx="2879">
                  <c:v>57</c:v>
                </c:pt>
                <c:pt idx="2880">
                  <c:v>61</c:v>
                </c:pt>
                <c:pt idx="2881">
                  <c:v>90</c:v>
                </c:pt>
                <c:pt idx="2882">
                  <c:v>51</c:v>
                </c:pt>
                <c:pt idx="2883">
                  <c:v>48</c:v>
                </c:pt>
                <c:pt idx="2884">
                  <c:v>50</c:v>
                </c:pt>
                <c:pt idx="2885">
                  <c:v>82</c:v>
                </c:pt>
                <c:pt idx="2886">
                  <c:v>33</c:v>
                </c:pt>
                <c:pt idx="2887">
                  <c:v>28</c:v>
                </c:pt>
                <c:pt idx="2888">
                  <c:v>42</c:v>
                </c:pt>
                <c:pt idx="2889">
                  <c:v>43</c:v>
                </c:pt>
                <c:pt idx="2890">
                  <c:v>55</c:v>
                </c:pt>
                <c:pt idx="2891">
                  <c:v>73</c:v>
                </c:pt>
                <c:pt idx="2892">
                  <c:v>39</c:v>
                </c:pt>
                <c:pt idx="2893">
                  <c:v>20</c:v>
                </c:pt>
                <c:pt idx="2894">
                  <c:v>32</c:v>
                </c:pt>
                <c:pt idx="2895">
                  <c:v>86</c:v>
                </c:pt>
                <c:pt idx="2896">
                  <c:v>91</c:v>
                </c:pt>
                <c:pt idx="2897">
                  <c:v>59</c:v>
                </c:pt>
                <c:pt idx="2898">
                  <c:v>33</c:v>
                </c:pt>
                <c:pt idx="2899">
                  <c:v>64</c:v>
                </c:pt>
                <c:pt idx="2900">
                  <c:v>67</c:v>
                </c:pt>
                <c:pt idx="2901">
                  <c:v>43</c:v>
                </c:pt>
                <c:pt idx="2902">
                  <c:v>32</c:v>
                </c:pt>
                <c:pt idx="2903">
                  <c:v>39</c:v>
                </c:pt>
                <c:pt idx="2904">
                  <c:v>41</c:v>
                </c:pt>
                <c:pt idx="2905">
                  <c:v>53</c:v>
                </c:pt>
                <c:pt idx="2906">
                  <c:v>27</c:v>
                </c:pt>
                <c:pt idx="2907">
                  <c:v>82</c:v>
                </c:pt>
                <c:pt idx="2908">
                  <c:v>87</c:v>
                </c:pt>
                <c:pt idx="2909">
                  <c:v>78</c:v>
                </c:pt>
                <c:pt idx="2910">
                  <c:v>32</c:v>
                </c:pt>
                <c:pt idx="2911">
                  <c:v>38</c:v>
                </c:pt>
                <c:pt idx="2912">
                  <c:v>37</c:v>
                </c:pt>
                <c:pt idx="2913">
                  <c:v>83</c:v>
                </c:pt>
                <c:pt idx="2914">
                  <c:v>72</c:v>
                </c:pt>
                <c:pt idx="2915">
                  <c:v>30</c:v>
                </c:pt>
                <c:pt idx="2916">
                  <c:v>66</c:v>
                </c:pt>
                <c:pt idx="2917">
                  <c:v>45</c:v>
                </c:pt>
                <c:pt idx="2918">
                  <c:v>73</c:v>
                </c:pt>
                <c:pt idx="2919">
                  <c:v>67</c:v>
                </c:pt>
                <c:pt idx="2920">
                  <c:v>72</c:v>
                </c:pt>
                <c:pt idx="2921">
                  <c:v>24</c:v>
                </c:pt>
                <c:pt idx="2922">
                  <c:v>68</c:v>
                </c:pt>
                <c:pt idx="2923">
                  <c:v>70</c:v>
                </c:pt>
                <c:pt idx="2924">
                  <c:v>64</c:v>
                </c:pt>
                <c:pt idx="2925">
                  <c:v>91</c:v>
                </c:pt>
                <c:pt idx="2926">
                  <c:v>82</c:v>
                </c:pt>
                <c:pt idx="2927">
                  <c:v>24</c:v>
                </c:pt>
                <c:pt idx="2928">
                  <c:v>80</c:v>
                </c:pt>
                <c:pt idx="2929">
                  <c:v>53</c:v>
                </c:pt>
                <c:pt idx="2930">
                  <c:v>50</c:v>
                </c:pt>
                <c:pt idx="2931">
                  <c:v>31</c:v>
                </c:pt>
                <c:pt idx="2932">
                  <c:v>88</c:v>
                </c:pt>
                <c:pt idx="2933">
                  <c:v>52</c:v>
                </c:pt>
                <c:pt idx="2934">
                  <c:v>22</c:v>
                </c:pt>
                <c:pt idx="2935">
                  <c:v>27</c:v>
                </c:pt>
                <c:pt idx="2936">
                  <c:v>34</c:v>
                </c:pt>
                <c:pt idx="2937">
                  <c:v>39</c:v>
                </c:pt>
                <c:pt idx="2938">
                  <c:v>53</c:v>
                </c:pt>
                <c:pt idx="2939">
                  <c:v>46</c:v>
                </c:pt>
                <c:pt idx="2940">
                  <c:v>85</c:v>
                </c:pt>
                <c:pt idx="2941">
                  <c:v>86</c:v>
                </c:pt>
                <c:pt idx="2942">
                  <c:v>63</c:v>
                </c:pt>
                <c:pt idx="2943">
                  <c:v>44</c:v>
                </c:pt>
                <c:pt idx="2944">
                  <c:v>95</c:v>
                </c:pt>
                <c:pt idx="2945">
                  <c:v>49</c:v>
                </c:pt>
                <c:pt idx="2946">
                  <c:v>77</c:v>
                </c:pt>
                <c:pt idx="2947">
                  <c:v>63</c:v>
                </c:pt>
                <c:pt idx="2948">
                  <c:v>83</c:v>
                </c:pt>
                <c:pt idx="2949">
                  <c:v>93</c:v>
                </c:pt>
                <c:pt idx="2950">
                  <c:v>91</c:v>
                </c:pt>
                <c:pt idx="2951">
                  <c:v>99</c:v>
                </c:pt>
                <c:pt idx="2952">
                  <c:v>24</c:v>
                </c:pt>
                <c:pt idx="2953">
                  <c:v>82</c:v>
                </c:pt>
                <c:pt idx="2954">
                  <c:v>28</c:v>
                </c:pt>
                <c:pt idx="2955">
                  <c:v>67</c:v>
                </c:pt>
                <c:pt idx="2956">
                  <c:v>88</c:v>
                </c:pt>
                <c:pt idx="2957">
                  <c:v>70</c:v>
                </c:pt>
                <c:pt idx="2958">
                  <c:v>100</c:v>
                </c:pt>
                <c:pt idx="2959">
                  <c:v>28</c:v>
                </c:pt>
                <c:pt idx="2960">
                  <c:v>48</c:v>
                </c:pt>
                <c:pt idx="2961">
                  <c:v>43</c:v>
                </c:pt>
                <c:pt idx="2962">
                  <c:v>40</c:v>
                </c:pt>
                <c:pt idx="2963">
                  <c:v>97</c:v>
                </c:pt>
                <c:pt idx="2964">
                  <c:v>25</c:v>
                </c:pt>
                <c:pt idx="2965">
                  <c:v>45</c:v>
                </c:pt>
                <c:pt idx="2966">
                  <c:v>49</c:v>
                </c:pt>
                <c:pt idx="2967">
                  <c:v>36</c:v>
                </c:pt>
                <c:pt idx="2968">
                  <c:v>48</c:v>
                </c:pt>
                <c:pt idx="2969">
                  <c:v>62</c:v>
                </c:pt>
                <c:pt idx="2970">
                  <c:v>74</c:v>
                </c:pt>
                <c:pt idx="2971">
                  <c:v>100</c:v>
                </c:pt>
                <c:pt idx="2972">
                  <c:v>39</c:v>
                </c:pt>
                <c:pt idx="2973">
                  <c:v>65</c:v>
                </c:pt>
                <c:pt idx="2974">
                  <c:v>99</c:v>
                </c:pt>
                <c:pt idx="2975">
                  <c:v>68</c:v>
                </c:pt>
                <c:pt idx="2976">
                  <c:v>97</c:v>
                </c:pt>
                <c:pt idx="2977">
                  <c:v>47</c:v>
                </c:pt>
                <c:pt idx="2978">
                  <c:v>56</c:v>
                </c:pt>
                <c:pt idx="2979">
                  <c:v>91</c:v>
                </c:pt>
                <c:pt idx="2980">
                  <c:v>93</c:v>
                </c:pt>
                <c:pt idx="2981">
                  <c:v>36</c:v>
                </c:pt>
                <c:pt idx="2982">
                  <c:v>45</c:v>
                </c:pt>
                <c:pt idx="2983">
                  <c:v>44</c:v>
                </c:pt>
                <c:pt idx="2984">
                  <c:v>32</c:v>
                </c:pt>
                <c:pt idx="2985">
                  <c:v>36</c:v>
                </c:pt>
                <c:pt idx="2986">
                  <c:v>85</c:v>
                </c:pt>
                <c:pt idx="2987">
                  <c:v>36</c:v>
                </c:pt>
                <c:pt idx="2988">
                  <c:v>55</c:v>
                </c:pt>
                <c:pt idx="2989">
                  <c:v>20</c:v>
                </c:pt>
                <c:pt idx="2990">
                  <c:v>91</c:v>
                </c:pt>
                <c:pt idx="2991">
                  <c:v>71</c:v>
                </c:pt>
                <c:pt idx="2992">
                  <c:v>64</c:v>
                </c:pt>
                <c:pt idx="2993">
                  <c:v>21</c:v>
                </c:pt>
                <c:pt idx="2994">
                  <c:v>100</c:v>
                </c:pt>
                <c:pt idx="2995">
                  <c:v>96</c:v>
                </c:pt>
                <c:pt idx="2996">
                  <c:v>91</c:v>
                </c:pt>
                <c:pt idx="2997">
                  <c:v>40</c:v>
                </c:pt>
                <c:pt idx="2998">
                  <c:v>53</c:v>
                </c:pt>
                <c:pt idx="2999">
                  <c:v>48</c:v>
                </c:pt>
                <c:pt idx="3000">
                  <c:v>70</c:v>
                </c:pt>
                <c:pt idx="3001">
                  <c:v>29</c:v>
                </c:pt>
                <c:pt idx="3002">
                  <c:v>29</c:v>
                </c:pt>
                <c:pt idx="3003">
                  <c:v>53</c:v>
                </c:pt>
                <c:pt idx="3004">
                  <c:v>79</c:v>
                </c:pt>
                <c:pt idx="3005">
                  <c:v>65</c:v>
                </c:pt>
                <c:pt idx="3006">
                  <c:v>99</c:v>
                </c:pt>
                <c:pt idx="3007">
                  <c:v>60</c:v>
                </c:pt>
                <c:pt idx="3008">
                  <c:v>86</c:v>
                </c:pt>
                <c:pt idx="3009">
                  <c:v>73</c:v>
                </c:pt>
                <c:pt idx="3010">
                  <c:v>45</c:v>
                </c:pt>
                <c:pt idx="3011">
                  <c:v>70</c:v>
                </c:pt>
                <c:pt idx="3012">
                  <c:v>65</c:v>
                </c:pt>
                <c:pt idx="3013">
                  <c:v>55</c:v>
                </c:pt>
                <c:pt idx="3014">
                  <c:v>65</c:v>
                </c:pt>
                <c:pt idx="3015">
                  <c:v>21</c:v>
                </c:pt>
                <c:pt idx="3016">
                  <c:v>26</c:v>
                </c:pt>
                <c:pt idx="3017">
                  <c:v>71</c:v>
                </c:pt>
                <c:pt idx="3018">
                  <c:v>41</c:v>
                </c:pt>
                <c:pt idx="3019">
                  <c:v>44</c:v>
                </c:pt>
                <c:pt idx="3020">
                  <c:v>81</c:v>
                </c:pt>
                <c:pt idx="3021">
                  <c:v>77</c:v>
                </c:pt>
                <c:pt idx="3022">
                  <c:v>26</c:v>
                </c:pt>
                <c:pt idx="3023">
                  <c:v>31</c:v>
                </c:pt>
                <c:pt idx="3024">
                  <c:v>82</c:v>
                </c:pt>
                <c:pt idx="3025">
                  <c:v>60</c:v>
                </c:pt>
                <c:pt idx="3026">
                  <c:v>70</c:v>
                </c:pt>
                <c:pt idx="3027">
                  <c:v>26</c:v>
                </c:pt>
                <c:pt idx="3028">
                  <c:v>100</c:v>
                </c:pt>
                <c:pt idx="3029">
                  <c:v>82</c:v>
                </c:pt>
                <c:pt idx="3030">
                  <c:v>24</c:v>
                </c:pt>
                <c:pt idx="3031">
                  <c:v>74</c:v>
                </c:pt>
                <c:pt idx="3032">
                  <c:v>58</c:v>
                </c:pt>
                <c:pt idx="3033">
                  <c:v>56</c:v>
                </c:pt>
                <c:pt idx="3034">
                  <c:v>37</c:v>
                </c:pt>
                <c:pt idx="3035">
                  <c:v>64</c:v>
                </c:pt>
                <c:pt idx="3036">
                  <c:v>58</c:v>
                </c:pt>
                <c:pt idx="3037">
                  <c:v>44</c:v>
                </c:pt>
                <c:pt idx="3038">
                  <c:v>39</c:v>
                </c:pt>
                <c:pt idx="3039">
                  <c:v>48</c:v>
                </c:pt>
                <c:pt idx="3040">
                  <c:v>32</c:v>
                </c:pt>
                <c:pt idx="3041">
                  <c:v>79</c:v>
                </c:pt>
                <c:pt idx="3042">
                  <c:v>27</c:v>
                </c:pt>
                <c:pt idx="3043">
                  <c:v>98</c:v>
                </c:pt>
                <c:pt idx="3044">
                  <c:v>67</c:v>
                </c:pt>
                <c:pt idx="3045">
                  <c:v>37</c:v>
                </c:pt>
                <c:pt idx="3046">
                  <c:v>49</c:v>
                </c:pt>
                <c:pt idx="3047">
                  <c:v>74</c:v>
                </c:pt>
                <c:pt idx="3048">
                  <c:v>93</c:v>
                </c:pt>
                <c:pt idx="3049">
                  <c:v>60</c:v>
                </c:pt>
                <c:pt idx="3050">
                  <c:v>76</c:v>
                </c:pt>
                <c:pt idx="3051">
                  <c:v>64</c:v>
                </c:pt>
                <c:pt idx="3052">
                  <c:v>38</c:v>
                </c:pt>
                <c:pt idx="3053">
                  <c:v>91</c:v>
                </c:pt>
                <c:pt idx="3054">
                  <c:v>70</c:v>
                </c:pt>
                <c:pt idx="3055">
                  <c:v>22</c:v>
                </c:pt>
                <c:pt idx="3056">
                  <c:v>59</c:v>
                </c:pt>
                <c:pt idx="3057">
                  <c:v>22</c:v>
                </c:pt>
                <c:pt idx="3058">
                  <c:v>74</c:v>
                </c:pt>
                <c:pt idx="3059">
                  <c:v>71</c:v>
                </c:pt>
                <c:pt idx="3060">
                  <c:v>80</c:v>
                </c:pt>
                <c:pt idx="3061">
                  <c:v>59</c:v>
                </c:pt>
                <c:pt idx="3062">
                  <c:v>96</c:v>
                </c:pt>
                <c:pt idx="3063">
                  <c:v>43</c:v>
                </c:pt>
                <c:pt idx="3064">
                  <c:v>76</c:v>
                </c:pt>
                <c:pt idx="3065">
                  <c:v>59</c:v>
                </c:pt>
                <c:pt idx="3066">
                  <c:v>48</c:v>
                </c:pt>
                <c:pt idx="3067">
                  <c:v>22</c:v>
                </c:pt>
                <c:pt idx="3068">
                  <c:v>40</c:v>
                </c:pt>
                <c:pt idx="3069">
                  <c:v>73</c:v>
                </c:pt>
                <c:pt idx="3070">
                  <c:v>26</c:v>
                </c:pt>
                <c:pt idx="3071">
                  <c:v>41</c:v>
                </c:pt>
                <c:pt idx="3072">
                  <c:v>98</c:v>
                </c:pt>
                <c:pt idx="3073">
                  <c:v>63</c:v>
                </c:pt>
                <c:pt idx="3074">
                  <c:v>55</c:v>
                </c:pt>
                <c:pt idx="3075">
                  <c:v>90</c:v>
                </c:pt>
                <c:pt idx="3076">
                  <c:v>46</c:v>
                </c:pt>
                <c:pt idx="3077">
                  <c:v>88</c:v>
                </c:pt>
                <c:pt idx="3078">
                  <c:v>95</c:v>
                </c:pt>
                <c:pt idx="3079">
                  <c:v>31</c:v>
                </c:pt>
                <c:pt idx="3080">
                  <c:v>42</c:v>
                </c:pt>
                <c:pt idx="3081">
                  <c:v>44</c:v>
                </c:pt>
                <c:pt idx="3082">
                  <c:v>99</c:v>
                </c:pt>
                <c:pt idx="3083">
                  <c:v>20</c:v>
                </c:pt>
                <c:pt idx="3084">
                  <c:v>37</c:v>
                </c:pt>
                <c:pt idx="3085">
                  <c:v>50</c:v>
                </c:pt>
                <c:pt idx="3086">
                  <c:v>73</c:v>
                </c:pt>
                <c:pt idx="3087">
                  <c:v>84</c:v>
                </c:pt>
                <c:pt idx="3088">
                  <c:v>64</c:v>
                </c:pt>
                <c:pt idx="3089">
                  <c:v>21</c:v>
                </c:pt>
                <c:pt idx="3090">
                  <c:v>36</c:v>
                </c:pt>
                <c:pt idx="3091">
                  <c:v>81</c:v>
                </c:pt>
                <c:pt idx="3092">
                  <c:v>54</c:v>
                </c:pt>
                <c:pt idx="3093">
                  <c:v>63</c:v>
                </c:pt>
                <c:pt idx="3094">
                  <c:v>59</c:v>
                </c:pt>
                <c:pt idx="3095">
                  <c:v>53</c:v>
                </c:pt>
                <c:pt idx="3096">
                  <c:v>63</c:v>
                </c:pt>
                <c:pt idx="3097">
                  <c:v>33</c:v>
                </c:pt>
                <c:pt idx="3098">
                  <c:v>64</c:v>
                </c:pt>
                <c:pt idx="3099">
                  <c:v>98</c:v>
                </c:pt>
                <c:pt idx="3100">
                  <c:v>85</c:v>
                </c:pt>
                <c:pt idx="3101">
                  <c:v>82</c:v>
                </c:pt>
                <c:pt idx="3102">
                  <c:v>85</c:v>
                </c:pt>
                <c:pt idx="3103">
                  <c:v>37</c:v>
                </c:pt>
                <c:pt idx="3104">
                  <c:v>56</c:v>
                </c:pt>
                <c:pt idx="3105">
                  <c:v>33</c:v>
                </c:pt>
                <c:pt idx="3106">
                  <c:v>57</c:v>
                </c:pt>
                <c:pt idx="3107">
                  <c:v>31</c:v>
                </c:pt>
                <c:pt idx="3108">
                  <c:v>69</c:v>
                </c:pt>
                <c:pt idx="3109">
                  <c:v>92</c:v>
                </c:pt>
                <c:pt idx="3110">
                  <c:v>46</c:v>
                </c:pt>
                <c:pt idx="3111">
                  <c:v>81</c:v>
                </c:pt>
                <c:pt idx="3112">
                  <c:v>97</c:v>
                </c:pt>
                <c:pt idx="3113">
                  <c:v>93</c:v>
                </c:pt>
                <c:pt idx="3114">
                  <c:v>56</c:v>
                </c:pt>
                <c:pt idx="3115">
                  <c:v>53</c:v>
                </c:pt>
                <c:pt idx="3116">
                  <c:v>66</c:v>
                </c:pt>
                <c:pt idx="3117">
                  <c:v>50</c:v>
                </c:pt>
                <c:pt idx="3118">
                  <c:v>97</c:v>
                </c:pt>
                <c:pt idx="3119">
                  <c:v>79</c:v>
                </c:pt>
                <c:pt idx="3120">
                  <c:v>76</c:v>
                </c:pt>
                <c:pt idx="3121">
                  <c:v>38</c:v>
                </c:pt>
                <c:pt idx="3122">
                  <c:v>45</c:v>
                </c:pt>
                <c:pt idx="3123">
                  <c:v>77</c:v>
                </c:pt>
                <c:pt idx="3124">
                  <c:v>51</c:v>
                </c:pt>
                <c:pt idx="3125">
                  <c:v>26</c:v>
                </c:pt>
                <c:pt idx="3126">
                  <c:v>76</c:v>
                </c:pt>
                <c:pt idx="3127">
                  <c:v>94</c:v>
                </c:pt>
                <c:pt idx="3128">
                  <c:v>32</c:v>
                </c:pt>
                <c:pt idx="3129">
                  <c:v>20</c:v>
                </c:pt>
                <c:pt idx="3130">
                  <c:v>20</c:v>
                </c:pt>
                <c:pt idx="3131">
                  <c:v>59</c:v>
                </c:pt>
                <c:pt idx="3132">
                  <c:v>97</c:v>
                </c:pt>
                <c:pt idx="3133">
                  <c:v>68</c:v>
                </c:pt>
                <c:pt idx="3134">
                  <c:v>66</c:v>
                </c:pt>
                <c:pt idx="3135">
                  <c:v>85</c:v>
                </c:pt>
                <c:pt idx="3136">
                  <c:v>32</c:v>
                </c:pt>
                <c:pt idx="3137">
                  <c:v>44</c:v>
                </c:pt>
                <c:pt idx="3138">
                  <c:v>95</c:v>
                </c:pt>
                <c:pt idx="3139">
                  <c:v>85</c:v>
                </c:pt>
                <c:pt idx="3140">
                  <c:v>44</c:v>
                </c:pt>
                <c:pt idx="3141">
                  <c:v>30</c:v>
                </c:pt>
                <c:pt idx="3142">
                  <c:v>21</c:v>
                </c:pt>
                <c:pt idx="3143">
                  <c:v>22</c:v>
                </c:pt>
                <c:pt idx="3144">
                  <c:v>70</c:v>
                </c:pt>
                <c:pt idx="3145">
                  <c:v>29</c:v>
                </c:pt>
                <c:pt idx="3146">
                  <c:v>83</c:v>
                </c:pt>
                <c:pt idx="3147">
                  <c:v>99</c:v>
                </c:pt>
                <c:pt idx="3148">
                  <c:v>35</c:v>
                </c:pt>
                <c:pt idx="3149">
                  <c:v>40</c:v>
                </c:pt>
                <c:pt idx="3150">
                  <c:v>25</c:v>
                </c:pt>
                <c:pt idx="3151">
                  <c:v>64</c:v>
                </c:pt>
                <c:pt idx="3152">
                  <c:v>90</c:v>
                </c:pt>
                <c:pt idx="3153">
                  <c:v>88</c:v>
                </c:pt>
                <c:pt idx="3154">
                  <c:v>55</c:v>
                </c:pt>
                <c:pt idx="3155">
                  <c:v>90</c:v>
                </c:pt>
                <c:pt idx="3156">
                  <c:v>50</c:v>
                </c:pt>
                <c:pt idx="3157">
                  <c:v>34</c:v>
                </c:pt>
                <c:pt idx="3158">
                  <c:v>77</c:v>
                </c:pt>
                <c:pt idx="3159">
                  <c:v>89</c:v>
                </c:pt>
                <c:pt idx="3160">
                  <c:v>87</c:v>
                </c:pt>
                <c:pt idx="3161">
                  <c:v>77</c:v>
                </c:pt>
                <c:pt idx="3162">
                  <c:v>85</c:v>
                </c:pt>
                <c:pt idx="3163">
                  <c:v>66</c:v>
                </c:pt>
                <c:pt idx="3164">
                  <c:v>32</c:v>
                </c:pt>
                <c:pt idx="3165">
                  <c:v>92</c:v>
                </c:pt>
                <c:pt idx="3166">
                  <c:v>80</c:v>
                </c:pt>
                <c:pt idx="3167">
                  <c:v>78</c:v>
                </c:pt>
                <c:pt idx="3168">
                  <c:v>24</c:v>
                </c:pt>
                <c:pt idx="3169">
                  <c:v>59</c:v>
                </c:pt>
                <c:pt idx="3170">
                  <c:v>41</c:v>
                </c:pt>
                <c:pt idx="3171">
                  <c:v>26</c:v>
                </c:pt>
                <c:pt idx="3172">
                  <c:v>52</c:v>
                </c:pt>
                <c:pt idx="3173">
                  <c:v>46</c:v>
                </c:pt>
                <c:pt idx="3174">
                  <c:v>52</c:v>
                </c:pt>
                <c:pt idx="3175">
                  <c:v>42</c:v>
                </c:pt>
                <c:pt idx="3176">
                  <c:v>37</c:v>
                </c:pt>
                <c:pt idx="3177">
                  <c:v>52</c:v>
                </c:pt>
                <c:pt idx="3178">
                  <c:v>34</c:v>
                </c:pt>
                <c:pt idx="3179">
                  <c:v>88</c:v>
                </c:pt>
                <c:pt idx="3180">
                  <c:v>88</c:v>
                </c:pt>
                <c:pt idx="3181">
                  <c:v>51</c:v>
                </c:pt>
                <c:pt idx="3182">
                  <c:v>97</c:v>
                </c:pt>
                <c:pt idx="3183">
                  <c:v>56</c:v>
                </c:pt>
                <c:pt idx="3184">
                  <c:v>53</c:v>
                </c:pt>
                <c:pt idx="3185">
                  <c:v>71</c:v>
                </c:pt>
                <c:pt idx="3186">
                  <c:v>93</c:v>
                </c:pt>
                <c:pt idx="3187">
                  <c:v>72</c:v>
                </c:pt>
                <c:pt idx="3188">
                  <c:v>59</c:v>
                </c:pt>
                <c:pt idx="3189">
                  <c:v>87</c:v>
                </c:pt>
                <c:pt idx="3190">
                  <c:v>78</c:v>
                </c:pt>
                <c:pt idx="3191">
                  <c:v>68</c:v>
                </c:pt>
                <c:pt idx="3192">
                  <c:v>76</c:v>
                </c:pt>
                <c:pt idx="3193">
                  <c:v>99</c:v>
                </c:pt>
                <c:pt idx="3194">
                  <c:v>52</c:v>
                </c:pt>
                <c:pt idx="3195">
                  <c:v>58</c:v>
                </c:pt>
                <c:pt idx="3196">
                  <c:v>59</c:v>
                </c:pt>
                <c:pt idx="3197">
                  <c:v>71</c:v>
                </c:pt>
                <c:pt idx="3198">
                  <c:v>94</c:v>
                </c:pt>
                <c:pt idx="3199">
                  <c:v>40</c:v>
                </c:pt>
                <c:pt idx="3200">
                  <c:v>24</c:v>
                </c:pt>
                <c:pt idx="3201">
                  <c:v>38</c:v>
                </c:pt>
                <c:pt idx="3202">
                  <c:v>37</c:v>
                </c:pt>
                <c:pt idx="3203">
                  <c:v>29</c:v>
                </c:pt>
                <c:pt idx="3204">
                  <c:v>92</c:v>
                </c:pt>
                <c:pt idx="3205">
                  <c:v>24</c:v>
                </c:pt>
                <c:pt idx="3206">
                  <c:v>52</c:v>
                </c:pt>
                <c:pt idx="3207">
                  <c:v>29</c:v>
                </c:pt>
                <c:pt idx="3208">
                  <c:v>30</c:v>
                </c:pt>
                <c:pt idx="3209">
                  <c:v>31</c:v>
                </c:pt>
                <c:pt idx="3210">
                  <c:v>67</c:v>
                </c:pt>
                <c:pt idx="3211">
                  <c:v>65</c:v>
                </c:pt>
                <c:pt idx="3212">
                  <c:v>22</c:v>
                </c:pt>
                <c:pt idx="3213">
                  <c:v>56</c:v>
                </c:pt>
                <c:pt idx="3214">
                  <c:v>78</c:v>
                </c:pt>
                <c:pt idx="3215">
                  <c:v>90</c:v>
                </c:pt>
                <c:pt idx="3216">
                  <c:v>85</c:v>
                </c:pt>
                <c:pt idx="3217">
                  <c:v>58</c:v>
                </c:pt>
                <c:pt idx="3218">
                  <c:v>34</c:v>
                </c:pt>
                <c:pt idx="3219">
                  <c:v>40</c:v>
                </c:pt>
                <c:pt idx="3220">
                  <c:v>29</c:v>
                </c:pt>
                <c:pt idx="3221">
                  <c:v>76</c:v>
                </c:pt>
                <c:pt idx="3222">
                  <c:v>84</c:v>
                </c:pt>
                <c:pt idx="3223">
                  <c:v>65</c:v>
                </c:pt>
                <c:pt idx="3224">
                  <c:v>80</c:v>
                </c:pt>
                <c:pt idx="3225">
                  <c:v>98</c:v>
                </c:pt>
                <c:pt idx="3226">
                  <c:v>71</c:v>
                </c:pt>
                <c:pt idx="3227">
                  <c:v>69</c:v>
                </c:pt>
                <c:pt idx="3228">
                  <c:v>95</c:v>
                </c:pt>
                <c:pt idx="3229">
                  <c:v>67</c:v>
                </c:pt>
                <c:pt idx="3230">
                  <c:v>49</c:v>
                </c:pt>
                <c:pt idx="3231">
                  <c:v>97</c:v>
                </c:pt>
                <c:pt idx="3232">
                  <c:v>34</c:v>
                </c:pt>
                <c:pt idx="3233">
                  <c:v>74</c:v>
                </c:pt>
                <c:pt idx="3234">
                  <c:v>96</c:v>
                </c:pt>
                <c:pt idx="3235">
                  <c:v>68</c:v>
                </c:pt>
                <c:pt idx="3236">
                  <c:v>84</c:v>
                </c:pt>
                <c:pt idx="3237">
                  <c:v>57</c:v>
                </c:pt>
                <c:pt idx="3238">
                  <c:v>84</c:v>
                </c:pt>
                <c:pt idx="3239">
                  <c:v>32</c:v>
                </c:pt>
                <c:pt idx="3240">
                  <c:v>37</c:v>
                </c:pt>
                <c:pt idx="3241">
                  <c:v>58</c:v>
                </c:pt>
                <c:pt idx="3242">
                  <c:v>74</c:v>
                </c:pt>
                <c:pt idx="3243">
                  <c:v>99</c:v>
                </c:pt>
                <c:pt idx="3244">
                  <c:v>81</c:v>
                </c:pt>
                <c:pt idx="3245">
                  <c:v>76</c:v>
                </c:pt>
                <c:pt idx="3246">
                  <c:v>98</c:v>
                </c:pt>
                <c:pt idx="3247">
                  <c:v>91</c:v>
                </c:pt>
                <c:pt idx="3248">
                  <c:v>79</c:v>
                </c:pt>
                <c:pt idx="3249">
                  <c:v>83</c:v>
                </c:pt>
                <c:pt idx="3250">
                  <c:v>90</c:v>
                </c:pt>
                <c:pt idx="3251">
                  <c:v>20</c:v>
                </c:pt>
                <c:pt idx="3252">
                  <c:v>21</c:v>
                </c:pt>
                <c:pt idx="3253">
                  <c:v>60</c:v>
                </c:pt>
                <c:pt idx="3254">
                  <c:v>31</c:v>
                </c:pt>
                <c:pt idx="3255">
                  <c:v>40</c:v>
                </c:pt>
                <c:pt idx="3256">
                  <c:v>26</c:v>
                </c:pt>
                <c:pt idx="3257">
                  <c:v>98</c:v>
                </c:pt>
                <c:pt idx="3258">
                  <c:v>51</c:v>
                </c:pt>
                <c:pt idx="3259">
                  <c:v>95</c:v>
                </c:pt>
                <c:pt idx="3260">
                  <c:v>36</c:v>
                </c:pt>
                <c:pt idx="3261">
                  <c:v>52</c:v>
                </c:pt>
                <c:pt idx="3262">
                  <c:v>35</c:v>
                </c:pt>
                <c:pt idx="3263">
                  <c:v>68</c:v>
                </c:pt>
                <c:pt idx="3264">
                  <c:v>50</c:v>
                </c:pt>
                <c:pt idx="3265">
                  <c:v>100</c:v>
                </c:pt>
                <c:pt idx="3266">
                  <c:v>74</c:v>
                </c:pt>
                <c:pt idx="3267">
                  <c:v>45</c:v>
                </c:pt>
                <c:pt idx="3268">
                  <c:v>97</c:v>
                </c:pt>
                <c:pt idx="3269">
                  <c:v>60</c:v>
                </c:pt>
                <c:pt idx="3270">
                  <c:v>25</c:v>
                </c:pt>
                <c:pt idx="3271">
                  <c:v>55</c:v>
                </c:pt>
                <c:pt idx="3272">
                  <c:v>99</c:v>
                </c:pt>
                <c:pt idx="3273">
                  <c:v>45</c:v>
                </c:pt>
                <c:pt idx="3274">
                  <c:v>20</c:v>
                </c:pt>
                <c:pt idx="3275">
                  <c:v>88</c:v>
                </c:pt>
                <c:pt idx="3276">
                  <c:v>99</c:v>
                </c:pt>
                <c:pt idx="3277">
                  <c:v>86</c:v>
                </c:pt>
                <c:pt idx="3278">
                  <c:v>70</c:v>
                </c:pt>
                <c:pt idx="3279">
                  <c:v>50</c:v>
                </c:pt>
                <c:pt idx="3280">
                  <c:v>57</c:v>
                </c:pt>
                <c:pt idx="3281">
                  <c:v>69</c:v>
                </c:pt>
                <c:pt idx="3282">
                  <c:v>94</c:v>
                </c:pt>
                <c:pt idx="3283">
                  <c:v>24</c:v>
                </c:pt>
                <c:pt idx="3284">
                  <c:v>79</c:v>
                </c:pt>
                <c:pt idx="3285">
                  <c:v>31</c:v>
                </c:pt>
                <c:pt idx="3286">
                  <c:v>67</c:v>
                </c:pt>
                <c:pt idx="3287">
                  <c:v>63</c:v>
                </c:pt>
                <c:pt idx="3288">
                  <c:v>61</c:v>
                </c:pt>
                <c:pt idx="3289">
                  <c:v>50</c:v>
                </c:pt>
                <c:pt idx="3290">
                  <c:v>82</c:v>
                </c:pt>
                <c:pt idx="3291">
                  <c:v>51</c:v>
                </c:pt>
                <c:pt idx="3292">
                  <c:v>23</c:v>
                </c:pt>
                <c:pt idx="3293">
                  <c:v>91</c:v>
                </c:pt>
                <c:pt idx="3294">
                  <c:v>60</c:v>
                </c:pt>
                <c:pt idx="3295">
                  <c:v>34</c:v>
                </c:pt>
                <c:pt idx="3296">
                  <c:v>23</c:v>
                </c:pt>
                <c:pt idx="3297">
                  <c:v>82</c:v>
                </c:pt>
                <c:pt idx="3298">
                  <c:v>73</c:v>
                </c:pt>
                <c:pt idx="3299">
                  <c:v>32</c:v>
                </c:pt>
                <c:pt idx="3300">
                  <c:v>80</c:v>
                </c:pt>
                <c:pt idx="3301">
                  <c:v>58</c:v>
                </c:pt>
                <c:pt idx="3302">
                  <c:v>82</c:v>
                </c:pt>
                <c:pt idx="3303">
                  <c:v>60</c:v>
                </c:pt>
                <c:pt idx="3304">
                  <c:v>79</c:v>
                </c:pt>
                <c:pt idx="3305">
                  <c:v>41</c:v>
                </c:pt>
                <c:pt idx="3306">
                  <c:v>39</c:v>
                </c:pt>
                <c:pt idx="3307">
                  <c:v>36</c:v>
                </c:pt>
                <c:pt idx="3308">
                  <c:v>70</c:v>
                </c:pt>
                <c:pt idx="3309">
                  <c:v>47</c:v>
                </c:pt>
                <c:pt idx="3310">
                  <c:v>27</c:v>
                </c:pt>
                <c:pt idx="3311">
                  <c:v>52</c:v>
                </c:pt>
                <c:pt idx="3312">
                  <c:v>75</c:v>
                </c:pt>
                <c:pt idx="3313">
                  <c:v>30</c:v>
                </c:pt>
                <c:pt idx="3314">
                  <c:v>94</c:v>
                </c:pt>
                <c:pt idx="3315">
                  <c:v>68</c:v>
                </c:pt>
                <c:pt idx="3316">
                  <c:v>45</c:v>
                </c:pt>
                <c:pt idx="3317">
                  <c:v>67</c:v>
                </c:pt>
                <c:pt idx="3318">
                  <c:v>46</c:v>
                </c:pt>
                <c:pt idx="3319">
                  <c:v>31</c:v>
                </c:pt>
                <c:pt idx="3320">
                  <c:v>44</c:v>
                </c:pt>
                <c:pt idx="3321">
                  <c:v>100</c:v>
                </c:pt>
                <c:pt idx="3322">
                  <c:v>92</c:v>
                </c:pt>
                <c:pt idx="3323">
                  <c:v>78</c:v>
                </c:pt>
                <c:pt idx="3324">
                  <c:v>32</c:v>
                </c:pt>
                <c:pt idx="3325">
                  <c:v>97</c:v>
                </c:pt>
                <c:pt idx="3326">
                  <c:v>95</c:v>
                </c:pt>
                <c:pt idx="3327">
                  <c:v>64</c:v>
                </c:pt>
                <c:pt idx="3328">
                  <c:v>35</c:v>
                </c:pt>
                <c:pt idx="3329">
                  <c:v>54</c:v>
                </c:pt>
                <c:pt idx="3330">
                  <c:v>96</c:v>
                </c:pt>
                <c:pt idx="3331">
                  <c:v>58</c:v>
                </c:pt>
                <c:pt idx="3332">
                  <c:v>23</c:v>
                </c:pt>
                <c:pt idx="3333">
                  <c:v>35</c:v>
                </c:pt>
                <c:pt idx="3334">
                  <c:v>23</c:v>
                </c:pt>
                <c:pt idx="3335">
                  <c:v>94</c:v>
                </c:pt>
                <c:pt idx="3336">
                  <c:v>45</c:v>
                </c:pt>
                <c:pt idx="3337">
                  <c:v>23</c:v>
                </c:pt>
                <c:pt idx="3338">
                  <c:v>94</c:v>
                </c:pt>
                <c:pt idx="3339">
                  <c:v>99</c:v>
                </c:pt>
                <c:pt idx="3340">
                  <c:v>36</c:v>
                </c:pt>
                <c:pt idx="3341">
                  <c:v>50</c:v>
                </c:pt>
                <c:pt idx="3342">
                  <c:v>81</c:v>
                </c:pt>
                <c:pt idx="3343">
                  <c:v>31</c:v>
                </c:pt>
                <c:pt idx="3344">
                  <c:v>48</c:v>
                </c:pt>
                <c:pt idx="3345">
                  <c:v>91</c:v>
                </c:pt>
                <c:pt idx="3346">
                  <c:v>99</c:v>
                </c:pt>
                <c:pt idx="3347">
                  <c:v>70</c:v>
                </c:pt>
                <c:pt idx="3348">
                  <c:v>74</c:v>
                </c:pt>
                <c:pt idx="3349">
                  <c:v>79</c:v>
                </c:pt>
                <c:pt idx="3350">
                  <c:v>33</c:v>
                </c:pt>
                <c:pt idx="3351">
                  <c:v>49</c:v>
                </c:pt>
                <c:pt idx="3352">
                  <c:v>96</c:v>
                </c:pt>
                <c:pt idx="3353">
                  <c:v>66</c:v>
                </c:pt>
                <c:pt idx="3354">
                  <c:v>45</c:v>
                </c:pt>
                <c:pt idx="3355">
                  <c:v>28</c:v>
                </c:pt>
                <c:pt idx="3356">
                  <c:v>48</c:v>
                </c:pt>
                <c:pt idx="3357">
                  <c:v>67</c:v>
                </c:pt>
                <c:pt idx="3358">
                  <c:v>59</c:v>
                </c:pt>
                <c:pt idx="3359">
                  <c:v>74</c:v>
                </c:pt>
                <c:pt idx="3360">
                  <c:v>81</c:v>
                </c:pt>
                <c:pt idx="3361">
                  <c:v>26</c:v>
                </c:pt>
                <c:pt idx="3362">
                  <c:v>61</c:v>
                </c:pt>
                <c:pt idx="3363">
                  <c:v>23</c:v>
                </c:pt>
                <c:pt idx="3364">
                  <c:v>33</c:v>
                </c:pt>
                <c:pt idx="3365">
                  <c:v>58</c:v>
                </c:pt>
                <c:pt idx="3366">
                  <c:v>65</c:v>
                </c:pt>
                <c:pt idx="3367">
                  <c:v>48</c:v>
                </c:pt>
                <c:pt idx="3368">
                  <c:v>25</c:v>
                </c:pt>
                <c:pt idx="3369">
                  <c:v>51</c:v>
                </c:pt>
                <c:pt idx="3370">
                  <c:v>31</c:v>
                </c:pt>
                <c:pt idx="3371">
                  <c:v>99</c:v>
                </c:pt>
                <c:pt idx="3372">
                  <c:v>25</c:v>
                </c:pt>
                <c:pt idx="3373">
                  <c:v>52</c:v>
                </c:pt>
                <c:pt idx="3374">
                  <c:v>47</c:v>
                </c:pt>
                <c:pt idx="3375">
                  <c:v>98</c:v>
                </c:pt>
                <c:pt idx="3376">
                  <c:v>46</c:v>
                </c:pt>
                <c:pt idx="3377">
                  <c:v>32</c:v>
                </c:pt>
                <c:pt idx="3378">
                  <c:v>75</c:v>
                </c:pt>
                <c:pt idx="3379">
                  <c:v>51</c:v>
                </c:pt>
                <c:pt idx="3380">
                  <c:v>52</c:v>
                </c:pt>
                <c:pt idx="3381">
                  <c:v>66</c:v>
                </c:pt>
                <c:pt idx="3382">
                  <c:v>35</c:v>
                </c:pt>
                <c:pt idx="3383">
                  <c:v>43</c:v>
                </c:pt>
                <c:pt idx="3384">
                  <c:v>24</c:v>
                </c:pt>
                <c:pt idx="3385">
                  <c:v>83</c:v>
                </c:pt>
                <c:pt idx="3386">
                  <c:v>62</c:v>
                </c:pt>
                <c:pt idx="3387">
                  <c:v>78</c:v>
                </c:pt>
                <c:pt idx="3388">
                  <c:v>61</c:v>
                </c:pt>
                <c:pt idx="3389">
                  <c:v>57</c:v>
                </c:pt>
                <c:pt idx="3390">
                  <c:v>70</c:v>
                </c:pt>
                <c:pt idx="3391">
                  <c:v>57</c:v>
                </c:pt>
                <c:pt idx="3392">
                  <c:v>74</c:v>
                </c:pt>
                <c:pt idx="3393">
                  <c:v>90</c:v>
                </c:pt>
                <c:pt idx="3394">
                  <c:v>98</c:v>
                </c:pt>
                <c:pt idx="3395">
                  <c:v>43</c:v>
                </c:pt>
                <c:pt idx="3396">
                  <c:v>37</c:v>
                </c:pt>
                <c:pt idx="3397">
                  <c:v>38</c:v>
                </c:pt>
                <c:pt idx="3398">
                  <c:v>60</c:v>
                </c:pt>
                <c:pt idx="3399">
                  <c:v>55</c:v>
                </c:pt>
                <c:pt idx="3400">
                  <c:v>51</c:v>
                </c:pt>
                <c:pt idx="3401">
                  <c:v>71</c:v>
                </c:pt>
                <c:pt idx="3402">
                  <c:v>61</c:v>
                </c:pt>
                <c:pt idx="3403">
                  <c:v>65</c:v>
                </c:pt>
                <c:pt idx="3404">
                  <c:v>34</c:v>
                </c:pt>
                <c:pt idx="3405">
                  <c:v>87</c:v>
                </c:pt>
                <c:pt idx="3406">
                  <c:v>79</c:v>
                </c:pt>
                <c:pt idx="3407">
                  <c:v>46</c:v>
                </c:pt>
                <c:pt idx="3408">
                  <c:v>72</c:v>
                </c:pt>
                <c:pt idx="3409">
                  <c:v>93</c:v>
                </c:pt>
                <c:pt idx="3410">
                  <c:v>76</c:v>
                </c:pt>
                <c:pt idx="3411">
                  <c:v>56</c:v>
                </c:pt>
                <c:pt idx="3412">
                  <c:v>83</c:v>
                </c:pt>
                <c:pt idx="3413">
                  <c:v>90</c:v>
                </c:pt>
                <c:pt idx="3414">
                  <c:v>94</c:v>
                </c:pt>
                <c:pt idx="3415">
                  <c:v>68</c:v>
                </c:pt>
                <c:pt idx="3416">
                  <c:v>53</c:v>
                </c:pt>
                <c:pt idx="3417">
                  <c:v>35</c:v>
                </c:pt>
                <c:pt idx="3418">
                  <c:v>30</c:v>
                </c:pt>
                <c:pt idx="3419">
                  <c:v>26</c:v>
                </c:pt>
                <c:pt idx="3420">
                  <c:v>60</c:v>
                </c:pt>
                <c:pt idx="3421">
                  <c:v>30</c:v>
                </c:pt>
                <c:pt idx="3422">
                  <c:v>91</c:v>
                </c:pt>
                <c:pt idx="3423">
                  <c:v>71</c:v>
                </c:pt>
                <c:pt idx="3424">
                  <c:v>64</c:v>
                </c:pt>
                <c:pt idx="3425">
                  <c:v>54</c:v>
                </c:pt>
                <c:pt idx="3426">
                  <c:v>35</c:v>
                </c:pt>
                <c:pt idx="3427">
                  <c:v>38</c:v>
                </c:pt>
                <c:pt idx="3428">
                  <c:v>69</c:v>
                </c:pt>
                <c:pt idx="3429">
                  <c:v>96</c:v>
                </c:pt>
                <c:pt idx="3430">
                  <c:v>73</c:v>
                </c:pt>
                <c:pt idx="3431">
                  <c:v>49</c:v>
                </c:pt>
                <c:pt idx="3432">
                  <c:v>44</c:v>
                </c:pt>
                <c:pt idx="3433">
                  <c:v>93</c:v>
                </c:pt>
                <c:pt idx="3434">
                  <c:v>72</c:v>
                </c:pt>
                <c:pt idx="3435">
                  <c:v>91</c:v>
                </c:pt>
                <c:pt idx="3436">
                  <c:v>83</c:v>
                </c:pt>
                <c:pt idx="3437">
                  <c:v>62</c:v>
                </c:pt>
                <c:pt idx="3438">
                  <c:v>71</c:v>
                </c:pt>
                <c:pt idx="3439">
                  <c:v>93</c:v>
                </c:pt>
                <c:pt idx="3440">
                  <c:v>63</c:v>
                </c:pt>
                <c:pt idx="3441">
                  <c:v>96</c:v>
                </c:pt>
                <c:pt idx="3442">
                  <c:v>78</c:v>
                </c:pt>
                <c:pt idx="3443">
                  <c:v>24</c:v>
                </c:pt>
                <c:pt idx="3444">
                  <c:v>63</c:v>
                </c:pt>
                <c:pt idx="3445">
                  <c:v>58</c:v>
                </c:pt>
                <c:pt idx="3446">
                  <c:v>55</c:v>
                </c:pt>
                <c:pt idx="3447">
                  <c:v>58</c:v>
                </c:pt>
                <c:pt idx="3448">
                  <c:v>28</c:v>
                </c:pt>
                <c:pt idx="3449">
                  <c:v>37</c:v>
                </c:pt>
                <c:pt idx="3450">
                  <c:v>78</c:v>
                </c:pt>
                <c:pt idx="3451">
                  <c:v>73</c:v>
                </c:pt>
                <c:pt idx="3452">
                  <c:v>20</c:v>
                </c:pt>
                <c:pt idx="3453">
                  <c:v>60</c:v>
                </c:pt>
                <c:pt idx="3454">
                  <c:v>71</c:v>
                </c:pt>
                <c:pt idx="3455">
                  <c:v>89</c:v>
                </c:pt>
                <c:pt idx="3456">
                  <c:v>53</c:v>
                </c:pt>
                <c:pt idx="3457">
                  <c:v>87</c:v>
                </c:pt>
                <c:pt idx="3458">
                  <c:v>37</c:v>
                </c:pt>
                <c:pt idx="3459">
                  <c:v>37</c:v>
                </c:pt>
                <c:pt idx="3460">
                  <c:v>78</c:v>
                </c:pt>
                <c:pt idx="3461">
                  <c:v>23</c:v>
                </c:pt>
                <c:pt idx="3462">
                  <c:v>73</c:v>
                </c:pt>
                <c:pt idx="3463">
                  <c:v>27</c:v>
                </c:pt>
                <c:pt idx="3464">
                  <c:v>59</c:v>
                </c:pt>
                <c:pt idx="3465">
                  <c:v>53</c:v>
                </c:pt>
                <c:pt idx="3466">
                  <c:v>42</c:v>
                </c:pt>
                <c:pt idx="3467">
                  <c:v>45</c:v>
                </c:pt>
                <c:pt idx="3468">
                  <c:v>89</c:v>
                </c:pt>
                <c:pt idx="3469">
                  <c:v>85</c:v>
                </c:pt>
                <c:pt idx="3470">
                  <c:v>69</c:v>
                </c:pt>
                <c:pt idx="3471">
                  <c:v>66</c:v>
                </c:pt>
                <c:pt idx="3472">
                  <c:v>42</c:v>
                </c:pt>
                <c:pt idx="3473">
                  <c:v>40</c:v>
                </c:pt>
                <c:pt idx="3474">
                  <c:v>82</c:v>
                </c:pt>
                <c:pt idx="3475">
                  <c:v>88</c:v>
                </c:pt>
                <c:pt idx="3476">
                  <c:v>99</c:v>
                </c:pt>
                <c:pt idx="3477">
                  <c:v>85</c:v>
                </c:pt>
                <c:pt idx="3478">
                  <c:v>57</c:v>
                </c:pt>
                <c:pt idx="3479">
                  <c:v>56</c:v>
                </c:pt>
                <c:pt idx="3480">
                  <c:v>79</c:v>
                </c:pt>
                <c:pt idx="3481">
                  <c:v>67</c:v>
                </c:pt>
                <c:pt idx="3482">
                  <c:v>61</c:v>
                </c:pt>
                <c:pt idx="3483">
                  <c:v>37</c:v>
                </c:pt>
                <c:pt idx="3484">
                  <c:v>75</c:v>
                </c:pt>
                <c:pt idx="3485">
                  <c:v>21</c:v>
                </c:pt>
                <c:pt idx="3486">
                  <c:v>89</c:v>
                </c:pt>
                <c:pt idx="3487">
                  <c:v>24</c:v>
                </c:pt>
                <c:pt idx="3488">
                  <c:v>27</c:v>
                </c:pt>
                <c:pt idx="3489">
                  <c:v>26</c:v>
                </c:pt>
                <c:pt idx="3490">
                  <c:v>82</c:v>
                </c:pt>
                <c:pt idx="3491">
                  <c:v>28</c:v>
                </c:pt>
                <c:pt idx="3492">
                  <c:v>65</c:v>
                </c:pt>
                <c:pt idx="3493">
                  <c:v>82</c:v>
                </c:pt>
                <c:pt idx="3494">
                  <c:v>38</c:v>
                </c:pt>
                <c:pt idx="3495">
                  <c:v>33</c:v>
                </c:pt>
                <c:pt idx="3496">
                  <c:v>38</c:v>
                </c:pt>
                <c:pt idx="3497">
                  <c:v>48</c:v>
                </c:pt>
                <c:pt idx="3498">
                  <c:v>35</c:v>
                </c:pt>
                <c:pt idx="3499">
                  <c:v>29</c:v>
                </c:pt>
                <c:pt idx="3500">
                  <c:v>48</c:v>
                </c:pt>
                <c:pt idx="3501">
                  <c:v>87</c:v>
                </c:pt>
                <c:pt idx="3502">
                  <c:v>62</c:v>
                </c:pt>
                <c:pt idx="3503">
                  <c:v>96</c:v>
                </c:pt>
                <c:pt idx="3504">
                  <c:v>41</c:v>
                </c:pt>
                <c:pt idx="3505">
                  <c:v>42</c:v>
                </c:pt>
                <c:pt idx="3506">
                  <c:v>57</c:v>
                </c:pt>
                <c:pt idx="3507">
                  <c:v>65</c:v>
                </c:pt>
                <c:pt idx="3508">
                  <c:v>54</c:v>
                </c:pt>
                <c:pt idx="3509">
                  <c:v>22</c:v>
                </c:pt>
                <c:pt idx="3510">
                  <c:v>96</c:v>
                </c:pt>
                <c:pt idx="3511">
                  <c:v>81</c:v>
                </c:pt>
                <c:pt idx="3512">
                  <c:v>46</c:v>
                </c:pt>
                <c:pt idx="3513">
                  <c:v>74</c:v>
                </c:pt>
                <c:pt idx="3514">
                  <c:v>50</c:v>
                </c:pt>
                <c:pt idx="3515">
                  <c:v>80</c:v>
                </c:pt>
                <c:pt idx="3516">
                  <c:v>56</c:v>
                </c:pt>
                <c:pt idx="3517">
                  <c:v>69</c:v>
                </c:pt>
                <c:pt idx="3518">
                  <c:v>97</c:v>
                </c:pt>
                <c:pt idx="3519">
                  <c:v>66</c:v>
                </c:pt>
                <c:pt idx="3520">
                  <c:v>70</c:v>
                </c:pt>
                <c:pt idx="3521">
                  <c:v>50</c:v>
                </c:pt>
                <c:pt idx="3522">
                  <c:v>85</c:v>
                </c:pt>
                <c:pt idx="3523">
                  <c:v>59</c:v>
                </c:pt>
                <c:pt idx="3524">
                  <c:v>74</c:v>
                </c:pt>
                <c:pt idx="3525">
                  <c:v>38</c:v>
                </c:pt>
                <c:pt idx="3526">
                  <c:v>99</c:v>
                </c:pt>
                <c:pt idx="3527">
                  <c:v>97</c:v>
                </c:pt>
                <c:pt idx="3528">
                  <c:v>67</c:v>
                </c:pt>
                <c:pt idx="3529">
                  <c:v>20</c:v>
                </c:pt>
                <c:pt idx="3530">
                  <c:v>45</c:v>
                </c:pt>
                <c:pt idx="3531">
                  <c:v>52</c:v>
                </c:pt>
                <c:pt idx="3532">
                  <c:v>68</c:v>
                </c:pt>
                <c:pt idx="3533">
                  <c:v>98</c:v>
                </c:pt>
                <c:pt idx="3534">
                  <c:v>83</c:v>
                </c:pt>
                <c:pt idx="3535">
                  <c:v>51</c:v>
                </c:pt>
                <c:pt idx="3536">
                  <c:v>21</c:v>
                </c:pt>
                <c:pt idx="3537">
                  <c:v>92</c:v>
                </c:pt>
                <c:pt idx="3538">
                  <c:v>63</c:v>
                </c:pt>
                <c:pt idx="3539">
                  <c:v>56</c:v>
                </c:pt>
                <c:pt idx="3540">
                  <c:v>95</c:v>
                </c:pt>
                <c:pt idx="3541">
                  <c:v>66</c:v>
                </c:pt>
                <c:pt idx="3542">
                  <c:v>28</c:v>
                </c:pt>
                <c:pt idx="3543">
                  <c:v>83</c:v>
                </c:pt>
                <c:pt idx="3544">
                  <c:v>55</c:v>
                </c:pt>
                <c:pt idx="3545">
                  <c:v>28</c:v>
                </c:pt>
                <c:pt idx="3546">
                  <c:v>79</c:v>
                </c:pt>
                <c:pt idx="3547">
                  <c:v>31</c:v>
                </c:pt>
                <c:pt idx="3548">
                  <c:v>37</c:v>
                </c:pt>
                <c:pt idx="3549">
                  <c:v>34</c:v>
                </c:pt>
                <c:pt idx="3550">
                  <c:v>74</c:v>
                </c:pt>
                <c:pt idx="3551">
                  <c:v>31</c:v>
                </c:pt>
                <c:pt idx="3552">
                  <c:v>66</c:v>
                </c:pt>
                <c:pt idx="3553">
                  <c:v>99</c:v>
                </c:pt>
                <c:pt idx="3554">
                  <c:v>55</c:v>
                </c:pt>
                <c:pt idx="3555">
                  <c:v>23</c:v>
                </c:pt>
                <c:pt idx="3556">
                  <c:v>88</c:v>
                </c:pt>
                <c:pt idx="3557">
                  <c:v>26</c:v>
                </c:pt>
                <c:pt idx="3558">
                  <c:v>94</c:v>
                </c:pt>
                <c:pt idx="3559">
                  <c:v>25</c:v>
                </c:pt>
                <c:pt idx="3560">
                  <c:v>96</c:v>
                </c:pt>
                <c:pt idx="3561">
                  <c:v>29</c:v>
                </c:pt>
                <c:pt idx="3562">
                  <c:v>36</c:v>
                </c:pt>
                <c:pt idx="3563">
                  <c:v>90</c:v>
                </c:pt>
                <c:pt idx="3564">
                  <c:v>38</c:v>
                </c:pt>
                <c:pt idx="3565">
                  <c:v>52</c:v>
                </c:pt>
                <c:pt idx="3566">
                  <c:v>88</c:v>
                </c:pt>
                <c:pt idx="3567">
                  <c:v>56</c:v>
                </c:pt>
                <c:pt idx="3568">
                  <c:v>71</c:v>
                </c:pt>
                <c:pt idx="3569">
                  <c:v>94</c:v>
                </c:pt>
                <c:pt idx="3570">
                  <c:v>97</c:v>
                </c:pt>
                <c:pt idx="3571">
                  <c:v>27</c:v>
                </c:pt>
                <c:pt idx="3572">
                  <c:v>28</c:v>
                </c:pt>
                <c:pt idx="3573">
                  <c:v>67</c:v>
                </c:pt>
                <c:pt idx="3574">
                  <c:v>70</c:v>
                </c:pt>
                <c:pt idx="3575">
                  <c:v>95</c:v>
                </c:pt>
                <c:pt idx="3576">
                  <c:v>24</c:v>
                </c:pt>
                <c:pt idx="3577">
                  <c:v>35</c:v>
                </c:pt>
                <c:pt idx="3578">
                  <c:v>22</c:v>
                </c:pt>
                <c:pt idx="3579">
                  <c:v>66</c:v>
                </c:pt>
                <c:pt idx="3580">
                  <c:v>83</c:v>
                </c:pt>
                <c:pt idx="3581">
                  <c:v>95</c:v>
                </c:pt>
                <c:pt idx="3582">
                  <c:v>41</c:v>
                </c:pt>
                <c:pt idx="3583">
                  <c:v>77</c:v>
                </c:pt>
                <c:pt idx="3584">
                  <c:v>52</c:v>
                </c:pt>
                <c:pt idx="3585">
                  <c:v>41</c:v>
                </c:pt>
                <c:pt idx="3586">
                  <c:v>28</c:v>
                </c:pt>
                <c:pt idx="3587">
                  <c:v>90</c:v>
                </c:pt>
                <c:pt idx="3588">
                  <c:v>55</c:v>
                </c:pt>
                <c:pt idx="3589">
                  <c:v>73</c:v>
                </c:pt>
                <c:pt idx="3590">
                  <c:v>87</c:v>
                </c:pt>
                <c:pt idx="3591">
                  <c:v>89</c:v>
                </c:pt>
                <c:pt idx="3592">
                  <c:v>82</c:v>
                </c:pt>
                <c:pt idx="3593">
                  <c:v>80</c:v>
                </c:pt>
                <c:pt idx="3594">
                  <c:v>87</c:v>
                </c:pt>
                <c:pt idx="3595">
                  <c:v>41</c:v>
                </c:pt>
                <c:pt idx="3596">
                  <c:v>83</c:v>
                </c:pt>
                <c:pt idx="3597">
                  <c:v>71</c:v>
                </c:pt>
                <c:pt idx="3598">
                  <c:v>76</c:v>
                </c:pt>
                <c:pt idx="3599">
                  <c:v>34</c:v>
                </c:pt>
                <c:pt idx="3600">
                  <c:v>81</c:v>
                </c:pt>
                <c:pt idx="3601">
                  <c:v>47</c:v>
                </c:pt>
                <c:pt idx="3602">
                  <c:v>36</c:v>
                </c:pt>
                <c:pt idx="3603">
                  <c:v>51</c:v>
                </c:pt>
                <c:pt idx="3604">
                  <c:v>86</c:v>
                </c:pt>
                <c:pt idx="3605">
                  <c:v>41</c:v>
                </c:pt>
                <c:pt idx="3606">
                  <c:v>90</c:v>
                </c:pt>
                <c:pt idx="3607">
                  <c:v>93</c:v>
                </c:pt>
                <c:pt idx="3608">
                  <c:v>56</c:v>
                </c:pt>
                <c:pt idx="3609">
                  <c:v>39</c:v>
                </c:pt>
                <c:pt idx="3610">
                  <c:v>86</c:v>
                </c:pt>
                <c:pt idx="3611">
                  <c:v>82</c:v>
                </c:pt>
                <c:pt idx="3612">
                  <c:v>29</c:v>
                </c:pt>
                <c:pt idx="3613">
                  <c:v>27</c:v>
                </c:pt>
                <c:pt idx="3614">
                  <c:v>25</c:v>
                </c:pt>
                <c:pt idx="3615">
                  <c:v>31</c:v>
                </c:pt>
                <c:pt idx="3616">
                  <c:v>23</c:v>
                </c:pt>
                <c:pt idx="3617">
                  <c:v>47</c:v>
                </c:pt>
                <c:pt idx="3618">
                  <c:v>67</c:v>
                </c:pt>
                <c:pt idx="3619">
                  <c:v>75</c:v>
                </c:pt>
                <c:pt idx="3620">
                  <c:v>82</c:v>
                </c:pt>
                <c:pt idx="3621">
                  <c:v>32</c:v>
                </c:pt>
                <c:pt idx="3622">
                  <c:v>41</c:v>
                </c:pt>
                <c:pt idx="3623">
                  <c:v>89</c:v>
                </c:pt>
                <c:pt idx="3624">
                  <c:v>82</c:v>
                </c:pt>
                <c:pt idx="3625">
                  <c:v>99</c:v>
                </c:pt>
                <c:pt idx="3626">
                  <c:v>98</c:v>
                </c:pt>
                <c:pt idx="3627">
                  <c:v>54</c:v>
                </c:pt>
                <c:pt idx="3628">
                  <c:v>88</c:v>
                </c:pt>
                <c:pt idx="3629">
                  <c:v>43</c:v>
                </c:pt>
                <c:pt idx="3630">
                  <c:v>73</c:v>
                </c:pt>
                <c:pt idx="3631">
                  <c:v>50</c:v>
                </c:pt>
                <c:pt idx="3632">
                  <c:v>73</c:v>
                </c:pt>
                <c:pt idx="3633">
                  <c:v>51</c:v>
                </c:pt>
                <c:pt idx="3634">
                  <c:v>22</c:v>
                </c:pt>
                <c:pt idx="3635">
                  <c:v>32</c:v>
                </c:pt>
                <c:pt idx="3636">
                  <c:v>38</c:v>
                </c:pt>
                <c:pt idx="3637">
                  <c:v>66</c:v>
                </c:pt>
                <c:pt idx="3638">
                  <c:v>20</c:v>
                </c:pt>
                <c:pt idx="3639">
                  <c:v>44</c:v>
                </c:pt>
                <c:pt idx="3640">
                  <c:v>31</c:v>
                </c:pt>
                <c:pt idx="3641">
                  <c:v>45</c:v>
                </c:pt>
                <c:pt idx="3642">
                  <c:v>71</c:v>
                </c:pt>
                <c:pt idx="3643">
                  <c:v>96</c:v>
                </c:pt>
                <c:pt idx="3644">
                  <c:v>32</c:v>
                </c:pt>
                <c:pt idx="3645">
                  <c:v>90</c:v>
                </c:pt>
                <c:pt idx="3646">
                  <c:v>68</c:v>
                </c:pt>
                <c:pt idx="3647">
                  <c:v>45</c:v>
                </c:pt>
                <c:pt idx="3648">
                  <c:v>67</c:v>
                </c:pt>
                <c:pt idx="3649">
                  <c:v>57</c:v>
                </c:pt>
                <c:pt idx="3650">
                  <c:v>60</c:v>
                </c:pt>
                <c:pt idx="3651">
                  <c:v>32</c:v>
                </c:pt>
                <c:pt idx="3652">
                  <c:v>29</c:v>
                </c:pt>
                <c:pt idx="3653">
                  <c:v>20</c:v>
                </c:pt>
                <c:pt idx="3654">
                  <c:v>98</c:v>
                </c:pt>
                <c:pt idx="3655">
                  <c:v>27</c:v>
                </c:pt>
                <c:pt idx="3656">
                  <c:v>67</c:v>
                </c:pt>
                <c:pt idx="3657">
                  <c:v>82</c:v>
                </c:pt>
                <c:pt idx="3658">
                  <c:v>72</c:v>
                </c:pt>
                <c:pt idx="3659">
                  <c:v>77</c:v>
                </c:pt>
                <c:pt idx="3660">
                  <c:v>74</c:v>
                </c:pt>
                <c:pt idx="3661">
                  <c:v>39</c:v>
                </c:pt>
                <c:pt idx="3662">
                  <c:v>80</c:v>
                </c:pt>
                <c:pt idx="3663">
                  <c:v>59</c:v>
                </c:pt>
                <c:pt idx="3664">
                  <c:v>68</c:v>
                </c:pt>
                <c:pt idx="3665">
                  <c:v>77</c:v>
                </c:pt>
                <c:pt idx="3666">
                  <c:v>50</c:v>
                </c:pt>
                <c:pt idx="3667">
                  <c:v>45</c:v>
                </c:pt>
                <c:pt idx="3668">
                  <c:v>71</c:v>
                </c:pt>
                <c:pt idx="3669">
                  <c:v>52</c:v>
                </c:pt>
                <c:pt idx="3670">
                  <c:v>50</c:v>
                </c:pt>
                <c:pt idx="3671">
                  <c:v>66</c:v>
                </c:pt>
                <c:pt idx="3672">
                  <c:v>81</c:v>
                </c:pt>
                <c:pt idx="3673">
                  <c:v>28</c:v>
                </c:pt>
                <c:pt idx="3674">
                  <c:v>65</c:v>
                </c:pt>
                <c:pt idx="3675">
                  <c:v>80</c:v>
                </c:pt>
                <c:pt idx="3676">
                  <c:v>94</c:v>
                </c:pt>
                <c:pt idx="3677">
                  <c:v>30</c:v>
                </c:pt>
                <c:pt idx="3678">
                  <c:v>45</c:v>
                </c:pt>
                <c:pt idx="3679">
                  <c:v>91</c:v>
                </c:pt>
                <c:pt idx="3680">
                  <c:v>36</c:v>
                </c:pt>
                <c:pt idx="3681">
                  <c:v>73</c:v>
                </c:pt>
                <c:pt idx="3682">
                  <c:v>60</c:v>
                </c:pt>
                <c:pt idx="3683">
                  <c:v>77</c:v>
                </c:pt>
                <c:pt idx="3684">
                  <c:v>86</c:v>
                </c:pt>
                <c:pt idx="3685">
                  <c:v>42</c:v>
                </c:pt>
                <c:pt idx="3686">
                  <c:v>70</c:v>
                </c:pt>
                <c:pt idx="3687">
                  <c:v>44</c:v>
                </c:pt>
                <c:pt idx="3688">
                  <c:v>91</c:v>
                </c:pt>
                <c:pt idx="3689">
                  <c:v>30</c:v>
                </c:pt>
                <c:pt idx="3690">
                  <c:v>23</c:v>
                </c:pt>
                <c:pt idx="3691">
                  <c:v>21</c:v>
                </c:pt>
                <c:pt idx="3692">
                  <c:v>34</c:v>
                </c:pt>
                <c:pt idx="3693">
                  <c:v>46</c:v>
                </c:pt>
                <c:pt idx="3694">
                  <c:v>41</c:v>
                </c:pt>
                <c:pt idx="3695">
                  <c:v>33</c:v>
                </c:pt>
                <c:pt idx="3696">
                  <c:v>48</c:v>
                </c:pt>
                <c:pt idx="3697">
                  <c:v>66</c:v>
                </c:pt>
                <c:pt idx="3698">
                  <c:v>54</c:v>
                </c:pt>
                <c:pt idx="3699">
                  <c:v>55</c:v>
                </c:pt>
                <c:pt idx="3700">
                  <c:v>84</c:v>
                </c:pt>
                <c:pt idx="3701">
                  <c:v>66</c:v>
                </c:pt>
                <c:pt idx="3702">
                  <c:v>65</c:v>
                </c:pt>
                <c:pt idx="3703">
                  <c:v>83</c:v>
                </c:pt>
                <c:pt idx="3704">
                  <c:v>61</c:v>
                </c:pt>
                <c:pt idx="3705">
                  <c:v>65</c:v>
                </c:pt>
                <c:pt idx="3706">
                  <c:v>55</c:v>
                </c:pt>
                <c:pt idx="3707">
                  <c:v>79</c:v>
                </c:pt>
                <c:pt idx="3708">
                  <c:v>96</c:v>
                </c:pt>
                <c:pt idx="3709">
                  <c:v>43</c:v>
                </c:pt>
                <c:pt idx="3710">
                  <c:v>40</c:v>
                </c:pt>
                <c:pt idx="3711">
                  <c:v>62</c:v>
                </c:pt>
                <c:pt idx="3712">
                  <c:v>72</c:v>
                </c:pt>
                <c:pt idx="3713">
                  <c:v>87</c:v>
                </c:pt>
                <c:pt idx="3714">
                  <c:v>31</c:v>
                </c:pt>
                <c:pt idx="3715">
                  <c:v>34</c:v>
                </c:pt>
                <c:pt idx="3716">
                  <c:v>53</c:v>
                </c:pt>
                <c:pt idx="3717">
                  <c:v>85</c:v>
                </c:pt>
                <c:pt idx="3718">
                  <c:v>50</c:v>
                </c:pt>
                <c:pt idx="3719">
                  <c:v>91</c:v>
                </c:pt>
                <c:pt idx="3720">
                  <c:v>56</c:v>
                </c:pt>
                <c:pt idx="3721">
                  <c:v>60</c:v>
                </c:pt>
                <c:pt idx="3722">
                  <c:v>34</c:v>
                </c:pt>
                <c:pt idx="3723">
                  <c:v>30</c:v>
                </c:pt>
                <c:pt idx="3724">
                  <c:v>71</c:v>
                </c:pt>
                <c:pt idx="3725">
                  <c:v>100</c:v>
                </c:pt>
                <c:pt idx="3726">
                  <c:v>85</c:v>
                </c:pt>
                <c:pt idx="3727">
                  <c:v>83</c:v>
                </c:pt>
                <c:pt idx="3728">
                  <c:v>31</c:v>
                </c:pt>
                <c:pt idx="3729">
                  <c:v>82</c:v>
                </c:pt>
                <c:pt idx="3730">
                  <c:v>79</c:v>
                </c:pt>
                <c:pt idx="3731">
                  <c:v>62</c:v>
                </c:pt>
                <c:pt idx="3732">
                  <c:v>92</c:v>
                </c:pt>
                <c:pt idx="3733">
                  <c:v>58</c:v>
                </c:pt>
                <c:pt idx="3734">
                  <c:v>88</c:v>
                </c:pt>
                <c:pt idx="3735">
                  <c:v>44</c:v>
                </c:pt>
                <c:pt idx="3736">
                  <c:v>56</c:v>
                </c:pt>
                <c:pt idx="3737">
                  <c:v>23</c:v>
                </c:pt>
                <c:pt idx="3738">
                  <c:v>45</c:v>
                </c:pt>
                <c:pt idx="3739">
                  <c:v>31</c:v>
                </c:pt>
                <c:pt idx="3740">
                  <c:v>96</c:v>
                </c:pt>
                <c:pt idx="3741">
                  <c:v>96</c:v>
                </c:pt>
                <c:pt idx="3742">
                  <c:v>80</c:v>
                </c:pt>
                <c:pt idx="3743">
                  <c:v>28</c:v>
                </c:pt>
                <c:pt idx="3744">
                  <c:v>51</c:v>
                </c:pt>
                <c:pt idx="3745">
                  <c:v>41</c:v>
                </c:pt>
                <c:pt idx="3746">
                  <c:v>99</c:v>
                </c:pt>
                <c:pt idx="3747">
                  <c:v>53</c:v>
                </c:pt>
                <c:pt idx="3748">
                  <c:v>25</c:v>
                </c:pt>
                <c:pt idx="3749">
                  <c:v>95</c:v>
                </c:pt>
                <c:pt idx="3750">
                  <c:v>88</c:v>
                </c:pt>
                <c:pt idx="3751">
                  <c:v>97</c:v>
                </c:pt>
                <c:pt idx="3752">
                  <c:v>81</c:v>
                </c:pt>
                <c:pt idx="3753">
                  <c:v>26</c:v>
                </c:pt>
                <c:pt idx="3754">
                  <c:v>41</c:v>
                </c:pt>
                <c:pt idx="3755">
                  <c:v>93</c:v>
                </c:pt>
                <c:pt idx="3756">
                  <c:v>69</c:v>
                </c:pt>
                <c:pt idx="3757">
                  <c:v>44</c:v>
                </c:pt>
                <c:pt idx="3758">
                  <c:v>54</c:v>
                </c:pt>
                <c:pt idx="3759">
                  <c:v>61</c:v>
                </c:pt>
                <c:pt idx="3760">
                  <c:v>80</c:v>
                </c:pt>
                <c:pt idx="3761">
                  <c:v>30</c:v>
                </c:pt>
                <c:pt idx="3762">
                  <c:v>94</c:v>
                </c:pt>
                <c:pt idx="3763">
                  <c:v>24</c:v>
                </c:pt>
                <c:pt idx="3764">
                  <c:v>21</c:v>
                </c:pt>
                <c:pt idx="3765">
                  <c:v>52</c:v>
                </c:pt>
                <c:pt idx="3766">
                  <c:v>59</c:v>
                </c:pt>
                <c:pt idx="3767">
                  <c:v>51</c:v>
                </c:pt>
                <c:pt idx="3768">
                  <c:v>35</c:v>
                </c:pt>
                <c:pt idx="3769">
                  <c:v>87</c:v>
                </c:pt>
                <c:pt idx="3770">
                  <c:v>42</c:v>
                </c:pt>
                <c:pt idx="3771">
                  <c:v>86</c:v>
                </c:pt>
                <c:pt idx="3772">
                  <c:v>26</c:v>
                </c:pt>
                <c:pt idx="3773">
                  <c:v>60</c:v>
                </c:pt>
                <c:pt idx="3774">
                  <c:v>83</c:v>
                </c:pt>
                <c:pt idx="3775">
                  <c:v>63</c:v>
                </c:pt>
                <c:pt idx="3776">
                  <c:v>25</c:v>
                </c:pt>
                <c:pt idx="3777">
                  <c:v>65</c:v>
                </c:pt>
                <c:pt idx="3778">
                  <c:v>60</c:v>
                </c:pt>
                <c:pt idx="3779">
                  <c:v>75</c:v>
                </c:pt>
                <c:pt idx="3780">
                  <c:v>57</c:v>
                </c:pt>
                <c:pt idx="3781">
                  <c:v>99</c:v>
                </c:pt>
                <c:pt idx="3782">
                  <c:v>45</c:v>
                </c:pt>
                <c:pt idx="3783">
                  <c:v>66</c:v>
                </c:pt>
                <c:pt idx="3784">
                  <c:v>53</c:v>
                </c:pt>
                <c:pt idx="3785">
                  <c:v>94</c:v>
                </c:pt>
                <c:pt idx="3786">
                  <c:v>47</c:v>
                </c:pt>
                <c:pt idx="3787">
                  <c:v>80</c:v>
                </c:pt>
                <c:pt idx="3788">
                  <c:v>65</c:v>
                </c:pt>
                <c:pt idx="3789">
                  <c:v>75</c:v>
                </c:pt>
                <c:pt idx="3790">
                  <c:v>45</c:v>
                </c:pt>
                <c:pt idx="3791">
                  <c:v>51</c:v>
                </c:pt>
                <c:pt idx="3792">
                  <c:v>58</c:v>
                </c:pt>
                <c:pt idx="3793">
                  <c:v>20</c:v>
                </c:pt>
                <c:pt idx="3794">
                  <c:v>82</c:v>
                </c:pt>
                <c:pt idx="3795">
                  <c:v>92</c:v>
                </c:pt>
                <c:pt idx="3796">
                  <c:v>81</c:v>
                </c:pt>
                <c:pt idx="3797">
                  <c:v>44</c:v>
                </c:pt>
                <c:pt idx="3798">
                  <c:v>72</c:v>
                </c:pt>
                <c:pt idx="3799">
                  <c:v>26</c:v>
                </c:pt>
                <c:pt idx="3800">
                  <c:v>26</c:v>
                </c:pt>
                <c:pt idx="3801">
                  <c:v>84</c:v>
                </c:pt>
                <c:pt idx="3802">
                  <c:v>72</c:v>
                </c:pt>
                <c:pt idx="3803">
                  <c:v>55</c:v>
                </c:pt>
                <c:pt idx="3804">
                  <c:v>77</c:v>
                </c:pt>
                <c:pt idx="3805">
                  <c:v>57</c:v>
                </c:pt>
                <c:pt idx="3806">
                  <c:v>71</c:v>
                </c:pt>
                <c:pt idx="3807">
                  <c:v>39</c:v>
                </c:pt>
                <c:pt idx="3808">
                  <c:v>28</c:v>
                </c:pt>
                <c:pt idx="3809">
                  <c:v>33</c:v>
                </c:pt>
                <c:pt idx="3810">
                  <c:v>79</c:v>
                </c:pt>
                <c:pt idx="3811">
                  <c:v>30</c:v>
                </c:pt>
                <c:pt idx="3812">
                  <c:v>75</c:v>
                </c:pt>
                <c:pt idx="3813">
                  <c:v>89</c:v>
                </c:pt>
                <c:pt idx="3814">
                  <c:v>95</c:v>
                </c:pt>
                <c:pt idx="3815">
                  <c:v>44</c:v>
                </c:pt>
                <c:pt idx="3816">
                  <c:v>86</c:v>
                </c:pt>
                <c:pt idx="3817">
                  <c:v>91</c:v>
                </c:pt>
                <c:pt idx="3818">
                  <c:v>41</c:v>
                </c:pt>
                <c:pt idx="3819">
                  <c:v>99</c:v>
                </c:pt>
                <c:pt idx="3820">
                  <c:v>65</c:v>
                </c:pt>
                <c:pt idx="3821">
                  <c:v>48</c:v>
                </c:pt>
                <c:pt idx="3822">
                  <c:v>41</c:v>
                </c:pt>
                <c:pt idx="3823">
                  <c:v>42</c:v>
                </c:pt>
                <c:pt idx="3824">
                  <c:v>26</c:v>
                </c:pt>
                <c:pt idx="3825">
                  <c:v>35</c:v>
                </c:pt>
                <c:pt idx="3826">
                  <c:v>31</c:v>
                </c:pt>
                <c:pt idx="3827">
                  <c:v>73</c:v>
                </c:pt>
                <c:pt idx="3828">
                  <c:v>82</c:v>
                </c:pt>
                <c:pt idx="3829">
                  <c:v>32</c:v>
                </c:pt>
                <c:pt idx="3830">
                  <c:v>27</c:v>
                </c:pt>
                <c:pt idx="3831">
                  <c:v>86</c:v>
                </c:pt>
                <c:pt idx="3832">
                  <c:v>38</c:v>
                </c:pt>
                <c:pt idx="3833">
                  <c:v>93</c:v>
                </c:pt>
                <c:pt idx="3834">
                  <c:v>59</c:v>
                </c:pt>
                <c:pt idx="3835">
                  <c:v>58</c:v>
                </c:pt>
                <c:pt idx="3836">
                  <c:v>84</c:v>
                </c:pt>
                <c:pt idx="3837">
                  <c:v>100</c:v>
                </c:pt>
                <c:pt idx="3838">
                  <c:v>25</c:v>
                </c:pt>
                <c:pt idx="3839">
                  <c:v>29</c:v>
                </c:pt>
                <c:pt idx="3840">
                  <c:v>42</c:v>
                </c:pt>
                <c:pt idx="3841">
                  <c:v>57</c:v>
                </c:pt>
                <c:pt idx="3842">
                  <c:v>84</c:v>
                </c:pt>
                <c:pt idx="3843">
                  <c:v>71</c:v>
                </c:pt>
                <c:pt idx="3844">
                  <c:v>87</c:v>
                </c:pt>
                <c:pt idx="3845">
                  <c:v>52</c:v>
                </c:pt>
                <c:pt idx="3846">
                  <c:v>58</c:v>
                </c:pt>
                <c:pt idx="3847">
                  <c:v>34</c:v>
                </c:pt>
                <c:pt idx="3848">
                  <c:v>60</c:v>
                </c:pt>
                <c:pt idx="3849">
                  <c:v>68</c:v>
                </c:pt>
                <c:pt idx="3850">
                  <c:v>74</c:v>
                </c:pt>
                <c:pt idx="3851">
                  <c:v>83</c:v>
                </c:pt>
                <c:pt idx="3852">
                  <c:v>79</c:v>
                </c:pt>
                <c:pt idx="3853">
                  <c:v>76</c:v>
                </c:pt>
                <c:pt idx="3854">
                  <c:v>20</c:v>
                </c:pt>
                <c:pt idx="3855">
                  <c:v>61</c:v>
                </c:pt>
                <c:pt idx="3856">
                  <c:v>78</c:v>
                </c:pt>
                <c:pt idx="3857">
                  <c:v>21</c:v>
                </c:pt>
                <c:pt idx="3858">
                  <c:v>77</c:v>
                </c:pt>
                <c:pt idx="3859">
                  <c:v>88</c:v>
                </c:pt>
                <c:pt idx="3860">
                  <c:v>64</c:v>
                </c:pt>
                <c:pt idx="3861">
                  <c:v>57</c:v>
                </c:pt>
                <c:pt idx="3862">
                  <c:v>49</c:v>
                </c:pt>
                <c:pt idx="3863">
                  <c:v>35</c:v>
                </c:pt>
                <c:pt idx="3864">
                  <c:v>99</c:v>
                </c:pt>
                <c:pt idx="3865">
                  <c:v>42</c:v>
                </c:pt>
                <c:pt idx="3866">
                  <c:v>32</c:v>
                </c:pt>
                <c:pt idx="3867">
                  <c:v>21</c:v>
                </c:pt>
                <c:pt idx="3868">
                  <c:v>29</c:v>
                </c:pt>
                <c:pt idx="3869">
                  <c:v>64</c:v>
                </c:pt>
                <c:pt idx="3870">
                  <c:v>46</c:v>
                </c:pt>
                <c:pt idx="3871">
                  <c:v>97</c:v>
                </c:pt>
                <c:pt idx="3872">
                  <c:v>94</c:v>
                </c:pt>
                <c:pt idx="3873">
                  <c:v>43</c:v>
                </c:pt>
                <c:pt idx="3874">
                  <c:v>54</c:v>
                </c:pt>
                <c:pt idx="3875">
                  <c:v>51</c:v>
                </c:pt>
                <c:pt idx="3876">
                  <c:v>85</c:v>
                </c:pt>
                <c:pt idx="3877">
                  <c:v>96</c:v>
                </c:pt>
                <c:pt idx="3878">
                  <c:v>42</c:v>
                </c:pt>
                <c:pt idx="3879">
                  <c:v>63</c:v>
                </c:pt>
                <c:pt idx="3880">
                  <c:v>20</c:v>
                </c:pt>
                <c:pt idx="3881">
                  <c:v>25</c:v>
                </c:pt>
                <c:pt idx="3882">
                  <c:v>95</c:v>
                </c:pt>
                <c:pt idx="3883">
                  <c:v>38</c:v>
                </c:pt>
                <c:pt idx="3884">
                  <c:v>29</c:v>
                </c:pt>
                <c:pt idx="3885">
                  <c:v>64</c:v>
                </c:pt>
                <c:pt idx="3886">
                  <c:v>92</c:v>
                </c:pt>
                <c:pt idx="3887">
                  <c:v>34</c:v>
                </c:pt>
                <c:pt idx="3888">
                  <c:v>69</c:v>
                </c:pt>
                <c:pt idx="3889">
                  <c:v>65</c:v>
                </c:pt>
                <c:pt idx="3890">
                  <c:v>81</c:v>
                </c:pt>
                <c:pt idx="3891">
                  <c:v>30</c:v>
                </c:pt>
                <c:pt idx="3892">
                  <c:v>86</c:v>
                </c:pt>
                <c:pt idx="3893">
                  <c:v>64</c:v>
                </c:pt>
                <c:pt idx="3894">
                  <c:v>78</c:v>
                </c:pt>
                <c:pt idx="3895">
                  <c:v>28</c:v>
                </c:pt>
                <c:pt idx="3896">
                  <c:v>49</c:v>
                </c:pt>
                <c:pt idx="3897">
                  <c:v>33</c:v>
                </c:pt>
                <c:pt idx="3898">
                  <c:v>77</c:v>
                </c:pt>
                <c:pt idx="3899">
                  <c:v>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D-49D1-BA97-D28534CF2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5562656"/>
        <c:axId val="564937552"/>
      </c:scatterChart>
      <c:valAx>
        <c:axId val="57556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37552"/>
        <c:crosses val="autoZero"/>
        <c:crossBetween val="midCat"/>
      </c:valAx>
      <c:valAx>
        <c:axId val="56493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6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180205</xdr:colOff>
      <xdr:row>1</xdr:row>
      <xdr:rowOff>22873</xdr:rowOff>
    </xdr:from>
    <xdr:to>
      <xdr:col>10</xdr:col>
      <xdr:colOff>12205</xdr:colOff>
      <xdr:row>12</xdr:row>
      <xdr:rowOff>133939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67C1E-FD0E-4AEC-B61F-F90F1888C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321663</xdr:colOff>
      <xdr:row>1</xdr:row>
      <xdr:rowOff>5941</xdr:rowOff>
    </xdr:from>
    <xdr:to>
      <xdr:col>5</xdr:col>
      <xdr:colOff>153663</xdr:colOff>
      <xdr:row>12</xdr:row>
      <xdr:rowOff>117007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80DB99-3A92-44AE-959B-90452B950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21814</xdr:colOff>
      <xdr:row>1</xdr:row>
      <xdr:rowOff>22874</xdr:rowOff>
    </xdr:from>
    <xdr:to>
      <xdr:col>14</xdr:col>
      <xdr:colOff>463414</xdr:colOff>
      <xdr:row>12</xdr:row>
      <xdr:rowOff>133940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C249DD-9AC1-4B78-9582-41F4EAC7D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307531</xdr:colOff>
      <xdr:row>12</xdr:row>
      <xdr:rowOff>151581</xdr:rowOff>
    </xdr:from>
    <xdr:to>
      <xdr:col>5</xdr:col>
      <xdr:colOff>139531</xdr:colOff>
      <xdr:row>24</xdr:row>
      <xdr:rowOff>76381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CEB55-CB6C-47DA-A40A-83E01AE19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481487</xdr:colOff>
      <xdr:row>1</xdr:row>
      <xdr:rowOff>22874</xdr:rowOff>
    </xdr:from>
    <xdr:to>
      <xdr:col>19</xdr:col>
      <xdr:colOff>313487</xdr:colOff>
      <xdr:row>12</xdr:row>
      <xdr:rowOff>133940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0B5148-52B6-427C-9907-83424DFF9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340031</xdr:colOff>
      <xdr:row>1</xdr:row>
      <xdr:rowOff>31341</xdr:rowOff>
    </xdr:from>
    <xdr:to>
      <xdr:col>24</xdr:col>
      <xdr:colOff>172031</xdr:colOff>
      <xdr:row>12</xdr:row>
      <xdr:rowOff>142407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A6429F-A16C-4ACD-AFB1-70E15D555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168274</xdr:colOff>
      <xdr:row>12</xdr:row>
      <xdr:rowOff>176981</xdr:rowOff>
    </xdr:from>
    <xdr:to>
      <xdr:col>10</xdr:col>
      <xdr:colOff>274</xdr:colOff>
      <xdr:row>24</xdr:row>
      <xdr:rowOff>101781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4D8372-7090-4E8F-A529-036C039D6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29018</xdr:colOff>
      <xdr:row>12</xdr:row>
      <xdr:rowOff>160048</xdr:rowOff>
    </xdr:from>
    <xdr:to>
      <xdr:col>14</xdr:col>
      <xdr:colOff>470618</xdr:colOff>
      <xdr:row>24</xdr:row>
      <xdr:rowOff>84848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7B74138-835C-4EA2-A1C8-D0F321AC9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490895</xdr:colOff>
      <xdr:row>12</xdr:row>
      <xdr:rowOff>168515</xdr:rowOff>
    </xdr:from>
    <xdr:to>
      <xdr:col>19</xdr:col>
      <xdr:colOff>322895</xdr:colOff>
      <xdr:row>24</xdr:row>
      <xdr:rowOff>93315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E731693-062C-35AA-FF9D-E3FA7380F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508000</xdr:colOff>
      <xdr:row>2</xdr:row>
      <xdr:rowOff>146050</xdr:rowOff>
    </xdr:from>
    <xdr:to>
      <xdr:col>7</xdr:col>
      <xdr:colOff>95250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3F6EBEF-F697-D9D0-E413-D192E004840F}"/>
            </a:ext>
          </a:extLst>
        </xdr:cNvPr>
        <xdr:cNvSpPr/>
      </xdr:nvSpPr>
      <xdr:spPr>
        <a:xfrm>
          <a:off x="2946400" y="654050"/>
          <a:ext cx="1416050" cy="520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1100" b="0">
              <a:solidFill>
                <a:sysClr val="windowText" lastClr="000000"/>
              </a:solidFill>
              <a:latin typeface="+mn-lt"/>
              <a:cs typeface="Times New Roman" panose="02020603050405020304" pitchFamily="18" charset="0"/>
            </a:rPr>
            <a:t>Total Revenue: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$233081</a:t>
          </a:r>
        </a:p>
      </xdr:txBody>
    </xdr:sp>
    <xdr:clientData/>
  </xdr:twoCellAnchor>
  <xdr:twoCellAnchor>
    <xdr:from>
      <xdr:col>7</xdr:col>
      <xdr:colOff>196850</xdr:colOff>
      <xdr:row>2</xdr:row>
      <xdr:rowOff>152400</xdr:rowOff>
    </xdr:from>
    <xdr:to>
      <xdr:col>10</xdr:col>
      <xdr:colOff>533400</xdr:colOff>
      <xdr:row>5</xdr:row>
      <xdr:rowOff>120650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7F3B4C5-341B-F25C-2E6D-D5422E96C1A6}"/>
            </a:ext>
          </a:extLst>
        </xdr:cNvPr>
        <xdr:cNvSpPr/>
      </xdr:nvSpPr>
      <xdr:spPr>
        <a:xfrm>
          <a:off x="4464050" y="660400"/>
          <a:ext cx="2165350" cy="5207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 Average Order Value: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$59.76</a:t>
          </a:r>
        </a:p>
      </xdr:txBody>
    </xdr:sp>
    <xdr:clientData/>
  </xdr:twoCellAnchor>
  <xdr:twoCellAnchor>
    <xdr:from>
      <xdr:col>11</xdr:col>
      <xdr:colOff>50800</xdr:colOff>
      <xdr:row>2</xdr:row>
      <xdr:rowOff>139700</xdr:rowOff>
    </xdr:from>
    <xdr:to>
      <xdr:col>14</xdr:col>
      <xdr:colOff>107950</xdr:colOff>
      <xdr:row>5</xdr:row>
      <xdr:rowOff>107950</xdr:rowOff>
    </xdr:to>
    <xdr:sp macro="" textlink="Sheet5!A3">
      <xdr:nvSpPr>
        <xdr:cNvPr id="5" name="Rectangle 4">
          <a:extLst>
            <a:ext uri="{FF2B5EF4-FFF2-40B4-BE49-F238E27FC236}">
              <a16:creationId xmlns:a16="http://schemas.microsoft.com/office/drawing/2014/main" id="{AFE2D3A4-4D93-D10E-3B8A-2AF3737EC912}"/>
            </a:ext>
          </a:extLst>
        </xdr:cNvPr>
        <xdr:cNvSpPr/>
      </xdr:nvSpPr>
      <xdr:spPr>
        <a:xfrm>
          <a:off x="6756400" y="647700"/>
          <a:ext cx="1885950" cy="5207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Total Orders:</a:t>
          </a:r>
        </a:p>
        <a:p>
          <a:pPr algn="ctr"/>
          <a:fld id="{A0499CC5-B813-4E9C-93D2-A91A0ED2F953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3900</a:t>
          </a:fld>
          <a:endParaRPr lang="en-IN" sz="1100"/>
        </a:p>
      </xdr:txBody>
    </xdr:sp>
    <xdr:clientData/>
  </xdr:twoCellAnchor>
  <xdr:twoCellAnchor>
    <xdr:from>
      <xdr:col>4</xdr:col>
      <xdr:colOff>431800</xdr:colOff>
      <xdr:row>6</xdr:row>
      <xdr:rowOff>88900</xdr:rowOff>
    </xdr:from>
    <xdr:to>
      <xdr:col>8</xdr:col>
      <xdr:colOff>44450</xdr:colOff>
      <xdr:row>9</xdr:row>
      <xdr:rowOff>12700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019BC76-C654-A8AE-B25C-4A64AA00D9D7}"/>
            </a:ext>
          </a:extLst>
        </xdr:cNvPr>
        <xdr:cNvSpPr/>
      </xdr:nvSpPr>
      <xdr:spPr>
        <a:xfrm>
          <a:off x="2870200" y="1333500"/>
          <a:ext cx="2051050" cy="47625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Average</a:t>
          </a:r>
          <a:r>
            <a:rPr lang="en-US" sz="1100"/>
            <a:t> </a:t>
          </a:r>
          <a:r>
            <a:rPr lang="en-US" sz="1100">
              <a:solidFill>
                <a:sysClr val="windowText" lastClr="000000"/>
              </a:solidFill>
            </a:rPr>
            <a:t>Review</a:t>
          </a:r>
          <a:r>
            <a:rPr lang="en-US" sz="1100"/>
            <a:t> </a:t>
          </a:r>
          <a:r>
            <a:rPr lang="en-US" sz="1100">
              <a:solidFill>
                <a:sysClr val="windowText" lastClr="000000"/>
              </a:solidFill>
            </a:rPr>
            <a:t>Rating:</a:t>
          </a:r>
          <a:endParaRPr lang="en-US" sz="1100"/>
        </a:p>
        <a:p>
          <a:pPr algn="ctr"/>
          <a:r>
            <a:rPr lang="en-US" sz="1100">
              <a:solidFill>
                <a:schemeClr val="tx1"/>
              </a:solidFill>
            </a:rPr>
            <a:t>3.75</a:t>
          </a:r>
        </a:p>
        <a:p>
          <a:pPr algn="ctr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120650</xdr:colOff>
      <xdr:row>6</xdr:row>
      <xdr:rowOff>63500</xdr:rowOff>
    </xdr:from>
    <xdr:to>
      <xdr:col>11</xdr:col>
      <xdr:colOff>273050</xdr:colOff>
      <xdr:row>9</xdr:row>
      <xdr:rowOff>50800</xdr:rowOff>
    </xdr:to>
    <xdr:sp macro="" textlink="Sheet5!K16">
      <xdr:nvSpPr>
        <xdr:cNvPr id="7" name="Rectangle 6">
          <a:extLst>
            <a:ext uri="{FF2B5EF4-FFF2-40B4-BE49-F238E27FC236}">
              <a16:creationId xmlns:a16="http://schemas.microsoft.com/office/drawing/2014/main" id="{209146F0-51B0-905B-B3F9-51A91BB7149A}"/>
            </a:ext>
          </a:extLst>
        </xdr:cNvPr>
        <xdr:cNvSpPr/>
      </xdr:nvSpPr>
      <xdr:spPr>
        <a:xfrm>
          <a:off x="4997450" y="1308100"/>
          <a:ext cx="1981200" cy="53975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Repeat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Customer Rate:</a:t>
          </a:r>
          <a:endParaRPr lang="en-IN" sz="1100" b="0" i="0" u="none" strike="noStrike" baseline="0">
            <a:solidFill>
              <a:schemeClr val="lt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100" b="0" i="0" u="none" strike="noStrike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97.8%</a:t>
          </a:r>
        </a:p>
      </xdr:txBody>
    </xdr:sp>
    <xdr:clientData/>
  </xdr:twoCellAnchor>
  <xdr:twoCellAnchor>
    <xdr:from>
      <xdr:col>11</xdr:col>
      <xdr:colOff>393700</xdr:colOff>
      <xdr:row>6</xdr:row>
      <xdr:rowOff>50800</xdr:rowOff>
    </xdr:from>
    <xdr:to>
      <xdr:col>14</xdr:col>
      <xdr:colOff>63500</xdr:colOff>
      <xdr:row>9</xdr:row>
      <xdr:rowOff>31750</xdr:rowOff>
    </xdr:to>
    <xdr:sp macro="" textlink="Sheet5!A6">
      <xdr:nvSpPr>
        <xdr:cNvPr id="8" name="Rectangle 7">
          <a:extLst>
            <a:ext uri="{FF2B5EF4-FFF2-40B4-BE49-F238E27FC236}">
              <a16:creationId xmlns:a16="http://schemas.microsoft.com/office/drawing/2014/main" id="{FF592A9E-D880-F73A-3AC2-28B2B19500C6}"/>
            </a:ext>
          </a:extLst>
        </xdr:cNvPr>
        <xdr:cNvSpPr/>
      </xdr:nvSpPr>
      <xdr:spPr>
        <a:xfrm>
          <a:off x="7099300" y="1295400"/>
          <a:ext cx="1498600" cy="533400"/>
        </a:xfrm>
        <a:prstGeom prst="rect">
          <a:avLst/>
        </a:prstGeom>
        <a:solidFill>
          <a:srgbClr val="0070C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Discount Impact:</a:t>
          </a:r>
        </a:p>
        <a:p>
          <a:pPr algn="ctr"/>
          <a:fld id="{628AC034-6993-4A8F-8568-C1E72918649B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43</a:t>
          </a:fld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%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667344444446" createdVersion="8" refreshedVersion="8" minRefreshableVersion="3" recordCount="3900" xr:uid="{EC16C0E9-F077-4C13-A2EE-EA196D9EBC4E}">
  <cacheSource type="worksheet">
    <worksheetSource name="Table1"/>
  </cacheSource>
  <cacheFields count="21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 count="53">
        <n v="55"/>
        <n v="19"/>
        <n v="50"/>
        <n v="21"/>
        <n v="45"/>
        <n v="46"/>
        <n v="63"/>
        <n v="27"/>
        <n v="26"/>
        <n v="57"/>
        <n v="53"/>
        <n v="30"/>
        <n v="61"/>
        <n v="65"/>
        <n v="64"/>
        <n v="25"/>
        <n v="52"/>
        <n v="66"/>
        <n v="31"/>
        <n v="56"/>
        <n v="18"/>
        <n v="38"/>
        <n v="54"/>
        <n v="33"/>
        <n v="36"/>
        <n v="35"/>
        <n v="29"/>
        <n v="70"/>
        <n v="69"/>
        <n v="67"/>
        <n v="20"/>
        <n v="39"/>
        <n v="42"/>
        <n v="68"/>
        <n v="49"/>
        <n v="59"/>
        <n v="47"/>
        <n v="40"/>
        <n v="41"/>
        <n v="48"/>
        <n v="22"/>
        <n v="24"/>
        <n v="44"/>
        <n v="37"/>
        <n v="58"/>
        <n v="32"/>
        <n v="62"/>
        <n v="51"/>
        <n v="28"/>
        <n v="43"/>
        <n v="34"/>
        <n v="23"/>
        <n v="60"/>
      </sharedItems>
    </cacheField>
    <cacheField name="Gender" numFmtId="0">
      <sharedItems count="2">
        <s v="Male"/>
        <s v="Female"/>
      </sharedItems>
    </cacheField>
    <cacheField name="Item Purchased" numFmtId="0">
      <sharedItems/>
    </cacheField>
    <cacheField name="Category" numFmtId="0">
      <sharedItems count="4">
        <s v="Clothing"/>
        <s v="Footwear"/>
        <s v="Outerwear"/>
        <s v="Accessories"/>
      </sharedItems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 count="26">
        <n v="3.1"/>
        <n v="3.5"/>
        <n v="2.7"/>
        <n v="2.9"/>
        <n v="3.2"/>
        <n v="2.6"/>
        <n v="4.8"/>
        <n v="4.0999999999999996"/>
        <n v="4.9000000000000004"/>
        <n v="4.5"/>
        <n v="4.7"/>
        <n v="2.8"/>
        <n v="4.5999999999999996"/>
        <n v="3.3"/>
        <n v="4.4000000000000004"/>
        <n v="3.6"/>
        <n v="5"/>
        <n v="4"/>
        <n v="3.7"/>
        <n v="4.2"/>
        <n v="3.9"/>
        <n v="3"/>
        <n v="3.8"/>
        <n v="3.4"/>
        <n v="4.3"/>
        <n v="2.5"/>
      </sharedItems>
    </cacheField>
    <cacheField name="Subscription Status" numFmtId="0">
      <sharedItems/>
    </cacheField>
    <cacheField name="Shipping Type" numFmtId="0">
      <sharedItems count="6">
        <s v="Express"/>
        <s v="Free Shipping"/>
        <s v="Next Day Air"/>
        <s v="Standard"/>
        <s v="2-Day Shipping"/>
        <s v="Store Pickup"/>
      </sharedItems>
    </cacheField>
    <cacheField name="Discount Applied" numFmtId="0">
      <sharedItems count="2">
        <s v="Yes"/>
        <s v="No"/>
      </sharedItems>
    </cacheField>
    <cacheField name="Promo Code Used" numFmtId="0">
      <sharedItems count="2">
        <s v="Yes"/>
        <s v="No"/>
      </sharedItems>
    </cacheField>
    <cacheField name="Previous Purchases" numFmtId="0">
      <sharedItems containsSemiMixedTypes="0" containsString="0" containsNumber="1" containsInteger="1" minValue="1" maxValue="50" count="50">
        <n v="14"/>
        <n v="2"/>
        <n v="23"/>
        <n v="49"/>
        <n v="31"/>
        <n v="19"/>
        <n v="8"/>
        <n v="4"/>
        <n v="26"/>
        <n v="10"/>
        <n v="37"/>
        <n v="34"/>
        <n v="44"/>
        <n v="36"/>
        <n v="17"/>
        <n v="46"/>
        <n v="50"/>
        <n v="22"/>
        <n v="32"/>
        <n v="40"/>
        <n v="16"/>
        <n v="13"/>
        <n v="7"/>
        <n v="41"/>
        <n v="45"/>
        <n v="38"/>
        <n v="48"/>
        <n v="18"/>
        <n v="15"/>
        <n v="25"/>
        <n v="39"/>
        <n v="35"/>
        <n v="29"/>
        <n v="21"/>
        <n v="43"/>
        <n v="3"/>
        <n v="5"/>
        <n v="24"/>
        <n v="42"/>
        <n v="47"/>
        <n v="28"/>
        <n v="20"/>
        <n v="33"/>
        <n v="1"/>
        <n v="9"/>
        <n v="12"/>
        <n v="27"/>
        <n v="11"/>
        <n v="30"/>
        <n v="6"/>
      </sharedItems>
    </cacheField>
    <cacheField name="Payment Method" numFmtId="0">
      <sharedItems count="6">
        <s v="Venmo"/>
        <s v="Cash"/>
        <s v="Credit Card"/>
        <s v="PayPal"/>
        <s v="Bank Transfer"/>
        <s v="Debit Card"/>
      </sharedItems>
    </cacheField>
    <cacheField name="Frequency of Purchases" numFmtId="0">
      <sharedItems count="7">
        <s v="Fortnightly"/>
        <s v="Weekly"/>
        <s v="Annually"/>
        <s v="Quarterly"/>
        <s v="Bi-Weekly"/>
        <s v="Monthly"/>
        <s v="Every 3 Months"/>
      </sharedItems>
    </cacheField>
    <cacheField name="Age Group" numFmtId="0">
      <sharedItems count="3">
        <s v="Senior"/>
        <s v="Young"/>
        <s v="Adult"/>
      </sharedItems>
    </cacheField>
    <cacheField name="Revenue" numFmtId="164">
      <sharedItems containsSemiMixedTypes="0" containsString="0" containsNumber="1" containsInteger="1" minValue="20" maxValue="100"/>
    </cacheField>
    <cacheField name="Subscriptio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x v="0"/>
    <x v="0"/>
    <s v="Blouse"/>
    <x v="0"/>
    <n v="53"/>
    <s v="Kentucky"/>
    <s v="L"/>
    <s v="Gray"/>
    <x v="0"/>
    <x v="0"/>
    <s v="Yes"/>
    <x v="0"/>
    <x v="0"/>
    <x v="0"/>
    <x v="0"/>
    <x v="0"/>
    <x v="0"/>
    <x v="0"/>
    <n v="53"/>
    <n v="1"/>
  </r>
  <r>
    <n v="2"/>
    <x v="1"/>
    <x v="0"/>
    <s v="Sweater"/>
    <x v="0"/>
    <n v="64"/>
    <s v="Maine"/>
    <s v="L"/>
    <s v="Maroon"/>
    <x v="0"/>
    <x v="0"/>
    <s v="Yes"/>
    <x v="0"/>
    <x v="0"/>
    <x v="0"/>
    <x v="1"/>
    <x v="1"/>
    <x v="0"/>
    <x v="1"/>
    <n v="64"/>
    <n v="1"/>
  </r>
  <r>
    <n v="3"/>
    <x v="2"/>
    <x v="0"/>
    <s v="Jeans"/>
    <x v="0"/>
    <n v="73"/>
    <s v="Massachusetts"/>
    <s v="S"/>
    <s v="Maroon"/>
    <x v="1"/>
    <x v="0"/>
    <s v="Yes"/>
    <x v="1"/>
    <x v="0"/>
    <x v="0"/>
    <x v="2"/>
    <x v="2"/>
    <x v="1"/>
    <x v="2"/>
    <n v="73"/>
    <n v="1"/>
  </r>
  <r>
    <n v="4"/>
    <x v="3"/>
    <x v="0"/>
    <s v="Sandals"/>
    <x v="1"/>
    <n v="90"/>
    <s v="Rhode Island"/>
    <s v="M"/>
    <s v="Maroon"/>
    <x v="1"/>
    <x v="1"/>
    <s v="Yes"/>
    <x v="2"/>
    <x v="0"/>
    <x v="0"/>
    <x v="3"/>
    <x v="3"/>
    <x v="1"/>
    <x v="1"/>
    <n v="90"/>
    <n v="1"/>
  </r>
  <r>
    <n v="5"/>
    <x v="4"/>
    <x v="0"/>
    <s v="Blouse"/>
    <x v="0"/>
    <n v="49"/>
    <s v="Oregon"/>
    <s v="M"/>
    <s v="Turquoise"/>
    <x v="1"/>
    <x v="2"/>
    <s v="Yes"/>
    <x v="1"/>
    <x v="0"/>
    <x v="0"/>
    <x v="4"/>
    <x v="3"/>
    <x v="2"/>
    <x v="2"/>
    <n v="49"/>
    <n v="1"/>
  </r>
  <r>
    <n v="6"/>
    <x v="5"/>
    <x v="0"/>
    <s v="Sneakers"/>
    <x v="1"/>
    <n v="20"/>
    <s v="Wyoming"/>
    <s v="M"/>
    <s v="White"/>
    <x v="2"/>
    <x v="3"/>
    <s v="Yes"/>
    <x v="3"/>
    <x v="0"/>
    <x v="0"/>
    <x v="0"/>
    <x v="0"/>
    <x v="1"/>
    <x v="2"/>
    <n v="20"/>
    <n v="1"/>
  </r>
  <r>
    <n v="7"/>
    <x v="6"/>
    <x v="0"/>
    <s v="Shirt"/>
    <x v="0"/>
    <n v="85"/>
    <s v="Montana"/>
    <s v="M"/>
    <s v="Gray"/>
    <x v="3"/>
    <x v="4"/>
    <s v="Yes"/>
    <x v="1"/>
    <x v="0"/>
    <x v="0"/>
    <x v="3"/>
    <x v="1"/>
    <x v="3"/>
    <x v="0"/>
    <n v="85"/>
    <n v="1"/>
  </r>
  <r>
    <n v="8"/>
    <x v="7"/>
    <x v="0"/>
    <s v="Shorts"/>
    <x v="0"/>
    <n v="34"/>
    <s v="Louisiana"/>
    <s v="L"/>
    <s v="Charcoal"/>
    <x v="0"/>
    <x v="4"/>
    <s v="Yes"/>
    <x v="1"/>
    <x v="0"/>
    <x v="0"/>
    <x v="5"/>
    <x v="2"/>
    <x v="1"/>
    <x v="2"/>
    <n v="34"/>
    <n v="1"/>
  </r>
  <r>
    <n v="9"/>
    <x v="8"/>
    <x v="0"/>
    <s v="Coat"/>
    <x v="2"/>
    <n v="97"/>
    <s v="West Virginia"/>
    <s v="L"/>
    <s v="Silver"/>
    <x v="2"/>
    <x v="5"/>
    <s v="Yes"/>
    <x v="0"/>
    <x v="0"/>
    <x v="0"/>
    <x v="6"/>
    <x v="0"/>
    <x v="2"/>
    <x v="2"/>
    <n v="97"/>
    <n v="1"/>
  </r>
  <r>
    <n v="10"/>
    <x v="9"/>
    <x v="0"/>
    <s v="Handbag"/>
    <x v="3"/>
    <n v="31"/>
    <s v="Missouri"/>
    <s v="M"/>
    <s v="Pink"/>
    <x v="1"/>
    <x v="6"/>
    <s v="Yes"/>
    <x v="4"/>
    <x v="0"/>
    <x v="0"/>
    <x v="7"/>
    <x v="1"/>
    <x v="3"/>
    <x v="0"/>
    <n v="31"/>
    <n v="1"/>
  </r>
  <r>
    <n v="11"/>
    <x v="10"/>
    <x v="0"/>
    <s v="Shoes"/>
    <x v="1"/>
    <n v="34"/>
    <s v="Arkansas"/>
    <s v="L"/>
    <s v="Purple"/>
    <x v="3"/>
    <x v="7"/>
    <s v="Yes"/>
    <x v="5"/>
    <x v="0"/>
    <x v="0"/>
    <x v="8"/>
    <x v="4"/>
    <x v="4"/>
    <x v="0"/>
    <n v="34"/>
    <n v="1"/>
  </r>
  <r>
    <n v="12"/>
    <x v="11"/>
    <x v="0"/>
    <s v="Shorts"/>
    <x v="0"/>
    <n v="68"/>
    <s v="Hawaii"/>
    <s v="S"/>
    <s v="Olive"/>
    <x v="0"/>
    <x v="8"/>
    <s v="Yes"/>
    <x v="5"/>
    <x v="0"/>
    <x v="0"/>
    <x v="9"/>
    <x v="4"/>
    <x v="0"/>
    <x v="2"/>
    <n v="68"/>
    <n v="1"/>
  </r>
  <r>
    <n v="13"/>
    <x v="12"/>
    <x v="0"/>
    <s v="Coat"/>
    <x v="2"/>
    <n v="72"/>
    <s v="Delaware"/>
    <s v="M"/>
    <s v="Gold"/>
    <x v="0"/>
    <x v="9"/>
    <s v="Yes"/>
    <x v="0"/>
    <x v="0"/>
    <x v="0"/>
    <x v="10"/>
    <x v="0"/>
    <x v="0"/>
    <x v="0"/>
    <n v="72"/>
    <n v="1"/>
  </r>
  <r>
    <n v="14"/>
    <x v="13"/>
    <x v="0"/>
    <s v="Dress"/>
    <x v="0"/>
    <n v="51"/>
    <s v="New Hampshire"/>
    <s v="M"/>
    <s v="Violet"/>
    <x v="1"/>
    <x v="10"/>
    <s v="Yes"/>
    <x v="0"/>
    <x v="0"/>
    <x v="0"/>
    <x v="4"/>
    <x v="3"/>
    <x v="1"/>
    <x v="0"/>
    <n v="51"/>
    <n v="1"/>
  </r>
  <r>
    <n v="15"/>
    <x v="14"/>
    <x v="0"/>
    <s v="Coat"/>
    <x v="2"/>
    <n v="53"/>
    <s v="New York"/>
    <s v="L"/>
    <s v="Teal"/>
    <x v="0"/>
    <x v="10"/>
    <s v="Yes"/>
    <x v="1"/>
    <x v="0"/>
    <x v="0"/>
    <x v="11"/>
    <x v="5"/>
    <x v="1"/>
    <x v="0"/>
    <n v="53"/>
    <n v="1"/>
  </r>
  <r>
    <n v="16"/>
    <x v="14"/>
    <x v="0"/>
    <s v="Skirt"/>
    <x v="0"/>
    <n v="81"/>
    <s v="Rhode Island"/>
    <s v="M"/>
    <s v="Teal"/>
    <x v="0"/>
    <x v="11"/>
    <s v="Yes"/>
    <x v="5"/>
    <x v="0"/>
    <x v="0"/>
    <x v="6"/>
    <x v="3"/>
    <x v="5"/>
    <x v="0"/>
    <n v="81"/>
    <n v="1"/>
  </r>
  <r>
    <n v="17"/>
    <x v="15"/>
    <x v="0"/>
    <s v="Sunglasses"/>
    <x v="3"/>
    <n v="36"/>
    <s v="Alabama"/>
    <s v="S"/>
    <s v="Gray"/>
    <x v="1"/>
    <x v="7"/>
    <s v="Yes"/>
    <x v="2"/>
    <x v="0"/>
    <x v="0"/>
    <x v="12"/>
    <x v="5"/>
    <x v="4"/>
    <x v="1"/>
    <n v="36"/>
    <n v="1"/>
  </r>
  <r>
    <n v="18"/>
    <x v="10"/>
    <x v="0"/>
    <s v="Dress"/>
    <x v="0"/>
    <n v="38"/>
    <s v="Mississippi"/>
    <s v="XL"/>
    <s v="Lavender"/>
    <x v="0"/>
    <x v="10"/>
    <s v="Yes"/>
    <x v="4"/>
    <x v="0"/>
    <x v="0"/>
    <x v="13"/>
    <x v="0"/>
    <x v="3"/>
    <x v="0"/>
    <n v="38"/>
    <n v="1"/>
  </r>
  <r>
    <n v="19"/>
    <x v="16"/>
    <x v="0"/>
    <s v="Sweater"/>
    <x v="0"/>
    <n v="48"/>
    <s v="Montana"/>
    <s v="S"/>
    <s v="Black"/>
    <x v="2"/>
    <x v="12"/>
    <s v="Yes"/>
    <x v="1"/>
    <x v="0"/>
    <x v="0"/>
    <x v="14"/>
    <x v="1"/>
    <x v="1"/>
    <x v="0"/>
    <n v="48"/>
    <n v="1"/>
  </r>
  <r>
    <n v="20"/>
    <x v="17"/>
    <x v="0"/>
    <s v="Pants"/>
    <x v="0"/>
    <n v="90"/>
    <s v="Rhode Island"/>
    <s v="M"/>
    <s v="Green"/>
    <x v="2"/>
    <x v="13"/>
    <s v="Yes"/>
    <x v="3"/>
    <x v="0"/>
    <x v="0"/>
    <x v="15"/>
    <x v="5"/>
    <x v="4"/>
    <x v="0"/>
    <n v="90"/>
    <n v="1"/>
  </r>
  <r>
    <n v="21"/>
    <x v="3"/>
    <x v="0"/>
    <s v="Pants"/>
    <x v="0"/>
    <n v="51"/>
    <s v="Louisiana"/>
    <s v="M"/>
    <s v="Black"/>
    <x v="0"/>
    <x v="11"/>
    <s v="Yes"/>
    <x v="0"/>
    <x v="0"/>
    <x v="0"/>
    <x v="16"/>
    <x v="1"/>
    <x v="6"/>
    <x v="1"/>
    <n v="51"/>
    <n v="1"/>
  </r>
  <r>
    <n v="22"/>
    <x v="18"/>
    <x v="0"/>
    <s v="Pants"/>
    <x v="0"/>
    <n v="62"/>
    <s v="North Carolina"/>
    <s v="M"/>
    <s v="Charcoal"/>
    <x v="0"/>
    <x v="7"/>
    <s v="Yes"/>
    <x v="5"/>
    <x v="0"/>
    <x v="0"/>
    <x v="17"/>
    <x v="5"/>
    <x v="3"/>
    <x v="2"/>
    <n v="62"/>
    <n v="1"/>
  </r>
  <r>
    <n v="23"/>
    <x v="19"/>
    <x v="0"/>
    <s v="Pants"/>
    <x v="0"/>
    <n v="37"/>
    <s v="California"/>
    <s v="M"/>
    <s v="Peach"/>
    <x v="2"/>
    <x v="4"/>
    <s v="Yes"/>
    <x v="5"/>
    <x v="0"/>
    <x v="0"/>
    <x v="18"/>
    <x v="5"/>
    <x v="2"/>
    <x v="0"/>
    <n v="37"/>
    <n v="1"/>
  </r>
  <r>
    <n v="24"/>
    <x v="18"/>
    <x v="0"/>
    <s v="Pants"/>
    <x v="0"/>
    <n v="88"/>
    <s v="Oklahoma"/>
    <s v="XL"/>
    <s v="White"/>
    <x v="0"/>
    <x v="14"/>
    <s v="Yes"/>
    <x v="0"/>
    <x v="0"/>
    <x v="0"/>
    <x v="19"/>
    <x v="2"/>
    <x v="1"/>
    <x v="2"/>
    <n v="88"/>
    <n v="1"/>
  </r>
  <r>
    <n v="25"/>
    <x v="20"/>
    <x v="0"/>
    <s v="Jacket"/>
    <x v="2"/>
    <n v="22"/>
    <s v="Florida"/>
    <s v="M"/>
    <s v="Green"/>
    <x v="3"/>
    <x v="3"/>
    <s v="Yes"/>
    <x v="5"/>
    <x v="0"/>
    <x v="0"/>
    <x v="20"/>
    <x v="5"/>
    <x v="1"/>
    <x v="1"/>
    <n v="22"/>
    <n v="1"/>
  </r>
  <r>
    <n v="26"/>
    <x v="20"/>
    <x v="0"/>
    <s v="Hoodie"/>
    <x v="0"/>
    <n v="25"/>
    <s v="Texas"/>
    <s v="M"/>
    <s v="Silver"/>
    <x v="2"/>
    <x v="15"/>
    <s v="Yes"/>
    <x v="0"/>
    <x v="0"/>
    <x v="0"/>
    <x v="0"/>
    <x v="3"/>
    <x v="2"/>
    <x v="1"/>
    <n v="25"/>
    <n v="1"/>
  </r>
  <r>
    <n v="27"/>
    <x v="21"/>
    <x v="0"/>
    <s v="Jewelry"/>
    <x v="3"/>
    <n v="20"/>
    <s v="Nevada"/>
    <s v="M"/>
    <s v="Red"/>
    <x v="1"/>
    <x v="15"/>
    <s v="Yes"/>
    <x v="2"/>
    <x v="0"/>
    <x v="0"/>
    <x v="21"/>
    <x v="2"/>
    <x v="2"/>
    <x v="2"/>
    <n v="20"/>
    <n v="1"/>
  </r>
  <r>
    <n v="28"/>
    <x v="19"/>
    <x v="0"/>
    <s v="Shorts"/>
    <x v="0"/>
    <n v="56"/>
    <s v="Kentucky"/>
    <s v="L"/>
    <s v="Cyan"/>
    <x v="2"/>
    <x v="16"/>
    <s v="Yes"/>
    <x v="2"/>
    <x v="0"/>
    <x v="0"/>
    <x v="22"/>
    <x v="4"/>
    <x v="6"/>
    <x v="0"/>
    <n v="56"/>
    <n v="1"/>
  </r>
  <r>
    <n v="29"/>
    <x v="22"/>
    <x v="0"/>
    <s v="Handbag"/>
    <x v="3"/>
    <n v="94"/>
    <s v="North Carolina"/>
    <s v="M"/>
    <s v="Gray"/>
    <x v="3"/>
    <x v="14"/>
    <s v="Yes"/>
    <x v="1"/>
    <x v="0"/>
    <x v="0"/>
    <x v="23"/>
    <x v="3"/>
    <x v="6"/>
    <x v="0"/>
    <n v="94"/>
    <n v="1"/>
  </r>
  <r>
    <n v="30"/>
    <x v="18"/>
    <x v="0"/>
    <s v="Dress"/>
    <x v="0"/>
    <n v="48"/>
    <s v="Wyoming"/>
    <s v="S"/>
    <s v="Black"/>
    <x v="3"/>
    <x v="7"/>
    <s v="Yes"/>
    <x v="5"/>
    <x v="0"/>
    <x v="0"/>
    <x v="0"/>
    <x v="2"/>
    <x v="1"/>
    <x v="2"/>
    <n v="48"/>
    <n v="1"/>
  </r>
  <r>
    <n v="31"/>
    <x v="9"/>
    <x v="0"/>
    <s v="Jewelry"/>
    <x v="3"/>
    <n v="31"/>
    <s v="North Carolina"/>
    <s v="L"/>
    <s v="Black"/>
    <x v="0"/>
    <x v="10"/>
    <s v="Yes"/>
    <x v="3"/>
    <x v="0"/>
    <x v="0"/>
    <x v="20"/>
    <x v="2"/>
    <x v="5"/>
    <x v="0"/>
    <n v="31"/>
    <n v="1"/>
  </r>
  <r>
    <n v="32"/>
    <x v="23"/>
    <x v="0"/>
    <s v="Dress"/>
    <x v="0"/>
    <n v="79"/>
    <s v="West Virginia"/>
    <s v="L"/>
    <s v="Brown"/>
    <x v="0"/>
    <x v="10"/>
    <s v="Yes"/>
    <x v="5"/>
    <x v="0"/>
    <x v="0"/>
    <x v="24"/>
    <x v="0"/>
    <x v="5"/>
    <x v="2"/>
    <n v="79"/>
    <n v="1"/>
  </r>
  <r>
    <n v="33"/>
    <x v="24"/>
    <x v="0"/>
    <s v="Jacket"/>
    <x v="2"/>
    <n v="67"/>
    <s v="Kansas"/>
    <s v="M"/>
    <s v="Silver"/>
    <x v="2"/>
    <x v="8"/>
    <s v="Yes"/>
    <x v="1"/>
    <x v="0"/>
    <x v="0"/>
    <x v="10"/>
    <x v="0"/>
    <x v="2"/>
    <x v="2"/>
    <n v="67"/>
    <n v="1"/>
  </r>
  <r>
    <n v="34"/>
    <x v="22"/>
    <x v="0"/>
    <s v="Pants"/>
    <x v="0"/>
    <n v="38"/>
    <s v="Colorado"/>
    <s v="L"/>
    <s v="Green"/>
    <x v="2"/>
    <x v="13"/>
    <s v="Yes"/>
    <x v="5"/>
    <x v="0"/>
    <x v="0"/>
    <x v="24"/>
    <x v="1"/>
    <x v="3"/>
    <x v="0"/>
    <n v="38"/>
    <n v="1"/>
  </r>
  <r>
    <n v="35"/>
    <x v="24"/>
    <x v="0"/>
    <s v="T-shirt"/>
    <x v="0"/>
    <n v="91"/>
    <s v="North Dakota"/>
    <s v="L"/>
    <s v="Violet"/>
    <x v="1"/>
    <x v="12"/>
    <s v="Yes"/>
    <x v="4"/>
    <x v="0"/>
    <x v="0"/>
    <x v="25"/>
    <x v="3"/>
    <x v="3"/>
    <x v="2"/>
    <n v="91"/>
    <n v="1"/>
  </r>
  <r>
    <n v="36"/>
    <x v="22"/>
    <x v="0"/>
    <s v="Blouse"/>
    <x v="0"/>
    <n v="33"/>
    <s v="Massachusetts"/>
    <s v="M"/>
    <s v="Cyan"/>
    <x v="2"/>
    <x v="17"/>
    <s v="Yes"/>
    <x v="4"/>
    <x v="0"/>
    <x v="0"/>
    <x v="26"/>
    <x v="2"/>
    <x v="4"/>
    <x v="0"/>
    <n v="33"/>
    <n v="1"/>
  </r>
  <r>
    <n v="37"/>
    <x v="25"/>
    <x v="0"/>
    <s v="T-shirt"/>
    <x v="0"/>
    <n v="69"/>
    <s v="Illinois"/>
    <s v="M"/>
    <s v="Maroon"/>
    <x v="0"/>
    <x v="12"/>
    <s v="Yes"/>
    <x v="1"/>
    <x v="0"/>
    <x v="0"/>
    <x v="12"/>
    <x v="3"/>
    <x v="0"/>
    <x v="2"/>
    <n v="69"/>
    <n v="1"/>
  </r>
  <r>
    <n v="38"/>
    <x v="25"/>
    <x v="0"/>
    <s v="Jeans"/>
    <x v="0"/>
    <n v="45"/>
    <s v="Indiana"/>
    <s v="S"/>
    <s v="Cyan"/>
    <x v="2"/>
    <x v="11"/>
    <s v="Yes"/>
    <x v="5"/>
    <x v="0"/>
    <x v="0"/>
    <x v="9"/>
    <x v="3"/>
    <x v="1"/>
    <x v="2"/>
    <n v="45"/>
    <n v="1"/>
  </r>
  <r>
    <n v="39"/>
    <x v="26"/>
    <x v="0"/>
    <s v="Dress"/>
    <x v="0"/>
    <n v="37"/>
    <s v="Florida"/>
    <s v="M"/>
    <s v="Red"/>
    <x v="0"/>
    <x v="18"/>
    <s v="Yes"/>
    <x v="4"/>
    <x v="0"/>
    <x v="0"/>
    <x v="12"/>
    <x v="0"/>
    <x v="6"/>
    <x v="2"/>
    <n v="37"/>
    <n v="1"/>
  </r>
  <r>
    <n v="40"/>
    <x v="27"/>
    <x v="0"/>
    <s v="Pants"/>
    <x v="0"/>
    <n v="60"/>
    <s v="Arizona"/>
    <s v="S"/>
    <s v="Turquoise"/>
    <x v="2"/>
    <x v="19"/>
    <s v="Yes"/>
    <x v="0"/>
    <x v="0"/>
    <x v="0"/>
    <x v="27"/>
    <x v="2"/>
    <x v="5"/>
    <x v="0"/>
    <n v="60"/>
    <n v="1"/>
  </r>
  <r>
    <n v="41"/>
    <x v="28"/>
    <x v="0"/>
    <s v="Handbag"/>
    <x v="3"/>
    <n v="76"/>
    <s v="Louisiana"/>
    <s v="L"/>
    <s v="Beige"/>
    <x v="0"/>
    <x v="12"/>
    <s v="Yes"/>
    <x v="2"/>
    <x v="0"/>
    <x v="0"/>
    <x v="4"/>
    <x v="5"/>
    <x v="3"/>
    <x v="0"/>
    <n v="76"/>
    <n v="1"/>
  </r>
  <r>
    <n v="42"/>
    <x v="29"/>
    <x v="0"/>
    <s v="Scarf"/>
    <x v="3"/>
    <n v="39"/>
    <s v="Alaska"/>
    <s v="M"/>
    <s v="Orange"/>
    <x v="1"/>
    <x v="9"/>
    <s v="Yes"/>
    <x v="3"/>
    <x v="0"/>
    <x v="0"/>
    <x v="19"/>
    <x v="0"/>
    <x v="2"/>
    <x v="0"/>
    <n v="39"/>
    <n v="1"/>
  </r>
  <r>
    <n v="43"/>
    <x v="30"/>
    <x v="0"/>
    <s v="Coat"/>
    <x v="2"/>
    <n v="100"/>
    <s v="Tennessee"/>
    <s v="M"/>
    <s v="Beige"/>
    <x v="1"/>
    <x v="7"/>
    <s v="Yes"/>
    <x v="1"/>
    <x v="0"/>
    <x v="0"/>
    <x v="28"/>
    <x v="3"/>
    <x v="2"/>
    <x v="1"/>
    <n v="100"/>
    <n v="1"/>
  </r>
  <r>
    <n v="44"/>
    <x v="15"/>
    <x v="0"/>
    <s v="Scarf"/>
    <x v="3"/>
    <n v="69"/>
    <s v="Ohio"/>
    <s v="L"/>
    <s v="Lavender"/>
    <x v="3"/>
    <x v="18"/>
    <s v="Yes"/>
    <x v="5"/>
    <x v="0"/>
    <x v="0"/>
    <x v="5"/>
    <x v="3"/>
    <x v="0"/>
    <x v="1"/>
    <n v="69"/>
    <n v="1"/>
  </r>
  <r>
    <n v="45"/>
    <x v="31"/>
    <x v="0"/>
    <s v="Hat"/>
    <x v="3"/>
    <n v="53"/>
    <s v="Kentucky"/>
    <s v="S"/>
    <s v="Silver"/>
    <x v="2"/>
    <x v="12"/>
    <s v="Yes"/>
    <x v="1"/>
    <x v="0"/>
    <x v="0"/>
    <x v="24"/>
    <x v="3"/>
    <x v="1"/>
    <x v="2"/>
    <n v="53"/>
    <n v="1"/>
  </r>
  <r>
    <n v="46"/>
    <x v="2"/>
    <x v="0"/>
    <s v="Socks"/>
    <x v="0"/>
    <n v="21"/>
    <s v="Tennessee"/>
    <s v="XL"/>
    <s v="Indigo"/>
    <x v="3"/>
    <x v="3"/>
    <s v="Yes"/>
    <x v="4"/>
    <x v="0"/>
    <x v="0"/>
    <x v="29"/>
    <x v="3"/>
    <x v="2"/>
    <x v="2"/>
    <n v="21"/>
    <n v="1"/>
  </r>
  <r>
    <n v="47"/>
    <x v="9"/>
    <x v="0"/>
    <s v="Shirt"/>
    <x v="0"/>
    <n v="43"/>
    <s v="California"/>
    <s v="L"/>
    <s v="White"/>
    <x v="2"/>
    <x v="3"/>
    <s v="Yes"/>
    <x v="5"/>
    <x v="0"/>
    <x v="0"/>
    <x v="24"/>
    <x v="1"/>
    <x v="3"/>
    <x v="0"/>
    <n v="43"/>
    <n v="1"/>
  </r>
  <r>
    <n v="48"/>
    <x v="0"/>
    <x v="0"/>
    <s v="Jewelry"/>
    <x v="3"/>
    <n v="54"/>
    <s v="Montana"/>
    <s v="M"/>
    <s v="Charcoal"/>
    <x v="0"/>
    <x v="9"/>
    <s v="Yes"/>
    <x v="1"/>
    <x v="0"/>
    <x v="0"/>
    <x v="13"/>
    <x v="1"/>
    <x v="1"/>
    <x v="0"/>
    <n v="54"/>
    <n v="1"/>
  </r>
  <r>
    <n v="49"/>
    <x v="32"/>
    <x v="0"/>
    <s v="Shirt"/>
    <x v="0"/>
    <n v="55"/>
    <s v="Nevada"/>
    <s v="M"/>
    <s v="Orange"/>
    <x v="2"/>
    <x v="2"/>
    <s v="Yes"/>
    <x v="5"/>
    <x v="0"/>
    <x v="0"/>
    <x v="25"/>
    <x v="1"/>
    <x v="5"/>
    <x v="2"/>
    <n v="55"/>
    <n v="1"/>
  </r>
  <r>
    <n v="50"/>
    <x v="33"/>
    <x v="0"/>
    <s v="Hoodie"/>
    <x v="0"/>
    <n v="30"/>
    <s v="New Jersey"/>
    <s v="S"/>
    <s v="Indigo"/>
    <x v="1"/>
    <x v="12"/>
    <s v="Yes"/>
    <x v="2"/>
    <x v="0"/>
    <x v="0"/>
    <x v="11"/>
    <x v="5"/>
    <x v="4"/>
    <x v="0"/>
    <n v="30"/>
    <n v="1"/>
  </r>
  <r>
    <n v="51"/>
    <x v="34"/>
    <x v="0"/>
    <s v="Blouse"/>
    <x v="0"/>
    <n v="28"/>
    <s v="Maryland"/>
    <s v="M"/>
    <s v="Red"/>
    <x v="1"/>
    <x v="18"/>
    <s v="Yes"/>
    <x v="5"/>
    <x v="0"/>
    <x v="0"/>
    <x v="30"/>
    <x v="5"/>
    <x v="4"/>
    <x v="2"/>
    <n v="28"/>
    <n v="1"/>
  </r>
  <r>
    <n v="52"/>
    <x v="35"/>
    <x v="0"/>
    <s v="Skirt"/>
    <x v="0"/>
    <n v="59"/>
    <s v="Vermont"/>
    <s v="XL"/>
    <s v="Gray"/>
    <x v="0"/>
    <x v="10"/>
    <s v="Yes"/>
    <x v="4"/>
    <x v="0"/>
    <x v="0"/>
    <x v="22"/>
    <x v="2"/>
    <x v="3"/>
    <x v="0"/>
    <n v="59"/>
    <n v="1"/>
  </r>
  <r>
    <n v="53"/>
    <x v="32"/>
    <x v="0"/>
    <s v="T-shirt"/>
    <x v="0"/>
    <n v="20"/>
    <s v="Alaska"/>
    <s v="M"/>
    <s v="Green"/>
    <x v="2"/>
    <x v="5"/>
    <s v="Yes"/>
    <x v="1"/>
    <x v="0"/>
    <x v="0"/>
    <x v="8"/>
    <x v="2"/>
    <x v="1"/>
    <x v="2"/>
    <n v="20"/>
    <n v="1"/>
  </r>
  <r>
    <n v="54"/>
    <x v="26"/>
    <x v="0"/>
    <s v="Skirt"/>
    <x v="0"/>
    <n v="24"/>
    <s v="Mississippi"/>
    <s v="S"/>
    <s v="Peach"/>
    <x v="0"/>
    <x v="20"/>
    <s v="Yes"/>
    <x v="2"/>
    <x v="0"/>
    <x v="0"/>
    <x v="31"/>
    <x v="2"/>
    <x v="1"/>
    <x v="2"/>
    <n v="24"/>
    <n v="1"/>
  </r>
  <r>
    <n v="55"/>
    <x v="36"/>
    <x v="0"/>
    <s v="Coat"/>
    <x v="2"/>
    <n v="94"/>
    <s v="New Mexico"/>
    <s v="M"/>
    <s v="Brown"/>
    <x v="2"/>
    <x v="19"/>
    <s v="Yes"/>
    <x v="2"/>
    <x v="0"/>
    <x v="0"/>
    <x v="31"/>
    <x v="5"/>
    <x v="4"/>
    <x v="2"/>
    <n v="94"/>
    <n v="1"/>
  </r>
  <r>
    <n v="56"/>
    <x v="37"/>
    <x v="0"/>
    <s v="Jacket"/>
    <x v="2"/>
    <n v="28"/>
    <s v="South Carolina"/>
    <s v="M"/>
    <s v="Lavender"/>
    <x v="0"/>
    <x v="21"/>
    <s v="Yes"/>
    <x v="4"/>
    <x v="0"/>
    <x v="0"/>
    <x v="3"/>
    <x v="2"/>
    <x v="2"/>
    <x v="2"/>
    <n v="28"/>
    <n v="1"/>
  </r>
  <r>
    <n v="57"/>
    <x v="38"/>
    <x v="0"/>
    <s v="Backpack"/>
    <x v="3"/>
    <n v="73"/>
    <s v="Mississippi"/>
    <s v="XL"/>
    <s v="Brown"/>
    <x v="2"/>
    <x v="10"/>
    <s v="Yes"/>
    <x v="5"/>
    <x v="0"/>
    <x v="0"/>
    <x v="15"/>
    <x v="2"/>
    <x v="1"/>
    <x v="2"/>
    <n v="73"/>
    <n v="1"/>
  </r>
  <r>
    <n v="58"/>
    <x v="3"/>
    <x v="0"/>
    <s v="Coat"/>
    <x v="2"/>
    <n v="64"/>
    <s v="West Virginia"/>
    <s v="M"/>
    <s v="White"/>
    <x v="2"/>
    <x v="14"/>
    <s v="Yes"/>
    <x v="5"/>
    <x v="0"/>
    <x v="0"/>
    <x v="14"/>
    <x v="5"/>
    <x v="0"/>
    <x v="1"/>
    <n v="64"/>
    <n v="1"/>
  </r>
  <r>
    <n v="59"/>
    <x v="28"/>
    <x v="0"/>
    <s v="Hoodie"/>
    <x v="0"/>
    <n v="54"/>
    <s v="Missouri"/>
    <s v="M"/>
    <s v="Charcoal"/>
    <x v="2"/>
    <x v="19"/>
    <s v="Yes"/>
    <x v="1"/>
    <x v="0"/>
    <x v="0"/>
    <x v="32"/>
    <x v="0"/>
    <x v="5"/>
    <x v="0"/>
    <n v="54"/>
    <n v="1"/>
  </r>
  <r>
    <n v="60"/>
    <x v="6"/>
    <x v="0"/>
    <s v="Belt"/>
    <x v="3"/>
    <n v="79"/>
    <s v="Louisiana"/>
    <s v="L"/>
    <s v="Yellow"/>
    <x v="1"/>
    <x v="12"/>
    <s v="Yes"/>
    <x v="3"/>
    <x v="0"/>
    <x v="0"/>
    <x v="7"/>
    <x v="5"/>
    <x v="1"/>
    <x v="0"/>
    <n v="79"/>
    <n v="1"/>
  </r>
  <r>
    <n v="61"/>
    <x v="2"/>
    <x v="0"/>
    <s v="Sweater"/>
    <x v="0"/>
    <n v="37"/>
    <s v="Idaho"/>
    <s v="L"/>
    <s v="Brown"/>
    <x v="2"/>
    <x v="17"/>
    <s v="Yes"/>
    <x v="0"/>
    <x v="0"/>
    <x v="0"/>
    <x v="14"/>
    <x v="1"/>
    <x v="1"/>
    <x v="2"/>
    <n v="37"/>
    <n v="1"/>
  </r>
  <r>
    <n v="62"/>
    <x v="0"/>
    <x v="0"/>
    <s v="Scarf"/>
    <x v="3"/>
    <n v="68"/>
    <s v="Texas"/>
    <s v="M"/>
    <s v="Orange"/>
    <x v="0"/>
    <x v="10"/>
    <s v="Yes"/>
    <x v="5"/>
    <x v="0"/>
    <x v="0"/>
    <x v="33"/>
    <x v="2"/>
    <x v="6"/>
    <x v="0"/>
    <n v="68"/>
    <n v="1"/>
  </r>
  <r>
    <n v="63"/>
    <x v="11"/>
    <x v="0"/>
    <s v="Sneakers"/>
    <x v="1"/>
    <n v="21"/>
    <s v="Mississippi"/>
    <s v="S"/>
    <s v="Magenta"/>
    <x v="1"/>
    <x v="22"/>
    <s v="Yes"/>
    <x v="1"/>
    <x v="0"/>
    <x v="0"/>
    <x v="4"/>
    <x v="2"/>
    <x v="0"/>
    <x v="2"/>
    <n v="21"/>
    <n v="1"/>
  </r>
  <r>
    <n v="64"/>
    <x v="23"/>
    <x v="0"/>
    <s v="Sunglasses"/>
    <x v="3"/>
    <n v="79"/>
    <s v="Arizona"/>
    <s v="L"/>
    <s v="Lavender"/>
    <x v="0"/>
    <x v="2"/>
    <s v="Yes"/>
    <x v="4"/>
    <x v="0"/>
    <x v="0"/>
    <x v="34"/>
    <x v="2"/>
    <x v="1"/>
    <x v="2"/>
    <n v="79"/>
    <n v="1"/>
  </r>
  <r>
    <n v="65"/>
    <x v="13"/>
    <x v="0"/>
    <s v="Boots"/>
    <x v="1"/>
    <n v="83"/>
    <s v="Alabama"/>
    <s v="S"/>
    <s v="Green"/>
    <x v="3"/>
    <x v="6"/>
    <s v="Yes"/>
    <x v="3"/>
    <x v="0"/>
    <x v="0"/>
    <x v="27"/>
    <x v="5"/>
    <x v="0"/>
    <x v="0"/>
    <n v="83"/>
    <n v="1"/>
  </r>
  <r>
    <n v="66"/>
    <x v="13"/>
    <x v="0"/>
    <s v="Backpack"/>
    <x v="3"/>
    <n v="36"/>
    <s v="New Jersey"/>
    <s v="M"/>
    <s v="Purple"/>
    <x v="1"/>
    <x v="6"/>
    <s v="Yes"/>
    <x v="4"/>
    <x v="0"/>
    <x v="0"/>
    <x v="12"/>
    <x v="0"/>
    <x v="6"/>
    <x v="0"/>
    <n v="36"/>
    <n v="1"/>
  </r>
  <r>
    <n v="67"/>
    <x v="18"/>
    <x v="0"/>
    <s v="Blouse"/>
    <x v="0"/>
    <n v="94"/>
    <s v="Pennsylvania"/>
    <s v="S"/>
    <s v="Magenta"/>
    <x v="0"/>
    <x v="10"/>
    <s v="Yes"/>
    <x v="4"/>
    <x v="0"/>
    <x v="0"/>
    <x v="35"/>
    <x v="0"/>
    <x v="6"/>
    <x v="2"/>
    <n v="94"/>
    <n v="1"/>
  </r>
  <r>
    <n v="68"/>
    <x v="4"/>
    <x v="0"/>
    <s v="Coat"/>
    <x v="2"/>
    <n v="33"/>
    <s v="Connecticut"/>
    <s v="L"/>
    <s v="Gray"/>
    <x v="0"/>
    <x v="14"/>
    <s v="Yes"/>
    <x v="5"/>
    <x v="0"/>
    <x v="0"/>
    <x v="3"/>
    <x v="5"/>
    <x v="5"/>
    <x v="2"/>
    <n v="33"/>
    <n v="1"/>
  </r>
  <r>
    <n v="69"/>
    <x v="9"/>
    <x v="0"/>
    <s v="Handbag"/>
    <x v="3"/>
    <n v="46"/>
    <s v="Utah"/>
    <s v="L"/>
    <s v="Silver"/>
    <x v="2"/>
    <x v="20"/>
    <s v="Yes"/>
    <x v="2"/>
    <x v="0"/>
    <x v="0"/>
    <x v="33"/>
    <x v="1"/>
    <x v="6"/>
    <x v="0"/>
    <n v="46"/>
    <n v="1"/>
  </r>
  <r>
    <n v="70"/>
    <x v="39"/>
    <x v="0"/>
    <s v="Belt"/>
    <x v="3"/>
    <n v="70"/>
    <s v="Tennessee"/>
    <s v="S"/>
    <s v="Cyan"/>
    <x v="2"/>
    <x v="14"/>
    <s v="Yes"/>
    <x v="0"/>
    <x v="0"/>
    <x v="0"/>
    <x v="36"/>
    <x v="1"/>
    <x v="1"/>
    <x v="2"/>
    <n v="70"/>
    <n v="1"/>
  </r>
  <r>
    <n v="71"/>
    <x v="40"/>
    <x v="0"/>
    <s v="Belt"/>
    <x v="3"/>
    <n v="29"/>
    <s v="Alabama"/>
    <s v="M"/>
    <s v="Magenta"/>
    <x v="3"/>
    <x v="19"/>
    <s v="Yes"/>
    <x v="0"/>
    <x v="0"/>
    <x v="0"/>
    <x v="18"/>
    <x v="5"/>
    <x v="6"/>
    <x v="1"/>
    <n v="29"/>
    <n v="1"/>
  </r>
  <r>
    <n v="72"/>
    <x v="24"/>
    <x v="0"/>
    <s v="Dress"/>
    <x v="0"/>
    <n v="48"/>
    <s v="Virginia"/>
    <s v="L"/>
    <s v="Gold"/>
    <x v="2"/>
    <x v="3"/>
    <s v="Yes"/>
    <x v="0"/>
    <x v="0"/>
    <x v="0"/>
    <x v="11"/>
    <x v="4"/>
    <x v="2"/>
    <x v="2"/>
    <n v="48"/>
    <n v="1"/>
  </r>
  <r>
    <n v="73"/>
    <x v="20"/>
    <x v="0"/>
    <s v="Dress"/>
    <x v="0"/>
    <n v="26"/>
    <s v="Georgia"/>
    <s v="M"/>
    <s v="Olive"/>
    <x v="0"/>
    <x v="3"/>
    <s v="Yes"/>
    <x v="5"/>
    <x v="0"/>
    <x v="0"/>
    <x v="33"/>
    <x v="4"/>
    <x v="6"/>
    <x v="1"/>
    <n v="26"/>
    <n v="1"/>
  </r>
  <r>
    <n v="74"/>
    <x v="39"/>
    <x v="0"/>
    <s v="Pants"/>
    <x v="0"/>
    <n v="85"/>
    <s v="Hawaii"/>
    <s v="M"/>
    <s v="Teal"/>
    <x v="1"/>
    <x v="2"/>
    <s v="Yes"/>
    <x v="1"/>
    <x v="0"/>
    <x v="0"/>
    <x v="34"/>
    <x v="4"/>
    <x v="4"/>
    <x v="2"/>
    <n v="85"/>
    <n v="1"/>
  </r>
  <r>
    <n v="75"/>
    <x v="34"/>
    <x v="0"/>
    <s v="Gloves"/>
    <x v="3"/>
    <n v="58"/>
    <s v="Indiana"/>
    <s v="L"/>
    <s v="Violet"/>
    <x v="1"/>
    <x v="9"/>
    <s v="Yes"/>
    <x v="0"/>
    <x v="0"/>
    <x v="0"/>
    <x v="35"/>
    <x v="1"/>
    <x v="5"/>
    <x v="2"/>
    <n v="58"/>
    <n v="1"/>
  </r>
  <r>
    <n v="76"/>
    <x v="14"/>
    <x v="0"/>
    <s v="Scarf"/>
    <x v="3"/>
    <n v="85"/>
    <s v="Utah"/>
    <s v="M"/>
    <s v="Blue"/>
    <x v="2"/>
    <x v="2"/>
    <s v="Yes"/>
    <x v="1"/>
    <x v="0"/>
    <x v="0"/>
    <x v="33"/>
    <x v="2"/>
    <x v="2"/>
    <x v="0"/>
    <n v="85"/>
    <n v="1"/>
  </r>
  <r>
    <n v="77"/>
    <x v="2"/>
    <x v="0"/>
    <s v="Hat"/>
    <x v="3"/>
    <n v="43"/>
    <s v="Delaware"/>
    <s v="S"/>
    <s v="Teal"/>
    <x v="2"/>
    <x v="19"/>
    <s v="Yes"/>
    <x v="1"/>
    <x v="0"/>
    <x v="0"/>
    <x v="18"/>
    <x v="0"/>
    <x v="5"/>
    <x v="2"/>
    <n v="43"/>
    <n v="1"/>
  </r>
  <r>
    <n v="78"/>
    <x v="40"/>
    <x v="0"/>
    <s v="Dress"/>
    <x v="0"/>
    <n v="53"/>
    <s v="Delaware"/>
    <s v="L"/>
    <s v="Gold"/>
    <x v="2"/>
    <x v="13"/>
    <s v="Yes"/>
    <x v="2"/>
    <x v="0"/>
    <x v="0"/>
    <x v="13"/>
    <x v="5"/>
    <x v="0"/>
    <x v="1"/>
    <n v="53"/>
    <n v="1"/>
  </r>
  <r>
    <n v="79"/>
    <x v="2"/>
    <x v="0"/>
    <s v="Skirt"/>
    <x v="0"/>
    <n v="91"/>
    <s v="Nebraska"/>
    <s v="M"/>
    <s v="Maroon"/>
    <x v="1"/>
    <x v="10"/>
    <s v="Yes"/>
    <x v="1"/>
    <x v="0"/>
    <x v="0"/>
    <x v="16"/>
    <x v="0"/>
    <x v="0"/>
    <x v="2"/>
    <n v="91"/>
    <n v="1"/>
  </r>
  <r>
    <n v="80"/>
    <x v="21"/>
    <x v="0"/>
    <s v="Jacket"/>
    <x v="2"/>
    <n v="96"/>
    <s v="Iowa"/>
    <s v="M"/>
    <s v="Olive"/>
    <x v="0"/>
    <x v="5"/>
    <s v="Yes"/>
    <x v="4"/>
    <x v="0"/>
    <x v="0"/>
    <x v="34"/>
    <x v="4"/>
    <x v="6"/>
    <x v="2"/>
    <n v="96"/>
    <n v="1"/>
  </r>
  <r>
    <n v="81"/>
    <x v="1"/>
    <x v="0"/>
    <s v="Sandals"/>
    <x v="1"/>
    <n v="72"/>
    <s v="New York"/>
    <s v="XL"/>
    <s v="Blue"/>
    <x v="2"/>
    <x v="13"/>
    <s v="Yes"/>
    <x v="5"/>
    <x v="0"/>
    <x v="0"/>
    <x v="37"/>
    <x v="2"/>
    <x v="6"/>
    <x v="1"/>
    <n v="72"/>
    <n v="1"/>
  </r>
  <r>
    <n v="82"/>
    <x v="29"/>
    <x v="0"/>
    <s v="Shoes"/>
    <x v="1"/>
    <n v="96"/>
    <s v="Virginia"/>
    <s v="L"/>
    <s v="Maroon"/>
    <x v="2"/>
    <x v="5"/>
    <s v="Yes"/>
    <x v="0"/>
    <x v="0"/>
    <x v="0"/>
    <x v="13"/>
    <x v="2"/>
    <x v="6"/>
    <x v="0"/>
    <n v="96"/>
    <n v="1"/>
  </r>
  <r>
    <n v="83"/>
    <x v="1"/>
    <x v="0"/>
    <s v="Pants"/>
    <x v="0"/>
    <n v="28"/>
    <s v="Georgia"/>
    <s v="S"/>
    <s v="Olive"/>
    <x v="1"/>
    <x v="17"/>
    <s v="Yes"/>
    <x v="4"/>
    <x v="0"/>
    <x v="0"/>
    <x v="33"/>
    <x v="2"/>
    <x v="6"/>
    <x v="1"/>
    <n v="28"/>
    <n v="1"/>
  </r>
  <r>
    <n v="84"/>
    <x v="24"/>
    <x v="0"/>
    <s v="Dress"/>
    <x v="0"/>
    <n v="40"/>
    <s v="Texas"/>
    <s v="M"/>
    <s v="Turquoise"/>
    <x v="2"/>
    <x v="7"/>
    <s v="Yes"/>
    <x v="3"/>
    <x v="0"/>
    <x v="0"/>
    <x v="11"/>
    <x v="4"/>
    <x v="1"/>
    <x v="2"/>
    <n v="40"/>
    <n v="1"/>
  </r>
  <r>
    <n v="85"/>
    <x v="16"/>
    <x v="0"/>
    <s v="Coat"/>
    <x v="2"/>
    <n v="32"/>
    <s v="Arizona"/>
    <s v="S"/>
    <s v="Peach"/>
    <x v="1"/>
    <x v="14"/>
    <s v="Yes"/>
    <x v="3"/>
    <x v="0"/>
    <x v="0"/>
    <x v="38"/>
    <x v="4"/>
    <x v="6"/>
    <x v="0"/>
    <n v="32"/>
    <n v="1"/>
  </r>
  <r>
    <n v="86"/>
    <x v="10"/>
    <x v="0"/>
    <s v="Sunglasses"/>
    <x v="3"/>
    <n v="95"/>
    <s v="New Mexico"/>
    <s v="M"/>
    <s v="Charcoal"/>
    <x v="0"/>
    <x v="9"/>
    <s v="Yes"/>
    <x v="2"/>
    <x v="0"/>
    <x v="0"/>
    <x v="1"/>
    <x v="5"/>
    <x v="4"/>
    <x v="0"/>
    <n v="95"/>
    <n v="1"/>
  </r>
  <r>
    <n v="87"/>
    <x v="41"/>
    <x v="0"/>
    <s v="Hoodie"/>
    <x v="0"/>
    <n v="41"/>
    <s v="Nevada"/>
    <s v="L"/>
    <s v="Pink"/>
    <x v="1"/>
    <x v="18"/>
    <s v="Yes"/>
    <x v="4"/>
    <x v="0"/>
    <x v="0"/>
    <x v="39"/>
    <x v="1"/>
    <x v="4"/>
    <x v="1"/>
    <n v="41"/>
    <n v="1"/>
  </r>
  <r>
    <n v="88"/>
    <x v="16"/>
    <x v="0"/>
    <s v="Shoes"/>
    <x v="1"/>
    <n v="53"/>
    <s v="Ohio"/>
    <s v="M"/>
    <s v="Green"/>
    <x v="3"/>
    <x v="18"/>
    <s v="Yes"/>
    <x v="4"/>
    <x v="0"/>
    <x v="0"/>
    <x v="12"/>
    <x v="5"/>
    <x v="0"/>
    <x v="0"/>
    <n v="53"/>
    <n v="1"/>
  </r>
  <r>
    <n v="89"/>
    <x v="23"/>
    <x v="0"/>
    <s v="T-shirt"/>
    <x v="0"/>
    <n v="47"/>
    <s v="Wyoming"/>
    <s v="M"/>
    <s v="Orange"/>
    <x v="3"/>
    <x v="1"/>
    <s v="Yes"/>
    <x v="1"/>
    <x v="0"/>
    <x v="0"/>
    <x v="31"/>
    <x v="2"/>
    <x v="5"/>
    <x v="2"/>
    <n v="47"/>
    <n v="1"/>
  </r>
  <r>
    <n v="90"/>
    <x v="36"/>
    <x v="0"/>
    <s v="Jacket"/>
    <x v="2"/>
    <n v="83"/>
    <s v="California"/>
    <s v="XL"/>
    <s v="Pink"/>
    <x v="3"/>
    <x v="15"/>
    <s v="Yes"/>
    <x v="2"/>
    <x v="0"/>
    <x v="0"/>
    <x v="28"/>
    <x v="1"/>
    <x v="3"/>
    <x v="2"/>
    <n v="83"/>
    <n v="1"/>
  </r>
  <r>
    <n v="91"/>
    <x v="15"/>
    <x v="0"/>
    <s v="Hat"/>
    <x v="3"/>
    <n v="48"/>
    <s v="South Carolina"/>
    <s v="L"/>
    <s v="Violet"/>
    <x v="2"/>
    <x v="3"/>
    <s v="Yes"/>
    <x v="0"/>
    <x v="0"/>
    <x v="0"/>
    <x v="32"/>
    <x v="2"/>
    <x v="5"/>
    <x v="1"/>
    <n v="48"/>
    <n v="1"/>
  </r>
  <r>
    <n v="92"/>
    <x v="42"/>
    <x v="0"/>
    <s v="Scarf"/>
    <x v="3"/>
    <n v="99"/>
    <s v="South Carolina"/>
    <s v="S"/>
    <s v="Green"/>
    <x v="0"/>
    <x v="12"/>
    <s v="Yes"/>
    <x v="3"/>
    <x v="0"/>
    <x v="0"/>
    <x v="27"/>
    <x v="2"/>
    <x v="6"/>
    <x v="2"/>
    <n v="99"/>
    <n v="1"/>
  </r>
  <r>
    <n v="93"/>
    <x v="12"/>
    <x v="0"/>
    <s v="Jacket"/>
    <x v="2"/>
    <n v="87"/>
    <s v="Texas"/>
    <s v="M"/>
    <s v="Olive"/>
    <x v="0"/>
    <x v="14"/>
    <s v="Yes"/>
    <x v="4"/>
    <x v="0"/>
    <x v="0"/>
    <x v="21"/>
    <x v="0"/>
    <x v="6"/>
    <x v="0"/>
    <n v="87"/>
    <n v="1"/>
  </r>
  <r>
    <n v="94"/>
    <x v="43"/>
    <x v="0"/>
    <s v="Sweater"/>
    <x v="0"/>
    <n v="62"/>
    <s v="Florida"/>
    <s v="M"/>
    <s v="Purple"/>
    <x v="3"/>
    <x v="9"/>
    <s v="Yes"/>
    <x v="3"/>
    <x v="0"/>
    <x v="0"/>
    <x v="15"/>
    <x v="2"/>
    <x v="1"/>
    <x v="2"/>
    <n v="62"/>
    <n v="1"/>
  </r>
  <r>
    <n v="95"/>
    <x v="44"/>
    <x v="0"/>
    <s v="Skirt"/>
    <x v="0"/>
    <n v="76"/>
    <s v="Nevada"/>
    <s v="S"/>
    <s v="Silver"/>
    <x v="1"/>
    <x v="12"/>
    <s v="Yes"/>
    <x v="1"/>
    <x v="0"/>
    <x v="0"/>
    <x v="40"/>
    <x v="2"/>
    <x v="1"/>
    <x v="0"/>
    <n v="76"/>
    <n v="1"/>
  </r>
  <r>
    <n v="96"/>
    <x v="43"/>
    <x v="0"/>
    <s v="Sneakers"/>
    <x v="1"/>
    <n v="100"/>
    <s v="Missouri"/>
    <s v="L"/>
    <s v="Pink"/>
    <x v="3"/>
    <x v="22"/>
    <s v="Yes"/>
    <x v="1"/>
    <x v="0"/>
    <x v="0"/>
    <x v="26"/>
    <x v="3"/>
    <x v="5"/>
    <x v="2"/>
    <n v="100"/>
    <n v="1"/>
  </r>
  <r>
    <n v="97"/>
    <x v="45"/>
    <x v="0"/>
    <s v="Gloves"/>
    <x v="3"/>
    <n v="73"/>
    <s v="Delaware"/>
    <s v="S"/>
    <s v="Gold"/>
    <x v="1"/>
    <x v="15"/>
    <s v="Yes"/>
    <x v="0"/>
    <x v="0"/>
    <x v="0"/>
    <x v="34"/>
    <x v="0"/>
    <x v="6"/>
    <x v="2"/>
    <n v="73"/>
    <n v="1"/>
  </r>
  <r>
    <n v="98"/>
    <x v="3"/>
    <x v="0"/>
    <s v="Shoes"/>
    <x v="1"/>
    <n v="92"/>
    <s v="Virginia"/>
    <s v="M"/>
    <s v="Teal"/>
    <x v="0"/>
    <x v="6"/>
    <s v="Yes"/>
    <x v="5"/>
    <x v="0"/>
    <x v="0"/>
    <x v="10"/>
    <x v="1"/>
    <x v="2"/>
    <x v="1"/>
    <n v="92"/>
    <n v="1"/>
  </r>
  <r>
    <n v="99"/>
    <x v="30"/>
    <x v="0"/>
    <s v="Jeans"/>
    <x v="0"/>
    <n v="67"/>
    <s v="New York"/>
    <s v="XL"/>
    <s v="Teal"/>
    <x v="1"/>
    <x v="5"/>
    <s v="Yes"/>
    <x v="2"/>
    <x v="0"/>
    <x v="0"/>
    <x v="41"/>
    <x v="4"/>
    <x v="2"/>
    <x v="1"/>
    <n v="67"/>
    <n v="1"/>
  </r>
  <r>
    <n v="100"/>
    <x v="8"/>
    <x v="0"/>
    <s v="Hoodie"/>
    <x v="0"/>
    <n v="40"/>
    <s v="Missouri"/>
    <s v="XL"/>
    <s v="Indigo"/>
    <x v="2"/>
    <x v="18"/>
    <s v="Yes"/>
    <x v="0"/>
    <x v="0"/>
    <x v="0"/>
    <x v="42"/>
    <x v="5"/>
    <x v="3"/>
    <x v="2"/>
    <n v="40"/>
    <n v="1"/>
  </r>
  <r>
    <n v="101"/>
    <x v="46"/>
    <x v="0"/>
    <s v="Sunglasses"/>
    <x v="3"/>
    <n v="98"/>
    <s v="South Dakota"/>
    <s v="M"/>
    <s v="Maroon"/>
    <x v="3"/>
    <x v="2"/>
    <s v="Yes"/>
    <x v="0"/>
    <x v="0"/>
    <x v="0"/>
    <x v="4"/>
    <x v="1"/>
    <x v="0"/>
    <x v="0"/>
    <n v="98"/>
    <n v="1"/>
  </r>
  <r>
    <n v="102"/>
    <x v="7"/>
    <x v="0"/>
    <s v="Coat"/>
    <x v="2"/>
    <n v="85"/>
    <s v="North Dakota"/>
    <s v="XL"/>
    <s v="White"/>
    <x v="1"/>
    <x v="12"/>
    <s v="Yes"/>
    <x v="0"/>
    <x v="0"/>
    <x v="0"/>
    <x v="16"/>
    <x v="2"/>
    <x v="4"/>
    <x v="2"/>
    <n v="85"/>
    <n v="1"/>
  </r>
  <r>
    <n v="103"/>
    <x v="47"/>
    <x v="0"/>
    <s v="Socks"/>
    <x v="0"/>
    <n v="67"/>
    <s v="Oklahoma"/>
    <s v="L"/>
    <s v="Violet"/>
    <x v="0"/>
    <x v="6"/>
    <s v="Yes"/>
    <x v="2"/>
    <x v="0"/>
    <x v="0"/>
    <x v="31"/>
    <x v="2"/>
    <x v="3"/>
    <x v="0"/>
    <n v="67"/>
    <n v="1"/>
  </r>
  <r>
    <n v="104"/>
    <x v="22"/>
    <x v="0"/>
    <s v="Boots"/>
    <x v="1"/>
    <n v="89"/>
    <s v="West Virginia"/>
    <s v="L"/>
    <s v="Red"/>
    <x v="0"/>
    <x v="17"/>
    <s v="Yes"/>
    <x v="2"/>
    <x v="0"/>
    <x v="0"/>
    <x v="17"/>
    <x v="0"/>
    <x v="4"/>
    <x v="0"/>
    <n v="89"/>
    <n v="1"/>
  </r>
  <r>
    <n v="105"/>
    <x v="0"/>
    <x v="0"/>
    <s v="Sunglasses"/>
    <x v="3"/>
    <n v="24"/>
    <s v="New Hampshire"/>
    <s v="L"/>
    <s v="Pink"/>
    <x v="1"/>
    <x v="14"/>
    <s v="Yes"/>
    <x v="4"/>
    <x v="0"/>
    <x v="0"/>
    <x v="43"/>
    <x v="3"/>
    <x v="5"/>
    <x v="0"/>
    <n v="24"/>
    <n v="1"/>
  </r>
  <r>
    <n v="106"/>
    <x v="28"/>
    <x v="0"/>
    <s v="Backpack"/>
    <x v="3"/>
    <n v="96"/>
    <s v="New York"/>
    <s v="M"/>
    <s v="Charcoal"/>
    <x v="3"/>
    <x v="15"/>
    <s v="Yes"/>
    <x v="2"/>
    <x v="0"/>
    <x v="0"/>
    <x v="7"/>
    <x v="4"/>
    <x v="2"/>
    <x v="0"/>
    <n v="96"/>
    <n v="1"/>
  </r>
  <r>
    <n v="107"/>
    <x v="14"/>
    <x v="0"/>
    <s v="Jacket"/>
    <x v="2"/>
    <n v="35"/>
    <s v="Minnesota"/>
    <s v="L"/>
    <s v="White"/>
    <x v="2"/>
    <x v="18"/>
    <s v="Yes"/>
    <x v="3"/>
    <x v="0"/>
    <x v="0"/>
    <x v="4"/>
    <x v="2"/>
    <x v="5"/>
    <x v="0"/>
    <n v="35"/>
    <n v="1"/>
  </r>
  <r>
    <n v="108"/>
    <x v="48"/>
    <x v="0"/>
    <s v="Sneakers"/>
    <x v="1"/>
    <n v="67"/>
    <s v="Maryland"/>
    <s v="L"/>
    <s v="Olive"/>
    <x v="0"/>
    <x v="0"/>
    <s v="Yes"/>
    <x v="2"/>
    <x v="0"/>
    <x v="0"/>
    <x v="15"/>
    <x v="3"/>
    <x v="0"/>
    <x v="2"/>
    <n v="67"/>
    <n v="1"/>
  </r>
  <r>
    <n v="109"/>
    <x v="27"/>
    <x v="0"/>
    <s v="Socks"/>
    <x v="0"/>
    <n v="79"/>
    <s v="Montana"/>
    <s v="L"/>
    <s v="Purple"/>
    <x v="1"/>
    <x v="23"/>
    <s v="Yes"/>
    <x v="2"/>
    <x v="0"/>
    <x v="0"/>
    <x v="18"/>
    <x v="4"/>
    <x v="4"/>
    <x v="0"/>
    <n v="79"/>
    <n v="1"/>
  </r>
  <r>
    <n v="110"/>
    <x v="44"/>
    <x v="0"/>
    <s v="T-shirt"/>
    <x v="0"/>
    <n v="85"/>
    <s v="Alabama"/>
    <s v="M"/>
    <s v="Violet"/>
    <x v="1"/>
    <x v="5"/>
    <s v="Yes"/>
    <x v="2"/>
    <x v="0"/>
    <x v="0"/>
    <x v="34"/>
    <x v="4"/>
    <x v="0"/>
    <x v="0"/>
    <n v="85"/>
    <n v="1"/>
  </r>
  <r>
    <n v="111"/>
    <x v="19"/>
    <x v="0"/>
    <s v="Backpack"/>
    <x v="3"/>
    <n v="26"/>
    <s v="New York"/>
    <s v="M"/>
    <s v="Black"/>
    <x v="2"/>
    <x v="17"/>
    <s v="Yes"/>
    <x v="3"/>
    <x v="0"/>
    <x v="0"/>
    <x v="8"/>
    <x v="0"/>
    <x v="0"/>
    <x v="0"/>
    <n v="26"/>
    <n v="1"/>
  </r>
  <r>
    <n v="112"/>
    <x v="8"/>
    <x v="0"/>
    <s v="Belt"/>
    <x v="3"/>
    <n v="75"/>
    <s v="Massachusetts"/>
    <s v="L"/>
    <s v="Purple"/>
    <x v="2"/>
    <x v="16"/>
    <s v="Yes"/>
    <x v="1"/>
    <x v="0"/>
    <x v="0"/>
    <x v="44"/>
    <x v="2"/>
    <x v="2"/>
    <x v="2"/>
    <n v="75"/>
    <n v="1"/>
  </r>
  <r>
    <n v="113"/>
    <x v="43"/>
    <x v="0"/>
    <s v="Gloves"/>
    <x v="3"/>
    <n v="65"/>
    <s v="Florida"/>
    <s v="M"/>
    <s v="Red"/>
    <x v="1"/>
    <x v="24"/>
    <s v="Yes"/>
    <x v="1"/>
    <x v="0"/>
    <x v="0"/>
    <x v="40"/>
    <x v="3"/>
    <x v="4"/>
    <x v="2"/>
    <n v="65"/>
    <n v="1"/>
  </r>
  <r>
    <n v="114"/>
    <x v="42"/>
    <x v="0"/>
    <s v="Hat"/>
    <x v="3"/>
    <n v="54"/>
    <s v="New Jersey"/>
    <s v="L"/>
    <s v="Maroon"/>
    <x v="0"/>
    <x v="0"/>
    <s v="Yes"/>
    <x v="2"/>
    <x v="0"/>
    <x v="0"/>
    <x v="41"/>
    <x v="3"/>
    <x v="3"/>
    <x v="2"/>
    <n v="54"/>
    <n v="1"/>
  </r>
  <r>
    <n v="115"/>
    <x v="27"/>
    <x v="0"/>
    <s v="Coat"/>
    <x v="2"/>
    <n v="95"/>
    <s v="Massachusetts"/>
    <s v="S"/>
    <s v="Blue"/>
    <x v="2"/>
    <x v="18"/>
    <s v="Yes"/>
    <x v="5"/>
    <x v="0"/>
    <x v="0"/>
    <x v="44"/>
    <x v="1"/>
    <x v="1"/>
    <x v="0"/>
    <n v="95"/>
    <n v="1"/>
  </r>
  <r>
    <n v="116"/>
    <x v="10"/>
    <x v="0"/>
    <s v="Skirt"/>
    <x v="0"/>
    <n v="94"/>
    <s v="Wyoming"/>
    <s v="M"/>
    <s v="Gray"/>
    <x v="1"/>
    <x v="22"/>
    <s v="Yes"/>
    <x v="3"/>
    <x v="0"/>
    <x v="0"/>
    <x v="26"/>
    <x v="5"/>
    <x v="6"/>
    <x v="0"/>
    <n v="94"/>
    <n v="1"/>
  </r>
  <r>
    <n v="117"/>
    <x v="0"/>
    <x v="0"/>
    <s v="Shoes"/>
    <x v="1"/>
    <n v="86"/>
    <s v="Virginia"/>
    <s v="S"/>
    <s v="Blue"/>
    <x v="1"/>
    <x v="23"/>
    <s v="Yes"/>
    <x v="1"/>
    <x v="0"/>
    <x v="0"/>
    <x v="45"/>
    <x v="0"/>
    <x v="2"/>
    <x v="0"/>
    <n v="86"/>
    <n v="1"/>
  </r>
  <r>
    <n v="118"/>
    <x v="2"/>
    <x v="0"/>
    <s v="Sandals"/>
    <x v="1"/>
    <n v="32"/>
    <s v="South Dakota"/>
    <s v="L"/>
    <s v="Yellow"/>
    <x v="2"/>
    <x v="12"/>
    <s v="Yes"/>
    <x v="0"/>
    <x v="0"/>
    <x v="0"/>
    <x v="32"/>
    <x v="1"/>
    <x v="0"/>
    <x v="2"/>
    <n v="32"/>
    <n v="1"/>
  </r>
  <r>
    <n v="119"/>
    <x v="2"/>
    <x v="0"/>
    <s v="Sweater"/>
    <x v="0"/>
    <n v="45"/>
    <s v="Kentucky"/>
    <s v="L"/>
    <s v="Orange"/>
    <x v="3"/>
    <x v="6"/>
    <s v="Yes"/>
    <x v="4"/>
    <x v="0"/>
    <x v="0"/>
    <x v="46"/>
    <x v="1"/>
    <x v="4"/>
    <x v="2"/>
    <n v="45"/>
    <n v="1"/>
  </r>
  <r>
    <n v="120"/>
    <x v="21"/>
    <x v="0"/>
    <s v="Coat"/>
    <x v="2"/>
    <n v="76"/>
    <s v="Wyoming"/>
    <s v="M"/>
    <s v="Orange"/>
    <x v="3"/>
    <x v="24"/>
    <s v="Yes"/>
    <x v="0"/>
    <x v="0"/>
    <x v="0"/>
    <x v="12"/>
    <x v="1"/>
    <x v="2"/>
    <x v="2"/>
    <n v="76"/>
    <n v="1"/>
  </r>
  <r>
    <n v="121"/>
    <x v="14"/>
    <x v="0"/>
    <s v="Hat"/>
    <x v="3"/>
    <n v="84"/>
    <s v="West Virginia"/>
    <s v="L"/>
    <s v="Red"/>
    <x v="2"/>
    <x v="17"/>
    <s v="Yes"/>
    <x v="0"/>
    <x v="0"/>
    <x v="0"/>
    <x v="18"/>
    <x v="4"/>
    <x v="2"/>
    <x v="0"/>
    <n v="84"/>
    <n v="1"/>
  </r>
  <r>
    <n v="122"/>
    <x v="1"/>
    <x v="0"/>
    <s v="Shorts"/>
    <x v="0"/>
    <n v="72"/>
    <s v="Virginia"/>
    <s v="M"/>
    <s v="Olive"/>
    <x v="0"/>
    <x v="19"/>
    <s v="Yes"/>
    <x v="3"/>
    <x v="0"/>
    <x v="0"/>
    <x v="47"/>
    <x v="1"/>
    <x v="0"/>
    <x v="1"/>
    <n v="72"/>
    <n v="1"/>
  </r>
  <r>
    <n v="123"/>
    <x v="37"/>
    <x v="0"/>
    <s v="Backpack"/>
    <x v="3"/>
    <n v="40"/>
    <s v="Washington"/>
    <s v="L"/>
    <s v="Brown"/>
    <x v="1"/>
    <x v="6"/>
    <s v="Yes"/>
    <x v="4"/>
    <x v="0"/>
    <x v="0"/>
    <x v="12"/>
    <x v="1"/>
    <x v="0"/>
    <x v="2"/>
    <n v="40"/>
    <n v="1"/>
  </r>
  <r>
    <n v="124"/>
    <x v="9"/>
    <x v="0"/>
    <s v="Sweater"/>
    <x v="0"/>
    <n v="89"/>
    <s v="Louisiana"/>
    <s v="L"/>
    <s v="Brown"/>
    <x v="3"/>
    <x v="0"/>
    <s v="Yes"/>
    <x v="1"/>
    <x v="0"/>
    <x v="0"/>
    <x v="15"/>
    <x v="1"/>
    <x v="1"/>
    <x v="0"/>
    <n v="89"/>
    <n v="1"/>
  </r>
  <r>
    <n v="125"/>
    <x v="42"/>
    <x v="0"/>
    <s v="Sweater"/>
    <x v="0"/>
    <n v="86"/>
    <s v="Nevada"/>
    <s v="M"/>
    <s v="Gray"/>
    <x v="1"/>
    <x v="0"/>
    <s v="Yes"/>
    <x v="2"/>
    <x v="0"/>
    <x v="0"/>
    <x v="16"/>
    <x v="3"/>
    <x v="2"/>
    <x v="2"/>
    <n v="86"/>
    <n v="1"/>
  </r>
  <r>
    <n v="126"/>
    <x v="34"/>
    <x v="0"/>
    <s v="Shorts"/>
    <x v="0"/>
    <n v="54"/>
    <s v="California"/>
    <s v="M"/>
    <s v="Indigo"/>
    <x v="0"/>
    <x v="15"/>
    <s v="Yes"/>
    <x v="2"/>
    <x v="0"/>
    <x v="0"/>
    <x v="24"/>
    <x v="0"/>
    <x v="6"/>
    <x v="2"/>
    <n v="54"/>
    <n v="1"/>
  </r>
  <r>
    <n v="127"/>
    <x v="49"/>
    <x v="0"/>
    <s v="Shorts"/>
    <x v="0"/>
    <n v="36"/>
    <s v="Mississippi"/>
    <s v="L"/>
    <s v="Pink"/>
    <x v="1"/>
    <x v="20"/>
    <s v="Yes"/>
    <x v="5"/>
    <x v="0"/>
    <x v="0"/>
    <x v="26"/>
    <x v="1"/>
    <x v="6"/>
    <x v="2"/>
    <n v="36"/>
    <n v="1"/>
  </r>
  <r>
    <n v="128"/>
    <x v="41"/>
    <x v="0"/>
    <s v="Sweater"/>
    <x v="0"/>
    <n v="89"/>
    <s v="Mississippi"/>
    <s v="M"/>
    <s v="Gray"/>
    <x v="0"/>
    <x v="6"/>
    <s v="Yes"/>
    <x v="2"/>
    <x v="0"/>
    <x v="0"/>
    <x v="8"/>
    <x v="2"/>
    <x v="1"/>
    <x v="1"/>
    <n v="89"/>
    <n v="1"/>
  </r>
  <r>
    <n v="129"/>
    <x v="30"/>
    <x v="0"/>
    <s v="Scarf"/>
    <x v="3"/>
    <n v="32"/>
    <s v="California"/>
    <s v="M"/>
    <s v="Gold"/>
    <x v="1"/>
    <x v="10"/>
    <s v="Yes"/>
    <x v="3"/>
    <x v="0"/>
    <x v="0"/>
    <x v="33"/>
    <x v="2"/>
    <x v="0"/>
    <x v="1"/>
    <n v="32"/>
    <n v="1"/>
  </r>
  <r>
    <n v="130"/>
    <x v="41"/>
    <x v="0"/>
    <s v="Dress"/>
    <x v="0"/>
    <n v="67"/>
    <s v="Pennsylvania"/>
    <s v="XL"/>
    <s v="Olive"/>
    <x v="2"/>
    <x v="19"/>
    <s v="Yes"/>
    <x v="4"/>
    <x v="0"/>
    <x v="0"/>
    <x v="3"/>
    <x v="3"/>
    <x v="4"/>
    <x v="1"/>
    <n v="67"/>
    <n v="1"/>
  </r>
  <r>
    <n v="131"/>
    <x v="42"/>
    <x v="0"/>
    <s v="Scarf"/>
    <x v="3"/>
    <n v="39"/>
    <s v="Kentucky"/>
    <s v="L"/>
    <s v="Violet"/>
    <x v="3"/>
    <x v="18"/>
    <s v="Yes"/>
    <x v="2"/>
    <x v="0"/>
    <x v="0"/>
    <x v="21"/>
    <x v="3"/>
    <x v="0"/>
    <x v="2"/>
    <n v="39"/>
    <n v="1"/>
  </r>
  <r>
    <n v="132"/>
    <x v="48"/>
    <x v="0"/>
    <s v="Skirt"/>
    <x v="0"/>
    <n v="29"/>
    <s v="Maine"/>
    <s v="L"/>
    <s v="Indigo"/>
    <x v="2"/>
    <x v="20"/>
    <s v="Yes"/>
    <x v="3"/>
    <x v="0"/>
    <x v="0"/>
    <x v="15"/>
    <x v="2"/>
    <x v="1"/>
    <x v="2"/>
    <n v="29"/>
    <n v="1"/>
  </r>
  <r>
    <n v="133"/>
    <x v="11"/>
    <x v="0"/>
    <s v="Backpack"/>
    <x v="3"/>
    <n v="58"/>
    <s v="New Mexico"/>
    <s v="M"/>
    <s v="Orange"/>
    <x v="3"/>
    <x v="10"/>
    <s v="Yes"/>
    <x v="4"/>
    <x v="0"/>
    <x v="0"/>
    <x v="38"/>
    <x v="3"/>
    <x v="1"/>
    <x v="2"/>
    <n v="58"/>
    <n v="1"/>
  </r>
  <r>
    <n v="134"/>
    <x v="16"/>
    <x v="0"/>
    <s v="Sweater"/>
    <x v="0"/>
    <n v="65"/>
    <s v="Montana"/>
    <s v="M"/>
    <s v="Violet"/>
    <x v="0"/>
    <x v="25"/>
    <s v="Yes"/>
    <x v="2"/>
    <x v="0"/>
    <x v="0"/>
    <x v="29"/>
    <x v="0"/>
    <x v="2"/>
    <x v="0"/>
    <n v="65"/>
    <n v="1"/>
  </r>
  <r>
    <n v="135"/>
    <x v="49"/>
    <x v="0"/>
    <s v="Hat"/>
    <x v="3"/>
    <n v="94"/>
    <s v="Texas"/>
    <s v="L"/>
    <s v="Gray"/>
    <x v="3"/>
    <x v="8"/>
    <s v="Yes"/>
    <x v="5"/>
    <x v="0"/>
    <x v="0"/>
    <x v="29"/>
    <x v="1"/>
    <x v="5"/>
    <x v="2"/>
    <n v="94"/>
    <n v="1"/>
  </r>
  <r>
    <n v="136"/>
    <x v="49"/>
    <x v="0"/>
    <s v="Sandals"/>
    <x v="1"/>
    <n v="81"/>
    <s v="Kansas"/>
    <s v="M"/>
    <s v="Purple"/>
    <x v="3"/>
    <x v="7"/>
    <s v="Yes"/>
    <x v="0"/>
    <x v="0"/>
    <x v="0"/>
    <x v="45"/>
    <x v="3"/>
    <x v="3"/>
    <x v="2"/>
    <n v="81"/>
    <n v="1"/>
  </r>
  <r>
    <n v="137"/>
    <x v="31"/>
    <x v="0"/>
    <s v="Blouse"/>
    <x v="0"/>
    <n v="86"/>
    <s v="South Carolina"/>
    <s v="M"/>
    <s v="White"/>
    <x v="0"/>
    <x v="13"/>
    <s v="Yes"/>
    <x v="1"/>
    <x v="0"/>
    <x v="0"/>
    <x v="7"/>
    <x v="5"/>
    <x v="3"/>
    <x v="2"/>
    <n v="86"/>
    <n v="1"/>
  </r>
  <r>
    <n v="138"/>
    <x v="33"/>
    <x v="0"/>
    <s v="Sneakers"/>
    <x v="1"/>
    <n v="43"/>
    <s v="Colorado"/>
    <s v="M"/>
    <s v="Turquoise"/>
    <x v="1"/>
    <x v="10"/>
    <s v="Yes"/>
    <x v="1"/>
    <x v="0"/>
    <x v="0"/>
    <x v="25"/>
    <x v="3"/>
    <x v="1"/>
    <x v="0"/>
    <n v="43"/>
    <n v="1"/>
  </r>
  <r>
    <n v="139"/>
    <x v="33"/>
    <x v="0"/>
    <s v="Skirt"/>
    <x v="0"/>
    <n v="29"/>
    <s v="Georgia"/>
    <s v="M"/>
    <s v="Maroon"/>
    <x v="0"/>
    <x v="14"/>
    <s v="Yes"/>
    <x v="5"/>
    <x v="0"/>
    <x v="0"/>
    <x v="38"/>
    <x v="4"/>
    <x v="1"/>
    <x v="0"/>
    <n v="29"/>
    <n v="1"/>
  </r>
  <r>
    <n v="140"/>
    <x v="34"/>
    <x v="0"/>
    <s v="Coat"/>
    <x v="2"/>
    <n v="95"/>
    <s v="Florida"/>
    <s v="M"/>
    <s v="White"/>
    <x v="3"/>
    <x v="22"/>
    <s v="Yes"/>
    <x v="5"/>
    <x v="0"/>
    <x v="0"/>
    <x v="48"/>
    <x v="0"/>
    <x v="2"/>
    <x v="2"/>
    <n v="95"/>
    <n v="1"/>
  </r>
  <r>
    <n v="141"/>
    <x v="6"/>
    <x v="0"/>
    <s v="Shirt"/>
    <x v="0"/>
    <n v="28"/>
    <s v="North Carolina"/>
    <s v="L"/>
    <s v="Yellow"/>
    <x v="3"/>
    <x v="20"/>
    <s v="Yes"/>
    <x v="4"/>
    <x v="0"/>
    <x v="0"/>
    <x v="16"/>
    <x v="2"/>
    <x v="1"/>
    <x v="0"/>
    <n v="28"/>
    <n v="1"/>
  </r>
  <r>
    <n v="142"/>
    <x v="19"/>
    <x v="0"/>
    <s v="Gloves"/>
    <x v="3"/>
    <n v="46"/>
    <s v="Virginia"/>
    <s v="M"/>
    <s v="Turquoise"/>
    <x v="3"/>
    <x v="8"/>
    <s v="Yes"/>
    <x v="1"/>
    <x v="0"/>
    <x v="0"/>
    <x v="24"/>
    <x v="3"/>
    <x v="1"/>
    <x v="0"/>
    <n v="46"/>
    <n v="1"/>
  </r>
  <r>
    <n v="143"/>
    <x v="43"/>
    <x v="0"/>
    <s v="Jacket"/>
    <x v="2"/>
    <n v="58"/>
    <s v="Nebraska"/>
    <s v="L"/>
    <s v="Violet"/>
    <x v="3"/>
    <x v="0"/>
    <s v="Yes"/>
    <x v="1"/>
    <x v="0"/>
    <x v="0"/>
    <x v="42"/>
    <x v="2"/>
    <x v="0"/>
    <x v="2"/>
    <n v="58"/>
    <n v="1"/>
  </r>
  <r>
    <n v="144"/>
    <x v="11"/>
    <x v="0"/>
    <s v="Coat"/>
    <x v="2"/>
    <n v="48"/>
    <s v="Missouri"/>
    <s v="M"/>
    <s v="Beige"/>
    <x v="3"/>
    <x v="2"/>
    <s v="Yes"/>
    <x v="5"/>
    <x v="0"/>
    <x v="0"/>
    <x v="29"/>
    <x v="3"/>
    <x v="3"/>
    <x v="2"/>
    <n v="48"/>
    <n v="1"/>
  </r>
  <r>
    <n v="145"/>
    <x v="1"/>
    <x v="0"/>
    <s v="Shoes"/>
    <x v="1"/>
    <n v="43"/>
    <s v="New Jersey"/>
    <s v="M"/>
    <s v="Silver"/>
    <x v="3"/>
    <x v="4"/>
    <s v="Yes"/>
    <x v="0"/>
    <x v="0"/>
    <x v="0"/>
    <x v="29"/>
    <x v="1"/>
    <x v="5"/>
    <x v="1"/>
    <n v="43"/>
    <n v="1"/>
  </r>
  <r>
    <n v="146"/>
    <x v="41"/>
    <x v="0"/>
    <s v="Jewelry"/>
    <x v="3"/>
    <n v="95"/>
    <s v="Missouri"/>
    <s v="M"/>
    <s v="Teal"/>
    <x v="3"/>
    <x v="9"/>
    <s v="Yes"/>
    <x v="3"/>
    <x v="0"/>
    <x v="0"/>
    <x v="12"/>
    <x v="5"/>
    <x v="3"/>
    <x v="1"/>
    <n v="95"/>
    <n v="1"/>
  </r>
  <r>
    <n v="147"/>
    <x v="16"/>
    <x v="0"/>
    <s v="Skirt"/>
    <x v="0"/>
    <n v="30"/>
    <s v="Colorado"/>
    <s v="S"/>
    <s v="Black"/>
    <x v="3"/>
    <x v="17"/>
    <s v="Yes"/>
    <x v="3"/>
    <x v="0"/>
    <x v="0"/>
    <x v="33"/>
    <x v="0"/>
    <x v="0"/>
    <x v="0"/>
    <n v="30"/>
    <n v="1"/>
  </r>
  <r>
    <n v="148"/>
    <x v="6"/>
    <x v="0"/>
    <s v="Shoes"/>
    <x v="1"/>
    <n v="64"/>
    <s v="Idaho"/>
    <s v="M"/>
    <s v="Purple"/>
    <x v="2"/>
    <x v="1"/>
    <s v="Yes"/>
    <x v="4"/>
    <x v="0"/>
    <x v="0"/>
    <x v="4"/>
    <x v="4"/>
    <x v="0"/>
    <x v="0"/>
    <n v="64"/>
    <n v="1"/>
  </r>
  <r>
    <n v="149"/>
    <x v="43"/>
    <x v="0"/>
    <s v="Gloves"/>
    <x v="3"/>
    <n v="90"/>
    <s v="Wyoming"/>
    <s v="M"/>
    <s v="Gray"/>
    <x v="3"/>
    <x v="5"/>
    <s v="Yes"/>
    <x v="5"/>
    <x v="0"/>
    <x v="0"/>
    <x v="39"/>
    <x v="5"/>
    <x v="2"/>
    <x v="2"/>
    <n v="90"/>
    <n v="1"/>
  </r>
  <r>
    <n v="150"/>
    <x v="21"/>
    <x v="0"/>
    <s v="Pants"/>
    <x v="0"/>
    <n v="76"/>
    <s v="Delaware"/>
    <s v="M"/>
    <s v="White"/>
    <x v="2"/>
    <x v="4"/>
    <s v="Yes"/>
    <x v="1"/>
    <x v="0"/>
    <x v="0"/>
    <x v="0"/>
    <x v="3"/>
    <x v="5"/>
    <x v="2"/>
    <n v="76"/>
    <n v="1"/>
  </r>
  <r>
    <n v="151"/>
    <x v="25"/>
    <x v="0"/>
    <s v="Boots"/>
    <x v="1"/>
    <n v="96"/>
    <s v="California"/>
    <s v="L"/>
    <s v="Cyan"/>
    <x v="3"/>
    <x v="8"/>
    <s v="Yes"/>
    <x v="3"/>
    <x v="0"/>
    <x v="0"/>
    <x v="14"/>
    <x v="5"/>
    <x v="6"/>
    <x v="2"/>
    <n v="96"/>
    <n v="1"/>
  </r>
  <r>
    <n v="152"/>
    <x v="48"/>
    <x v="0"/>
    <s v="Sunglasses"/>
    <x v="3"/>
    <n v="47"/>
    <s v="North Dakota"/>
    <s v="L"/>
    <s v="Turquoise"/>
    <x v="3"/>
    <x v="9"/>
    <s v="Yes"/>
    <x v="2"/>
    <x v="0"/>
    <x v="0"/>
    <x v="35"/>
    <x v="0"/>
    <x v="2"/>
    <x v="2"/>
    <n v="47"/>
    <n v="1"/>
  </r>
  <r>
    <n v="153"/>
    <x v="11"/>
    <x v="0"/>
    <s v="Shirt"/>
    <x v="0"/>
    <n v="85"/>
    <s v="South Carolina"/>
    <s v="S"/>
    <s v="Brown"/>
    <x v="2"/>
    <x v="24"/>
    <s v="Yes"/>
    <x v="0"/>
    <x v="0"/>
    <x v="0"/>
    <x v="38"/>
    <x v="0"/>
    <x v="2"/>
    <x v="2"/>
    <n v="85"/>
    <n v="1"/>
  </r>
  <r>
    <n v="154"/>
    <x v="28"/>
    <x v="0"/>
    <s v="Hoodie"/>
    <x v="0"/>
    <n v="55"/>
    <s v="North Carolina"/>
    <s v="M"/>
    <s v="Maroon"/>
    <x v="0"/>
    <x v="4"/>
    <s v="Yes"/>
    <x v="3"/>
    <x v="0"/>
    <x v="0"/>
    <x v="17"/>
    <x v="5"/>
    <x v="2"/>
    <x v="0"/>
    <n v="55"/>
    <n v="1"/>
  </r>
  <r>
    <n v="155"/>
    <x v="38"/>
    <x v="0"/>
    <s v="Dress"/>
    <x v="0"/>
    <n v="98"/>
    <s v="Oklahoma"/>
    <s v="M"/>
    <s v="Charcoal"/>
    <x v="3"/>
    <x v="15"/>
    <s v="Yes"/>
    <x v="2"/>
    <x v="0"/>
    <x v="0"/>
    <x v="33"/>
    <x v="0"/>
    <x v="3"/>
    <x v="2"/>
    <n v="98"/>
    <n v="1"/>
  </r>
  <r>
    <n v="156"/>
    <x v="6"/>
    <x v="0"/>
    <s v="Socks"/>
    <x v="0"/>
    <n v="77"/>
    <s v="Maine"/>
    <s v="S"/>
    <s v="Olive"/>
    <x v="1"/>
    <x v="24"/>
    <s v="Yes"/>
    <x v="1"/>
    <x v="0"/>
    <x v="0"/>
    <x v="33"/>
    <x v="4"/>
    <x v="3"/>
    <x v="0"/>
    <n v="77"/>
    <n v="1"/>
  </r>
  <r>
    <n v="157"/>
    <x v="25"/>
    <x v="0"/>
    <s v="Shorts"/>
    <x v="0"/>
    <n v="26"/>
    <s v="Missouri"/>
    <s v="M"/>
    <s v="Lavender"/>
    <x v="3"/>
    <x v="17"/>
    <s v="Yes"/>
    <x v="3"/>
    <x v="0"/>
    <x v="0"/>
    <x v="19"/>
    <x v="5"/>
    <x v="2"/>
    <x v="2"/>
    <n v="26"/>
    <n v="1"/>
  </r>
  <r>
    <n v="158"/>
    <x v="24"/>
    <x v="0"/>
    <s v="Hat"/>
    <x v="3"/>
    <n v="68"/>
    <s v="Vermont"/>
    <s v="S"/>
    <s v="Yellow"/>
    <x v="3"/>
    <x v="21"/>
    <s v="Yes"/>
    <x v="2"/>
    <x v="0"/>
    <x v="0"/>
    <x v="43"/>
    <x v="4"/>
    <x v="0"/>
    <x v="2"/>
    <n v="68"/>
    <n v="1"/>
  </r>
  <r>
    <n v="159"/>
    <x v="15"/>
    <x v="0"/>
    <s v="Shirt"/>
    <x v="0"/>
    <n v="73"/>
    <s v="Connecticut"/>
    <s v="XL"/>
    <s v="Teal"/>
    <x v="3"/>
    <x v="7"/>
    <s v="Yes"/>
    <x v="3"/>
    <x v="0"/>
    <x v="0"/>
    <x v="16"/>
    <x v="4"/>
    <x v="5"/>
    <x v="1"/>
    <n v="73"/>
    <n v="1"/>
  </r>
  <r>
    <n v="160"/>
    <x v="44"/>
    <x v="0"/>
    <s v="Gloves"/>
    <x v="3"/>
    <n v="27"/>
    <s v="New Hampshire"/>
    <s v="M"/>
    <s v="Charcoal"/>
    <x v="3"/>
    <x v="22"/>
    <s v="Yes"/>
    <x v="5"/>
    <x v="0"/>
    <x v="0"/>
    <x v="30"/>
    <x v="4"/>
    <x v="6"/>
    <x v="0"/>
    <n v="27"/>
    <n v="1"/>
  </r>
  <r>
    <n v="161"/>
    <x v="7"/>
    <x v="0"/>
    <s v="Gloves"/>
    <x v="3"/>
    <n v="23"/>
    <s v="Texas"/>
    <s v="M"/>
    <s v="Orange"/>
    <x v="2"/>
    <x v="12"/>
    <s v="Yes"/>
    <x v="1"/>
    <x v="0"/>
    <x v="0"/>
    <x v="11"/>
    <x v="0"/>
    <x v="5"/>
    <x v="2"/>
    <n v="23"/>
    <n v="1"/>
  </r>
  <r>
    <n v="162"/>
    <x v="13"/>
    <x v="0"/>
    <s v="Backpack"/>
    <x v="3"/>
    <n v="49"/>
    <s v="North Dakota"/>
    <s v="M"/>
    <s v="Olive"/>
    <x v="3"/>
    <x v="21"/>
    <s v="Yes"/>
    <x v="0"/>
    <x v="0"/>
    <x v="0"/>
    <x v="32"/>
    <x v="0"/>
    <x v="0"/>
    <x v="0"/>
    <n v="49"/>
    <n v="1"/>
  </r>
  <r>
    <n v="163"/>
    <x v="22"/>
    <x v="0"/>
    <s v="Sunglasses"/>
    <x v="3"/>
    <n v="74"/>
    <s v="California"/>
    <s v="M"/>
    <s v="Turquoise"/>
    <x v="2"/>
    <x v="21"/>
    <s v="Yes"/>
    <x v="5"/>
    <x v="0"/>
    <x v="0"/>
    <x v="4"/>
    <x v="3"/>
    <x v="4"/>
    <x v="0"/>
    <n v="74"/>
    <n v="1"/>
  </r>
  <r>
    <n v="164"/>
    <x v="22"/>
    <x v="0"/>
    <s v="Skirt"/>
    <x v="0"/>
    <n v="67"/>
    <s v="Virginia"/>
    <s v="M"/>
    <s v="Purple"/>
    <x v="2"/>
    <x v="23"/>
    <s v="Yes"/>
    <x v="3"/>
    <x v="0"/>
    <x v="0"/>
    <x v="6"/>
    <x v="5"/>
    <x v="1"/>
    <x v="0"/>
    <n v="67"/>
    <n v="1"/>
  </r>
  <r>
    <n v="165"/>
    <x v="35"/>
    <x v="0"/>
    <s v="Handbag"/>
    <x v="3"/>
    <n v="65"/>
    <s v="Delaware"/>
    <s v="S"/>
    <s v="Purple"/>
    <x v="1"/>
    <x v="5"/>
    <s v="Yes"/>
    <x v="1"/>
    <x v="0"/>
    <x v="0"/>
    <x v="36"/>
    <x v="2"/>
    <x v="0"/>
    <x v="0"/>
    <n v="65"/>
    <n v="1"/>
  </r>
  <r>
    <n v="166"/>
    <x v="32"/>
    <x v="0"/>
    <s v="Handbag"/>
    <x v="3"/>
    <n v="60"/>
    <s v="Kentucky"/>
    <s v="S"/>
    <s v="Yellow"/>
    <x v="0"/>
    <x v="11"/>
    <s v="Yes"/>
    <x v="5"/>
    <x v="0"/>
    <x v="0"/>
    <x v="22"/>
    <x v="1"/>
    <x v="5"/>
    <x v="2"/>
    <n v="60"/>
    <n v="1"/>
  </r>
  <r>
    <n v="167"/>
    <x v="5"/>
    <x v="0"/>
    <s v="Sneakers"/>
    <x v="1"/>
    <n v="31"/>
    <s v="Delaware"/>
    <s v="XL"/>
    <s v="Indigo"/>
    <x v="3"/>
    <x v="17"/>
    <s v="Yes"/>
    <x v="5"/>
    <x v="0"/>
    <x v="0"/>
    <x v="48"/>
    <x v="1"/>
    <x v="5"/>
    <x v="2"/>
    <n v="31"/>
    <n v="1"/>
  </r>
  <r>
    <n v="168"/>
    <x v="23"/>
    <x v="0"/>
    <s v="Gloves"/>
    <x v="3"/>
    <n v="27"/>
    <s v="Arkansas"/>
    <s v="M"/>
    <s v="Green"/>
    <x v="3"/>
    <x v="17"/>
    <s v="Yes"/>
    <x v="0"/>
    <x v="0"/>
    <x v="0"/>
    <x v="0"/>
    <x v="2"/>
    <x v="6"/>
    <x v="2"/>
    <n v="27"/>
    <n v="1"/>
  </r>
  <r>
    <n v="169"/>
    <x v="50"/>
    <x v="0"/>
    <s v="Shoes"/>
    <x v="1"/>
    <n v="80"/>
    <s v="Louisiana"/>
    <s v="M"/>
    <s v="Magenta"/>
    <x v="2"/>
    <x v="21"/>
    <s v="Yes"/>
    <x v="0"/>
    <x v="0"/>
    <x v="0"/>
    <x v="36"/>
    <x v="1"/>
    <x v="0"/>
    <x v="2"/>
    <n v="80"/>
    <n v="1"/>
  </r>
  <r>
    <n v="170"/>
    <x v="7"/>
    <x v="0"/>
    <s v="Jacket"/>
    <x v="2"/>
    <n v="30"/>
    <s v="Nevada"/>
    <s v="S"/>
    <s v="Gold"/>
    <x v="2"/>
    <x v="13"/>
    <s v="Yes"/>
    <x v="3"/>
    <x v="0"/>
    <x v="0"/>
    <x v="35"/>
    <x v="3"/>
    <x v="6"/>
    <x v="2"/>
    <n v="30"/>
    <n v="1"/>
  </r>
  <r>
    <n v="171"/>
    <x v="16"/>
    <x v="0"/>
    <s v="Shirt"/>
    <x v="0"/>
    <n v="25"/>
    <s v="Wyoming"/>
    <s v="M"/>
    <s v="Maroon"/>
    <x v="3"/>
    <x v="5"/>
    <s v="Yes"/>
    <x v="5"/>
    <x v="0"/>
    <x v="0"/>
    <x v="15"/>
    <x v="0"/>
    <x v="4"/>
    <x v="0"/>
    <n v="25"/>
    <n v="1"/>
  </r>
  <r>
    <n v="172"/>
    <x v="26"/>
    <x v="0"/>
    <s v="Shorts"/>
    <x v="0"/>
    <n v="35"/>
    <s v="Virginia"/>
    <s v="M"/>
    <s v="Blue"/>
    <x v="2"/>
    <x v="15"/>
    <s v="Yes"/>
    <x v="5"/>
    <x v="0"/>
    <x v="0"/>
    <x v="7"/>
    <x v="2"/>
    <x v="1"/>
    <x v="2"/>
    <n v="35"/>
    <n v="1"/>
  </r>
  <r>
    <n v="173"/>
    <x v="22"/>
    <x v="0"/>
    <s v="Jewelry"/>
    <x v="3"/>
    <n v="67"/>
    <s v="Nebraska"/>
    <s v="M"/>
    <s v="Violet"/>
    <x v="2"/>
    <x v="20"/>
    <s v="Yes"/>
    <x v="2"/>
    <x v="0"/>
    <x v="0"/>
    <x v="38"/>
    <x v="2"/>
    <x v="4"/>
    <x v="0"/>
    <n v="67"/>
    <n v="1"/>
  </r>
  <r>
    <n v="174"/>
    <x v="15"/>
    <x v="0"/>
    <s v="Hat"/>
    <x v="3"/>
    <n v="46"/>
    <s v="Hawaii"/>
    <s v="M"/>
    <s v="Turquoise"/>
    <x v="3"/>
    <x v="23"/>
    <s v="Yes"/>
    <x v="3"/>
    <x v="0"/>
    <x v="0"/>
    <x v="48"/>
    <x v="1"/>
    <x v="2"/>
    <x v="1"/>
    <n v="46"/>
    <n v="1"/>
  </r>
  <r>
    <n v="175"/>
    <x v="38"/>
    <x v="0"/>
    <s v="Shoes"/>
    <x v="1"/>
    <n v="35"/>
    <s v="Vermont"/>
    <s v="L"/>
    <s v="Brown"/>
    <x v="0"/>
    <x v="1"/>
    <s v="Yes"/>
    <x v="0"/>
    <x v="0"/>
    <x v="0"/>
    <x v="10"/>
    <x v="0"/>
    <x v="2"/>
    <x v="2"/>
    <n v="35"/>
    <n v="1"/>
  </r>
  <r>
    <n v="176"/>
    <x v="10"/>
    <x v="0"/>
    <s v="Coat"/>
    <x v="2"/>
    <n v="86"/>
    <s v="Oklahoma"/>
    <s v="L"/>
    <s v="Violet"/>
    <x v="3"/>
    <x v="11"/>
    <s v="Yes"/>
    <x v="2"/>
    <x v="0"/>
    <x v="0"/>
    <x v="1"/>
    <x v="4"/>
    <x v="2"/>
    <x v="0"/>
    <n v="86"/>
    <n v="1"/>
  </r>
  <r>
    <n v="177"/>
    <x v="10"/>
    <x v="0"/>
    <s v="Backpack"/>
    <x v="3"/>
    <n v="81"/>
    <s v="New Hampshire"/>
    <s v="L"/>
    <s v="Black"/>
    <x v="1"/>
    <x v="2"/>
    <s v="Yes"/>
    <x v="2"/>
    <x v="0"/>
    <x v="0"/>
    <x v="48"/>
    <x v="2"/>
    <x v="3"/>
    <x v="0"/>
    <n v="81"/>
    <n v="1"/>
  </r>
  <r>
    <n v="178"/>
    <x v="3"/>
    <x v="0"/>
    <s v="Hoodie"/>
    <x v="0"/>
    <n v="42"/>
    <s v="Kansas"/>
    <s v="L"/>
    <s v="Magenta"/>
    <x v="3"/>
    <x v="18"/>
    <s v="Yes"/>
    <x v="2"/>
    <x v="0"/>
    <x v="0"/>
    <x v="39"/>
    <x v="4"/>
    <x v="5"/>
    <x v="1"/>
    <n v="42"/>
    <n v="1"/>
  </r>
  <r>
    <n v="179"/>
    <x v="12"/>
    <x v="0"/>
    <s v="Skirt"/>
    <x v="0"/>
    <n v="43"/>
    <s v="Idaho"/>
    <s v="L"/>
    <s v="Lavender"/>
    <x v="3"/>
    <x v="24"/>
    <s v="Yes"/>
    <x v="4"/>
    <x v="0"/>
    <x v="0"/>
    <x v="33"/>
    <x v="3"/>
    <x v="3"/>
    <x v="0"/>
    <n v="43"/>
    <n v="1"/>
  </r>
  <r>
    <n v="180"/>
    <x v="14"/>
    <x v="0"/>
    <s v="Boots"/>
    <x v="1"/>
    <n v="31"/>
    <s v="Illinois"/>
    <s v="M"/>
    <s v="Violet"/>
    <x v="3"/>
    <x v="8"/>
    <s v="Yes"/>
    <x v="5"/>
    <x v="0"/>
    <x v="0"/>
    <x v="44"/>
    <x v="4"/>
    <x v="0"/>
    <x v="0"/>
    <n v="31"/>
    <n v="1"/>
  </r>
  <r>
    <n v="181"/>
    <x v="47"/>
    <x v="0"/>
    <s v="Sandals"/>
    <x v="1"/>
    <n v="81"/>
    <s v="South Dakota"/>
    <s v="L"/>
    <s v="Green"/>
    <x v="3"/>
    <x v="13"/>
    <s v="Yes"/>
    <x v="5"/>
    <x v="0"/>
    <x v="0"/>
    <x v="45"/>
    <x v="5"/>
    <x v="0"/>
    <x v="0"/>
    <n v="81"/>
    <n v="1"/>
  </r>
  <r>
    <n v="182"/>
    <x v="45"/>
    <x v="0"/>
    <s v="Pants"/>
    <x v="0"/>
    <n v="61"/>
    <s v="Massachusetts"/>
    <s v="M"/>
    <s v="Beige"/>
    <x v="2"/>
    <x v="10"/>
    <s v="Yes"/>
    <x v="2"/>
    <x v="0"/>
    <x v="0"/>
    <x v="7"/>
    <x v="4"/>
    <x v="1"/>
    <x v="2"/>
    <n v="61"/>
    <n v="1"/>
  </r>
  <r>
    <n v="183"/>
    <x v="21"/>
    <x v="0"/>
    <s v="Gloves"/>
    <x v="3"/>
    <n v="96"/>
    <s v="Alabama"/>
    <s v="XL"/>
    <s v="Purple"/>
    <x v="2"/>
    <x v="11"/>
    <s v="Yes"/>
    <x v="5"/>
    <x v="0"/>
    <x v="0"/>
    <x v="9"/>
    <x v="5"/>
    <x v="2"/>
    <x v="2"/>
    <n v="96"/>
    <n v="1"/>
  </r>
  <r>
    <n v="184"/>
    <x v="44"/>
    <x v="0"/>
    <s v="Skirt"/>
    <x v="0"/>
    <n v="29"/>
    <s v="Ohio"/>
    <s v="XL"/>
    <s v="Beige"/>
    <x v="1"/>
    <x v="15"/>
    <s v="Yes"/>
    <x v="4"/>
    <x v="0"/>
    <x v="0"/>
    <x v="8"/>
    <x v="2"/>
    <x v="1"/>
    <x v="0"/>
    <n v="29"/>
    <n v="1"/>
  </r>
  <r>
    <n v="185"/>
    <x v="45"/>
    <x v="0"/>
    <s v="Sneakers"/>
    <x v="1"/>
    <n v="33"/>
    <s v="Hawaii"/>
    <s v="L"/>
    <s v="Cyan"/>
    <x v="1"/>
    <x v="21"/>
    <s v="Yes"/>
    <x v="0"/>
    <x v="0"/>
    <x v="0"/>
    <x v="19"/>
    <x v="1"/>
    <x v="0"/>
    <x v="2"/>
    <n v="33"/>
    <n v="1"/>
  </r>
  <r>
    <n v="186"/>
    <x v="5"/>
    <x v="0"/>
    <s v="T-shirt"/>
    <x v="0"/>
    <n v="32"/>
    <s v="Wisconsin"/>
    <s v="XL"/>
    <s v="Silver"/>
    <x v="2"/>
    <x v="9"/>
    <s v="Yes"/>
    <x v="5"/>
    <x v="0"/>
    <x v="0"/>
    <x v="11"/>
    <x v="4"/>
    <x v="0"/>
    <x v="2"/>
    <n v="32"/>
    <n v="1"/>
  </r>
  <r>
    <n v="187"/>
    <x v="31"/>
    <x v="0"/>
    <s v="Backpack"/>
    <x v="3"/>
    <n v="56"/>
    <s v="Minnesota"/>
    <s v="S"/>
    <s v="Lavender"/>
    <x v="2"/>
    <x v="3"/>
    <s v="Yes"/>
    <x v="3"/>
    <x v="0"/>
    <x v="0"/>
    <x v="4"/>
    <x v="5"/>
    <x v="2"/>
    <x v="2"/>
    <n v="56"/>
    <n v="1"/>
  </r>
  <r>
    <n v="188"/>
    <x v="1"/>
    <x v="0"/>
    <s v="Shoes"/>
    <x v="1"/>
    <n v="94"/>
    <s v="Georgia"/>
    <s v="S"/>
    <s v="Purple"/>
    <x v="1"/>
    <x v="13"/>
    <s v="Yes"/>
    <x v="5"/>
    <x v="0"/>
    <x v="0"/>
    <x v="43"/>
    <x v="4"/>
    <x v="4"/>
    <x v="1"/>
    <n v="94"/>
    <n v="1"/>
  </r>
  <r>
    <n v="189"/>
    <x v="2"/>
    <x v="0"/>
    <s v="Hoodie"/>
    <x v="0"/>
    <n v="53"/>
    <s v="Arkansas"/>
    <s v="M"/>
    <s v="Pink"/>
    <x v="1"/>
    <x v="0"/>
    <s v="Yes"/>
    <x v="0"/>
    <x v="0"/>
    <x v="0"/>
    <x v="36"/>
    <x v="4"/>
    <x v="4"/>
    <x v="2"/>
    <n v="53"/>
    <n v="1"/>
  </r>
  <r>
    <n v="190"/>
    <x v="24"/>
    <x v="0"/>
    <s v="Blouse"/>
    <x v="0"/>
    <n v="82"/>
    <s v="West Virginia"/>
    <s v="M"/>
    <s v="Maroon"/>
    <x v="3"/>
    <x v="14"/>
    <s v="Yes"/>
    <x v="2"/>
    <x v="0"/>
    <x v="0"/>
    <x v="7"/>
    <x v="2"/>
    <x v="1"/>
    <x v="2"/>
    <n v="82"/>
    <n v="1"/>
  </r>
  <r>
    <n v="191"/>
    <x v="13"/>
    <x v="0"/>
    <s v="Coat"/>
    <x v="2"/>
    <n v="70"/>
    <s v="Indiana"/>
    <s v="XL"/>
    <s v="Beige"/>
    <x v="3"/>
    <x v="21"/>
    <s v="Yes"/>
    <x v="1"/>
    <x v="0"/>
    <x v="0"/>
    <x v="26"/>
    <x v="0"/>
    <x v="3"/>
    <x v="0"/>
    <n v="70"/>
    <n v="1"/>
  </r>
  <r>
    <n v="192"/>
    <x v="14"/>
    <x v="0"/>
    <s v="Hat"/>
    <x v="3"/>
    <n v="76"/>
    <s v="Utah"/>
    <s v="M"/>
    <s v="Gray"/>
    <x v="3"/>
    <x v="20"/>
    <s v="Yes"/>
    <x v="1"/>
    <x v="0"/>
    <x v="0"/>
    <x v="32"/>
    <x v="1"/>
    <x v="6"/>
    <x v="0"/>
    <n v="76"/>
    <n v="1"/>
  </r>
  <r>
    <n v="193"/>
    <x v="5"/>
    <x v="0"/>
    <s v="Shoes"/>
    <x v="1"/>
    <n v="29"/>
    <s v="Nebraska"/>
    <s v="L"/>
    <s v="Turquoise"/>
    <x v="2"/>
    <x v="3"/>
    <s v="Yes"/>
    <x v="0"/>
    <x v="0"/>
    <x v="0"/>
    <x v="45"/>
    <x v="3"/>
    <x v="4"/>
    <x v="2"/>
    <n v="29"/>
    <n v="1"/>
  </r>
  <r>
    <n v="194"/>
    <x v="24"/>
    <x v="0"/>
    <s v="Belt"/>
    <x v="3"/>
    <n v="100"/>
    <s v="North Dakota"/>
    <s v="S"/>
    <s v="Silver"/>
    <x v="3"/>
    <x v="21"/>
    <s v="Yes"/>
    <x v="3"/>
    <x v="0"/>
    <x v="0"/>
    <x v="32"/>
    <x v="0"/>
    <x v="2"/>
    <x v="2"/>
    <n v="100"/>
    <n v="1"/>
  </r>
  <r>
    <n v="195"/>
    <x v="47"/>
    <x v="0"/>
    <s v="Backpack"/>
    <x v="3"/>
    <n v="94"/>
    <s v="Missouri"/>
    <s v="M"/>
    <s v="Olive"/>
    <x v="1"/>
    <x v="0"/>
    <s v="Yes"/>
    <x v="0"/>
    <x v="0"/>
    <x v="0"/>
    <x v="28"/>
    <x v="5"/>
    <x v="3"/>
    <x v="0"/>
    <n v="94"/>
    <n v="1"/>
  </r>
  <r>
    <n v="196"/>
    <x v="47"/>
    <x v="0"/>
    <s v="Jacket"/>
    <x v="2"/>
    <n v="25"/>
    <s v="New York"/>
    <s v="M"/>
    <s v="Magenta"/>
    <x v="3"/>
    <x v="24"/>
    <s v="Yes"/>
    <x v="1"/>
    <x v="0"/>
    <x v="0"/>
    <x v="11"/>
    <x v="2"/>
    <x v="5"/>
    <x v="0"/>
    <n v="25"/>
    <n v="1"/>
  </r>
  <r>
    <n v="197"/>
    <x v="21"/>
    <x v="0"/>
    <s v="Boots"/>
    <x v="1"/>
    <n v="88"/>
    <s v="Washington"/>
    <s v="M"/>
    <s v="Lavender"/>
    <x v="2"/>
    <x v="20"/>
    <s v="Yes"/>
    <x v="2"/>
    <x v="0"/>
    <x v="0"/>
    <x v="23"/>
    <x v="2"/>
    <x v="0"/>
    <x v="2"/>
    <n v="88"/>
    <n v="1"/>
  </r>
  <r>
    <n v="198"/>
    <x v="35"/>
    <x v="0"/>
    <s v="Scarf"/>
    <x v="3"/>
    <n v="78"/>
    <s v="South Carolina"/>
    <s v="M"/>
    <s v="Black"/>
    <x v="3"/>
    <x v="4"/>
    <s v="Yes"/>
    <x v="4"/>
    <x v="0"/>
    <x v="0"/>
    <x v="23"/>
    <x v="2"/>
    <x v="5"/>
    <x v="0"/>
    <n v="78"/>
    <n v="1"/>
  </r>
  <r>
    <n v="199"/>
    <x v="9"/>
    <x v="0"/>
    <s v="Jewelry"/>
    <x v="3"/>
    <n v="45"/>
    <s v="Utah"/>
    <s v="M"/>
    <s v="Turquoise"/>
    <x v="0"/>
    <x v="6"/>
    <s v="Yes"/>
    <x v="3"/>
    <x v="0"/>
    <x v="0"/>
    <x v="30"/>
    <x v="2"/>
    <x v="0"/>
    <x v="0"/>
    <n v="45"/>
    <n v="1"/>
  </r>
  <r>
    <n v="200"/>
    <x v="22"/>
    <x v="0"/>
    <s v="Hat"/>
    <x v="3"/>
    <n v="73"/>
    <s v="Idaho"/>
    <s v="XL"/>
    <s v="Green"/>
    <x v="2"/>
    <x v="22"/>
    <s v="Yes"/>
    <x v="0"/>
    <x v="0"/>
    <x v="0"/>
    <x v="18"/>
    <x v="1"/>
    <x v="1"/>
    <x v="0"/>
    <n v="73"/>
    <n v="1"/>
  </r>
  <r>
    <n v="201"/>
    <x v="15"/>
    <x v="0"/>
    <s v="Dress"/>
    <x v="0"/>
    <n v="61"/>
    <s v="Pennsylvania"/>
    <s v="S"/>
    <s v="Teal"/>
    <x v="2"/>
    <x v="13"/>
    <s v="Yes"/>
    <x v="2"/>
    <x v="0"/>
    <x v="0"/>
    <x v="32"/>
    <x v="0"/>
    <x v="5"/>
    <x v="1"/>
    <n v="61"/>
    <n v="1"/>
  </r>
  <r>
    <n v="202"/>
    <x v="28"/>
    <x v="0"/>
    <s v="Blouse"/>
    <x v="0"/>
    <n v="22"/>
    <s v="Missouri"/>
    <s v="S"/>
    <s v="Beige"/>
    <x v="3"/>
    <x v="24"/>
    <s v="Yes"/>
    <x v="1"/>
    <x v="0"/>
    <x v="0"/>
    <x v="28"/>
    <x v="4"/>
    <x v="2"/>
    <x v="0"/>
    <n v="22"/>
    <n v="1"/>
  </r>
  <r>
    <n v="203"/>
    <x v="9"/>
    <x v="0"/>
    <s v="Hat"/>
    <x v="3"/>
    <n v="38"/>
    <s v="Nebraska"/>
    <s v="L"/>
    <s v="Magenta"/>
    <x v="1"/>
    <x v="2"/>
    <s v="Yes"/>
    <x v="0"/>
    <x v="0"/>
    <x v="0"/>
    <x v="42"/>
    <x v="0"/>
    <x v="2"/>
    <x v="0"/>
    <n v="38"/>
    <n v="1"/>
  </r>
  <r>
    <n v="204"/>
    <x v="27"/>
    <x v="0"/>
    <s v="Scarf"/>
    <x v="3"/>
    <n v="38"/>
    <s v="Indiana"/>
    <s v="S"/>
    <s v="Yellow"/>
    <x v="3"/>
    <x v="4"/>
    <s v="Yes"/>
    <x v="2"/>
    <x v="0"/>
    <x v="0"/>
    <x v="27"/>
    <x v="4"/>
    <x v="1"/>
    <x v="0"/>
    <n v="38"/>
    <n v="1"/>
  </r>
  <r>
    <n v="205"/>
    <x v="41"/>
    <x v="0"/>
    <s v="Sneakers"/>
    <x v="1"/>
    <n v="100"/>
    <s v="Arizona"/>
    <s v="M"/>
    <s v="Yellow"/>
    <x v="3"/>
    <x v="17"/>
    <s v="Yes"/>
    <x v="5"/>
    <x v="0"/>
    <x v="0"/>
    <x v="31"/>
    <x v="1"/>
    <x v="4"/>
    <x v="1"/>
    <n v="100"/>
    <n v="1"/>
  </r>
  <r>
    <n v="206"/>
    <x v="29"/>
    <x v="0"/>
    <s v="Shirt"/>
    <x v="0"/>
    <n v="64"/>
    <s v="Hawaii"/>
    <s v="M"/>
    <s v="Silver"/>
    <x v="0"/>
    <x v="21"/>
    <s v="Yes"/>
    <x v="3"/>
    <x v="0"/>
    <x v="0"/>
    <x v="29"/>
    <x v="3"/>
    <x v="1"/>
    <x v="0"/>
    <n v="64"/>
    <n v="1"/>
  </r>
  <r>
    <n v="207"/>
    <x v="41"/>
    <x v="0"/>
    <s v="T-shirt"/>
    <x v="0"/>
    <n v="55"/>
    <s v="Wisconsin"/>
    <s v="L"/>
    <s v="Silver"/>
    <x v="2"/>
    <x v="19"/>
    <s v="Yes"/>
    <x v="1"/>
    <x v="0"/>
    <x v="0"/>
    <x v="49"/>
    <x v="0"/>
    <x v="0"/>
    <x v="1"/>
    <n v="55"/>
    <n v="1"/>
  </r>
  <r>
    <n v="208"/>
    <x v="46"/>
    <x v="0"/>
    <s v="Gloves"/>
    <x v="3"/>
    <n v="91"/>
    <s v="Rhode Island"/>
    <s v="M"/>
    <s v="Silver"/>
    <x v="2"/>
    <x v="3"/>
    <s v="Yes"/>
    <x v="0"/>
    <x v="0"/>
    <x v="0"/>
    <x v="14"/>
    <x v="4"/>
    <x v="4"/>
    <x v="0"/>
    <n v="91"/>
    <n v="1"/>
  </r>
  <r>
    <n v="209"/>
    <x v="9"/>
    <x v="0"/>
    <s v="Skirt"/>
    <x v="0"/>
    <n v="38"/>
    <s v="Wisconsin"/>
    <s v="M"/>
    <s v="Gold"/>
    <x v="1"/>
    <x v="7"/>
    <s v="Yes"/>
    <x v="5"/>
    <x v="0"/>
    <x v="0"/>
    <x v="14"/>
    <x v="2"/>
    <x v="5"/>
    <x v="0"/>
    <n v="38"/>
    <n v="1"/>
  </r>
  <r>
    <n v="210"/>
    <x v="0"/>
    <x v="0"/>
    <s v="Sandals"/>
    <x v="1"/>
    <n v="97"/>
    <s v="Minnesota"/>
    <s v="S"/>
    <s v="Olive"/>
    <x v="0"/>
    <x v="4"/>
    <s v="Yes"/>
    <x v="5"/>
    <x v="0"/>
    <x v="0"/>
    <x v="12"/>
    <x v="1"/>
    <x v="6"/>
    <x v="0"/>
    <n v="97"/>
    <n v="1"/>
  </r>
  <r>
    <n v="211"/>
    <x v="4"/>
    <x v="0"/>
    <s v="Jacket"/>
    <x v="2"/>
    <n v="22"/>
    <s v="Vermont"/>
    <s v="L"/>
    <s v="Teal"/>
    <x v="3"/>
    <x v="21"/>
    <s v="Yes"/>
    <x v="4"/>
    <x v="0"/>
    <x v="0"/>
    <x v="49"/>
    <x v="3"/>
    <x v="0"/>
    <x v="2"/>
    <n v="22"/>
    <n v="1"/>
  </r>
  <r>
    <n v="212"/>
    <x v="28"/>
    <x v="0"/>
    <s v="Skirt"/>
    <x v="0"/>
    <n v="92"/>
    <s v="South Dakota"/>
    <s v="L"/>
    <s v="Maroon"/>
    <x v="3"/>
    <x v="19"/>
    <s v="Yes"/>
    <x v="4"/>
    <x v="0"/>
    <x v="0"/>
    <x v="24"/>
    <x v="5"/>
    <x v="0"/>
    <x v="0"/>
    <n v="92"/>
    <n v="1"/>
  </r>
  <r>
    <n v="213"/>
    <x v="29"/>
    <x v="0"/>
    <s v="Handbag"/>
    <x v="3"/>
    <n v="84"/>
    <s v="Virginia"/>
    <s v="L"/>
    <s v="Blue"/>
    <x v="3"/>
    <x v="19"/>
    <s v="Yes"/>
    <x v="0"/>
    <x v="0"/>
    <x v="0"/>
    <x v="22"/>
    <x v="5"/>
    <x v="2"/>
    <x v="0"/>
    <n v="84"/>
    <n v="1"/>
  </r>
  <r>
    <n v="214"/>
    <x v="11"/>
    <x v="0"/>
    <s v="Handbag"/>
    <x v="3"/>
    <n v="93"/>
    <s v="Nevada"/>
    <s v="L"/>
    <s v="Peach"/>
    <x v="3"/>
    <x v="14"/>
    <s v="Yes"/>
    <x v="5"/>
    <x v="0"/>
    <x v="0"/>
    <x v="47"/>
    <x v="5"/>
    <x v="6"/>
    <x v="2"/>
    <n v="93"/>
    <n v="1"/>
  </r>
  <r>
    <n v="215"/>
    <x v="41"/>
    <x v="0"/>
    <s v="Jacket"/>
    <x v="2"/>
    <n v="50"/>
    <s v="Hawaii"/>
    <s v="L"/>
    <s v="Blue"/>
    <x v="2"/>
    <x v="19"/>
    <s v="Yes"/>
    <x v="2"/>
    <x v="0"/>
    <x v="0"/>
    <x v="23"/>
    <x v="1"/>
    <x v="6"/>
    <x v="1"/>
    <n v="50"/>
    <n v="1"/>
  </r>
  <r>
    <n v="216"/>
    <x v="46"/>
    <x v="0"/>
    <s v="Scarf"/>
    <x v="3"/>
    <n v="64"/>
    <s v="New Jersey"/>
    <s v="S"/>
    <s v="Orange"/>
    <x v="1"/>
    <x v="11"/>
    <s v="Yes"/>
    <x v="4"/>
    <x v="0"/>
    <x v="0"/>
    <x v="37"/>
    <x v="3"/>
    <x v="4"/>
    <x v="0"/>
    <n v="64"/>
    <n v="1"/>
  </r>
  <r>
    <n v="217"/>
    <x v="49"/>
    <x v="0"/>
    <s v="Shorts"/>
    <x v="0"/>
    <n v="61"/>
    <s v="Massachusetts"/>
    <s v="L"/>
    <s v="Yellow"/>
    <x v="1"/>
    <x v="18"/>
    <s v="Yes"/>
    <x v="1"/>
    <x v="0"/>
    <x v="0"/>
    <x v="33"/>
    <x v="0"/>
    <x v="1"/>
    <x v="2"/>
    <n v="61"/>
    <n v="1"/>
  </r>
  <r>
    <n v="218"/>
    <x v="25"/>
    <x v="0"/>
    <s v="Sunglasses"/>
    <x v="3"/>
    <n v="48"/>
    <s v="Oklahoma"/>
    <s v="M"/>
    <s v="Purple"/>
    <x v="0"/>
    <x v="1"/>
    <s v="Yes"/>
    <x v="2"/>
    <x v="0"/>
    <x v="0"/>
    <x v="37"/>
    <x v="4"/>
    <x v="2"/>
    <x v="2"/>
    <n v="48"/>
    <n v="1"/>
  </r>
  <r>
    <n v="219"/>
    <x v="48"/>
    <x v="0"/>
    <s v="T-shirt"/>
    <x v="0"/>
    <n v="45"/>
    <s v="California"/>
    <s v="S"/>
    <s v="Magenta"/>
    <x v="1"/>
    <x v="3"/>
    <s v="Yes"/>
    <x v="5"/>
    <x v="0"/>
    <x v="0"/>
    <x v="6"/>
    <x v="2"/>
    <x v="3"/>
    <x v="2"/>
    <n v="45"/>
    <n v="1"/>
  </r>
  <r>
    <n v="220"/>
    <x v="45"/>
    <x v="0"/>
    <s v="Belt"/>
    <x v="3"/>
    <n v="88"/>
    <s v="Nevada"/>
    <s v="M"/>
    <s v="Cyan"/>
    <x v="1"/>
    <x v="21"/>
    <s v="Yes"/>
    <x v="1"/>
    <x v="0"/>
    <x v="0"/>
    <x v="45"/>
    <x v="1"/>
    <x v="0"/>
    <x v="2"/>
    <n v="88"/>
    <n v="1"/>
  </r>
  <r>
    <n v="221"/>
    <x v="31"/>
    <x v="0"/>
    <s v="Sneakers"/>
    <x v="1"/>
    <n v="57"/>
    <s v="Arizona"/>
    <s v="S"/>
    <s v="Indigo"/>
    <x v="1"/>
    <x v="18"/>
    <s v="Yes"/>
    <x v="0"/>
    <x v="0"/>
    <x v="0"/>
    <x v="26"/>
    <x v="5"/>
    <x v="0"/>
    <x v="2"/>
    <n v="57"/>
    <n v="1"/>
  </r>
  <r>
    <n v="222"/>
    <x v="48"/>
    <x v="0"/>
    <s v="Hat"/>
    <x v="3"/>
    <n v="68"/>
    <s v="North Carolina"/>
    <s v="XL"/>
    <s v="Magenta"/>
    <x v="2"/>
    <x v="14"/>
    <s v="Yes"/>
    <x v="5"/>
    <x v="0"/>
    <x v="0"/>
    <x v="49"/>
    <x v="4"/>
    <x v="3"/>
    <x v="2"/>
    <n v="68"/>
    <n v="1"/>
  </r>
  <r>
    <n v="223"/>
    <x v="36"/>
    <x v="0"/>
    <s v="Gloves"/>
    <x v="3"/>
    <n v="94"/>
    <s v="New York"/>
    <s v="XL"/>
    <s v="Gray"/>
    <x v="1"/>
    <x v="9"/>
    <s v="Yes"/>
    <x v="4"/>
    <x v="0"/>
    <x v="0"/>
    <x v="0"/>
    <x v="3"/>
    <x v="0"/>
    <x v="2"/>
    <n v="94"/>
    <n v="1"/>
  </r>
  <r>
    <n v="224"/>
    <x v="30"/>
    <x v="0"/>
    <s v="Pants"/>
    <x v="0"/>
    <n v="41"/>
    <s v="Wyoming"/>
    <s v="M"/>
    <s v="Turquoise"/>
    <x v="1"/>
    <x v="6"/>
    <s v="Yes"/>
    <x v="1"/>
    <x v="0"/>
    <x v="0"/>
    <x v="11"/>
    <x v="3"/>
    <x v="2"/>
    <x v="1"/>
    <n v="41"/>
    <n v="1"/>
  </r>
  <r>
    <n v="225"/>
    <x v="6"/>
    <x v="0"/>
    <s v="Socks"/>
    <x v="0"/>
    <n v="83"/>
    <s v="South Dakota"/>
    <s v="S"/>
    <s v="Beige"/>
    <x v="2"/>
    <x v="3"/>
    <s v="Yes"/>
    <x v="1"/>
    <x v="0"/>
    <x v="0"/>
    <x v="45"/>
    <x v="1"/>
    <x v="6"/>
    <x v="0"/>
    <n v="83"/>
    <n v="1"/>
  </r>
  <r>
    <n v="226"/>
    <x v="15"/>
    <x v="0"/>
    <s v="Jacket"/>
    <x v="2"/>
    <n v="22"/>
    <s v="Arkansas"/>
    <s v="M"/>
    <s v="Olive"/>
    <x v="1"/>
    <x v="4"/>
    <s v="Yes"/>
    <x v="2"/>
    <x v="0"/>
    <x v="0"/>
    <x v="47"/>
    <x v="4"/>
    <x v="2"/>
    <x v="1"/>
    <n v="22"/>
    <n v="1"/>
  </r>
  <r>
    <n v="227"/>
    <x v="26"/>
    <x v="0"/>
    <s v="Shoes"/>
    <x v="1"/>
    <n v="74"/>
    <s v="Texas"/>
    <s v="L"/>
    <s v="Violet"/>
    <x v="1"/>
    <x v="13"/>
    <s v="Yes"/>
    <x v="1"/>
    <x v="0"/>
    <x v="0"/>
    <x v="36"/>
    <x v="3"/>
    <x v="5"/>
    <x v="2"/>
    <n v="74"/>
    <n v="1"/>
  </r>
  <r>
    <n v="228"/>
    <x v="2"/>
    <x v="0"/>
    <s v="Jeans"/>
    <x v="0"/>
    <n v="90"/>
    <s v="Rhode Island"/>
    <s v="M"/>
    <s v="Turquoise"/>
    <x v="0"/>
    <x v="19"/>
    <s v="Yes"/>
    <x v="3"/>
    <x v="0"/>
    <x v="0"/>
    <x v="29"/>
    <x v="0"/>
    <x v="0"/>
    <x v="2"/>
    <n v="90"/>
    <n v="1"/>
  </r>
  <r>
    <n v="229"/>
    <x v="20"/>
    <x v="0"/>
    <s v="Socks"/>
    <x v="0"/>
    <n v="79"/>
    <s v="New Hampshire"/>
    <s v="M"/>
    <s v="White"/>
    <x v="1"/>
    <x v="3"/>
    <s v="Yes"/>
    <x v="5"/>
    <x v="0"/>
    <x v="0"/>
    <x v="47"/>
    <x v="2"/>
    <x v="2"/>
    <x v="1"/>
    <n v="79"/>
    <n v="1"/>
  </r>
  <r>
    <n v="230"/>
    <x v="27"/>
    <x v="0"/>
    <s v="Sandals"/>
    <x v="1"/>
    <n v="28"/>
    <s v="Ohio"/>
    <s v="S"/>
    <s v="Silver"/>
    <x v="1"/>
    <x v="12"/>
    <s v="Yes"/>
    <x v="2"/>
    <x v="0"/>
    <x v="0"/>
    <x v="46"/>
    <x v="3"/>
    <x v="6"/>
    <x v="0"/>
    <n v="28"/>
    <n v="1"/>
  </r>
  <r>
    <n v="231"/>
    <x v="17"/>
    <x v="0"/>
    <s v="Scarf"/>
    <x v="3"/>
    <n v="88"/>
    <s v="Utah"/>
    <s v="L"/>
    <s v="Olive"/>
    <x v="3"/>
    <x v="7"/>
    <s v="Yes"/>
    <x v="3"/>
    <x v="0"/>
    <x v="0"/>
    <x v="34"/>
    <x v="2"/>
    <x v="2"/>
    <x v="0"/>
    <n v="88"/>
    <n v="1"/>
  </r>
  <r>
    <n v="232"/>
    <x v="48"/>
    <x v="0"/>
    <s v="Blouse"/>
    <x v="0"/>
    <n v="26"/>
    <s v="Tennessee"/>
    <s v="M"/>
    <s v="Blue"/>
    <x v="1"/>
    <x v="0"/>
    <s v="Yes"/>
    <x v="4"/>
    <x v="0"/>
    <x v="0"/>
    <x v="27"/>
    <x v="5"/>
    <x v="6"/>
    <x v="2"/>
    <n v="26"/>
    <n v="1"/>
  </r>
  <r>
    <n v="233"/>
    <x v="22"/>
    <x v="0"/>
    <s v="Jewelry"/>
    <x v="3"/>
    <n v="27"/>
    <s v="Hawaii"/>
    <s v="L"/>
    <s v="Purple"/>
    <x v="0"/>
    <x v="19"/>
    <s v="Yes"/>
    <x v="0"/>
    <x v="0"/>
    <x v="0"/>
    <x v="18"/>
    <x v="4"/>
    <x v="4"/>
    <x v="0"/>
    <n v="27"/>
    <n v="1"/>
  </r>
  <r>
    <n v="234"/>
    <x v="1"/>
    <x v="0"/>
    <s v="Sweater"/>
    <x v="0"/>
    <n v="83"/>
    <s v="Arizona"/>
    <s v="XL"/>
    <s v="Yellow"/>
    <x v="3"/>
    <x v="9"/>
    <s v="Yes"/>
    <x v="2"/>
    <x v="0"/>
    <x v="0"/>
    <x v="46"/>
    <x v="4"/>
    <x v="6"/>
    <x v="1"/>
    <n v="83"/>
    <n v="1"/>
  </r>
  <r>
    <n v="235"/>
    <x v="30"/>
    <x v="0"/>
    <s v="Gloves"/>
    <x v="3"/>
    <n v="39"/>
    <s v="South Dakota"/>
    <s v="S"/>
    <s v="Silver"/>
    <x v="2"/>
    <x v="18"/>
    <s v="Yes"/>
    <x v="2"/>
    <x v="0"/>
    <x v="0"/>
    <x v="37"/>
    <x v="2"/>
    <x v="1"/>
    <x v="1"/>
    <n v="39"/>
    <n v="1"/>
  </r>
  <r>
    <n v="236"/>
    <x v="49"/>
    <x v="0"/>
    <s v="Sunglasses"/>
    <x v="3"/>
    <n v="89"/>
    <s v="New Jersey"/>
    <s v="M"/>
    <s v="Cyan"/>
    <x v="0"/>
    <x v="18"/>
    <s v="Yes"/>
    <x v="1"/>
    <x v="0"/>
    <x v="0"/>
    <x v="4"/>
    <x v="5"/>
    <x v="3"/>
    <x v="2"/>
    <n v="89"/>
    <n v="1"/>
  </r>
  <r>
    <n v="237"/>
    <x v="21"/>
    <x v="0"/>
    <s v="Coat"/>
    <x v="2"/>
    <n v="68"/>
    <s v="North Dakota"/>
    <s v="L"/>
    <s v="Green"/>
    <x v="0"/>
    <x v="23"/>
    <s v="Yes"/>
    <x v="2"/>
    <x v="0"/>
    <x v="0"/>
    <x v="30"/>
    <x v="3"/>
    <x v="0"/>
    <x v="2"/>
    <n v="68"/>
    <n v="1"/>
  </r>
  <r>
    <n v="238"/>
    <x v="2"/>
    <x v="0"/>
    <s v="Dress"/>
    <x v="0"/>
    <n v="90"/>
    <s v="Iowa"/>
    <s v="M"/>
    <s v="Beige"/>
    <x v="2"/>
    <x v="21"/>
    <s v="Yes"/>
    <x v="5"/>
    <x v="0"/>
    <x v="0"/>
    <x v="13"/>
    <x v="5"/>
    <x v="0"/>
    <x v="2"/>
    <n v="90"/>
    <n v="1"/>
  </r>
  <r>
    <n v="239"/>
    <x v="14"/>
    <x v="0"/>
    <s v="Skirt"/>
    <x v="0"/>
    <n v="34"/>
    <s v="Ohio"/>
    <s v="M"/>
    <s v="Peach"/>
    <x v="3"/>
    <x v="19"/>
    <s v="Yes"/>
    <x v="1"/>
    <x v="0"/>
    <x v="0"/>
    <x v="36"/>
    <x v="1"/>
    <x v="2"/>
    <x v="0"/>
    <n v="34"/>
    <n v="1"/>
  </r>
  <r>
    <n v="240"/>
    <x v="34"/>
    <x v="0"/>
    <s v="Pants"/>
    <x v="0"/>
    <n v="51"/>
    <s v="Vermont"/>
    <s v="L"/>
    <s v="Yellow"/>
    <x v="2"/>
    <x v="3"/>
    <s v="Yes"/>
    <x v="0"/>
    <x v="0"/>
    <x v="0"/>
    <x v="39"/>
    <x v="2"/>
    <x v="4"/>
    <x v="2"/>
    <n v="51"/>
    <n v="1"/>
  </r>
  <r>
    <n v="241"/>
    <x v="36"/>
    <x v="0"/>
    <s v="Sweater"/>
    <x v="0"/>
    <n v="45"/>
    <s v="Montana"/>
    <s v="XL"/>
    <s v="Turquoise"/>
    <x v="0"/>
    <x v="1"/>
    <s v="Yes"/>
    <x v="1"/>
    <x v="0"/>
    <x v="0"/>
    <x v="32"/>
    <x v="4"/>
    <x v="0"/>
    <x v="2"/>
    <n v="45"/>
    <n v="1"/>
  </r>
  <r>
    <n v="242"/>
    <x v="24"/>
    <x v="0"/>
    <s v="Hoodie"/>
    <x v="0"/>
    <n v="88"/>
    <s v="Delaware"/>
    <s v="M"/>
    <s v="Peach"/>
    <x v="0"/>
    <x v="7"/>
    <s v="Yes"/>
    <x v="1"/>
    <x v="0"/>
    <x v="0"/>
    <x v="34"/>
    <x v="0"/>
    <x v="4"/>
    <x v="2"/>
    <n v="88"/>
    <n v="1"/>
  </r>
  <r>
    <n v="243"/>
    <x v="0"/>
    <x v="0"/>
    <s v="Coat"/>
    <x v="2"/>
    <n v="85"/>
    <s v="New York"/>
    <s v="L"/>
    <s v="Gray"/>
    <x v="2"/>
    <x v="24"/>
    <s v="Yes"/>
    <x v="5"/>
    <x v="0"/>
    <x v="0"/>
    <x v="19"/>
    <x v="5"/>
    <x v="6"/>
    <x v="0"/>
    <n v="85"/>
    <n v="1"/>
  </r>
  <r>
    <n v="244"/>
    <x v="15"/>
    <x v="0"/>
    <s v="Jewelry"/>
    <x v="3"/>
    <n v="100"/>
    <s v="Kentucky"/>
    <s v="M"/>
    <s v="Olive"/>
    <x v="0"/>
    <x v="11"/>
    <s v="Yes"/>
    <x v="4"/>
    <x v="0"/>
    <x v="0"/>
    <x v="7"/>
    <x v="5"/>
    <x v="5"/>
    <x v="1"/>
    <n v="100"/>
    <n v="1"/>
  </r>
  <r>
    <n v="245"/>
    <x v="10"/>
    <x v="0"/>
    <s v="Belt"/>
    <x v="3"/>
    <n v="42"/>
    <s v="Oregon"/>
    <s v="S"/>
    <s v="Indigo"/>
    <x v="1"/>
    <x v="8"/>
    <s v="Yes"/>
    <x v="4"/>
    <x v="0"/>
    <x v="0"/>
    <x v="30"/>
    <x v="3"/>
    <x v="1"/>
    <x v="0"/>
    <n v="42"/>
    <n v="1"/>
  </r>
  <r>
    <n v="246"/>
    <x v="34"/>
    <x v="0"/>
    <s v="Sandals"/>
    <x v="1"/>
    <n v="53"/>
    <s v="Rhode Island"/>
    <s v="L"/>
    <s v="Charcoal"/>
    <x v="2"/>
    <x v="13"/>
    <s v="Yes"/>
    <x v="2"/>
    <x v="0"/>
    <x v="0"/>
    <x v="24"/>
    <x v="0"/>
    <x v="0"/>
    <x v="2"/>
    <n v="53"/>
    <n v="1"/>
  </r>
  <r>
    <n v="247"/>
    <x v="25"/>
    <x v="0"/>
    <s v="Sunglasses"/>
    <x v="3"/>
    <n v="86"/>
    <s v="Nevada"/>
    <s v="XL"/>
    <s v="Beige"/>
    <x v="1"/>
    <x v="4"/>
    <s v="Yes"/>
    <x v="0"/>
    <x v="0"/>
    <x v="0"/>
    <x v="41"/>
    <x v="0"/>
    <x v="4"/>
    <x v="2"/>
    <n v="86"/>
    <n v="1"/>
  </r>
  <r>
    <n v="248"/>
    <x v="26"/>
    <x v="0"/>
    <s v="Sweater"/>
    <x v="0"/>
    <n v="66"/>
    <s v="Montana"/>
    <s v="XL"/>
    <s v="Brown"/>
    <x v="1"/>
    <x v="14"/>
    <s v="Yes"/>
    <x v="3"/>
    <x v="0"/>
    <x v="0"/>
    <x v="0"/>
    <x v="5"/>
    <x v="1"/>
    <x v="2"/>
    <n v="66"/>
    <n v="1"/>
  </r>
  <r>
    <n v="249"/>
    <x v="36"/>
    <x v="0"/>
    <s v="Belt"/>
    <x v="3"/>
    <n v="100"/>
    <s v="Pennsylvania"/>
    <s v="M"/>
    <s v="Blue"/>
    <x v="0"/>
    <x v="6"/>
    <s v="Yes"/>
    <x v="0"/>
    <x v="0"/>
    <x v="0"/>
    <x v="42"/>
    <x v="3"/>
    <x v="1"/>
    <x v="2"/>
    <n v="100"/>
    <n v="1"/>
  </r>
  <r>
    <n v="250"/>
    <x v="10"/>
    <x v="0"/>
    <s v="Handbag"/>
    <x v="3"/>
    <n v="47"/>
    <s v="Alaska"/>
    <s v="S"/>
    <s v="Teal"/>
    <x v="3"/>
    <x v="19"/>
    <s v="Yes"/>
    <x v="3"/>
    <x v="0"/>
    <x v="0"/>
    <x v="27"/>
    <x v="2"/>
    <x v="2"/>
    <x v="0"/>
    <n v="47"/>
    <n v="1"/>
  </r>
  <r>
    <n v="251"/>
    <x v="23"/>
    <x v="0"/>
    <s v="Skirt"/>
    <x v="0"/>
    <n v="25"/>
    <s v="Mississippi"/>
    <s v="L"/>
    <s v="Black"/>
    <x v="3"/>
    <x v="17"/>
    <s v="Yes"/>
    <x v="0"/>
    <x v="0"/>
    <x v="0"/>
    <x v="44"/>
    <x v="4"/>
    <x v="1"/>
    <x v="2"/>
    <n v="25"/>
    <n v="1"/>
  </r>
  <r>
    <n v="252"/>
    <x v="3"/>
    <x v="0"/>
    <s v="Handbag"/>
    <x v="3"/>
    <n v="51"/>
    <s v="Wyoming"/>
    <s v="XL"/>
    <s v="Gold"/>
    <x v="0"/>
    <x v="25"/>
    <s v="Yes"/>
    <x v="3"/>
    <x v="0"/>
    <x v="0"/>
    <x v="11"/>
    <x v="3"/>
    <x v="2"/>
    <x v="1"/>
    <n v="51"/>
    <n v="1"/>
  </r>
  <r>
    <n v="253"/>
    <x v="45"/>
    <x v="0"/>
    <s v="Shorts"/>
    <x v="0"/>
    <n v="41"/>
    <s v="Delaware"/>
    <s v="M"/>
    <s v="Violet"/>
    <x v="2"/>
    <x v="20"/>
    <s v="Yes"/>
    <x v="1"/>
    <x v="0"/>
    <x v="0"/>
    <x v="42"/>
    <x v="0"/>
    <x v="0"/>
    <x v="2"/>
    <n v="41"/>
    <n v="1"/>
  </r>
  <r>
    <n v="254"/>
    <x v="16"/>
    <x v="0"/>
    <s v="Boots"/>
    <x v="1"/>
    <n v="73"/>
    <s v="Oklahoma"/>
    <s v="L"/>
    <s v="Cyan"/>
    <x v="0"/>
    <x v="8"/>
    <s v="Yes"/>
    <x v="4"/>
    <x v="0"/>
    <x v="0"/>
    <x v="28"/>
    <x v="4"/>
    <x v="4"/>
    <x v="0"/>
    <n v="73"/>
    <n v="1"/>
  </r>
  <r>
    <n v="255"/>
    <x v="29"/>
    <x v="0"/>
    <s v="Sunglasses"/>
    <x v="3"/>
    <n v="42"/>
    <s v="Indiana"/>
    <s v="M"/>
    <s v="White"/>
    <x v="0"/>
    <x v="1"/>
    <s v="Yes"/>
    <x v="5"/>
    <x v="0"/>
    <x v="0"/>
    <x v="7"/>
    <x v="3"/>
    <x v="4"/>
    <x v="0"/>
    <n v="42"/>
    <n v="1"/>
  </r>
  <r>
    <n v="256"/>
    <x v="49"/>
    <x v="0"/>
    <s v="Scarf"/>
    <x v="3"/>
    <n v="20"/>
    <s v="Maryland"/>
    <s v="M"/>
    <s v="Charcoal"/>
    <x v="1"/>
    <x v="19"/>
    <s v="Yes"/>
    <x v="1"/>
    <x v="0"/>
    <x v="0"/>
    <x v="29"/>
    <x v="5"/>
    <x v="2"/>
    <x v="2"/>
    <n v="20"/>
    <n v="1"/>
  </r>
  <r>
    <n v="257"/>
    <x v="44"/>
    <x v="0"/>
    <s v="Jewelry"/>
    <x v="3"/>
    <n v="30"/>
    <s v="South Dakota"/>
    <s v="XL"/>
    <s v="Violet"/>
    <x v="1"/>
    <x v="10"/>
    <s v="Yes"/>
    <x v="0"/>
    <x v="0"/>
    <x v="0"/>
    <x v="41"/>
    <x v="2"/>
    <x v="6"/>
    <x v="0"/>
    <n v="30"/>
    <n v="1"/>
  </r>
  <r>
    <n v="258"/>
    <x v="30"/>
    <x v="0"/>
    <s v="Handbag"/>
    <x v="3"/>
    <n v="53"/>
    <s v="West Virginia"/>
    <s v="M"/>
    <s v="Red"/>
    <x v="2"/>
    <x v="9"/>
    <s v="Yes"/>
    <x v="0"/>
    <x v="0"/>
    <x v="0"/>
    <x v="36"/>
    <x v="2"/>
    <x v="3"/>
    <x v="1"/>
    <n v="53"/>
    <n v="1"/>
  </r>
  <r>
    <n v="259"/>
    <x v="12"/>
    <x v="0"/>
    <s v="Gloves"/>
    <x v="3"/>
    <n v="74"/>
    <s v="Alabama"/>
    <s v="S"/>
    <s v="Lavender"/>
    <x v="1"/>
    <x v="11"/>
    <s v="Yes"/>
    <x v="0"/>
    <x v="0"/>
    <x v="0"/>
    <x v="20"/>
    <x v="1"/>
    <x v="3"/>
    <x v="0"/>
    <n v="74"/>
    <n v="1"/>
  </r>
  <r>
    <n v="260"/>
    <x v="45"/>
    <x v="0"/>
    <s v="Jeans"/>
    <x v="0"/>
    <n v="57"/>
    <s v="Louisiana"/>
    <s v="M"/>
    <s v="Gold"/>
    <x v="3"/>
    <x v="3"/>
    <s v="Yes"/>
    <x v="3"/>
    <x v="0"/>
    <x v="0"/>
    <x v="21"/>
    <x v="5"/>
    <x v="2"/>
    <x v="2"/>
    <n v="57"/>
    <n v="1"/>
  </r>
  <r>
    <n v="261"/>
    <x v="21"/>
    <x v="0"/>
    <s v="Hat"/>
    <x v="3"/>
    <n v="57"/>
    <s v="Montana"/>
    <s v="S"/>
    <s v="Red"/>
    <x v="0"/>
    <x v="4"/>
    <s v="Yes"/>
    <x v="4"/>
    <x v="0"/>
    <x v="0"/>
    <x v="47"/>
    <x v="2"/>
    <x v="6"/>
    <x v="2"/>
    <n v="57"/>
    <n v="1"/>
  </r>
  <r>
    <n v="262"/>
    <x v="3"/>
    <x v="0"/>
    <s v="Jeans"/>
    <x v="0"/>
    <n v="77"/>
    <s v="California"/>
    <s v="L"/>
    <s v="Magenta"/>
    <x v="0"/>
    <x v="8"/>
    <s v="Yes"/>
    <x v="3"/>
    <x v="0"/>
    <x v="0"/>
    <x v="33"/>
    <x v="2"/>
    <x v="2"/>
    <x v="1"/>
    <n v="77"/>
    <n v="1"/>
  </r>
  <r>
    <n v="263"/>
    <x v="43"/>
    <x v="0"/>
    <s v="Pants"/>
    <x v="0"/>
    <n v="40"/>
    <s v="Hawaii"/>
    <s v="M"/>
    <s v="Teal"/>
    <x v="2"/>
    <x v="18"/>
    <s v="Yes"/>
    <x v="2"/>
    <x v="0"/>
    <x v="0"/>
    <x v="49"/>
    <x v="5"/>
    <x v="2"/>
    <x v="2"/>
    <n v="40"/>
    <n v="1"/>
  </r>
  <r>
    <n v="264"/>
    <x v="7"/>
    <x v="0"/>
    <s v="Shorts"/>
    <x v="0"/>
    <n v="46"/>
    <s v="Iowa"/>
    <s v="M"/>
    <s v="Purple"/>
    <x v="2"/>
    <x v="24"/>
    <s v="Yes"/>
    <x v="5"/>
    <x v="0"/>
    <x v="0"/>
    <x v="32"/>
    <x v="0"/>
    <x v="5"/>
    <x v="2"/>
    <n v="46"/>
    <n v="1"/>
  </r>
  <r>
    <n v="265"/>
    <x v="24"/>
    <x v="0"/>
    <s v="Pants"/>
    <x v="0"/>
    <n v="78"/>
    <s v="Colorado"/>
    <s v="S"/>
    <s v="Charcoal"/>
    <x v="3"/>
    <x v="20"/>
    <s v="Yes"/>
    <x v="5"/>
    <x v="0"/>
    <x v="0"/>
    <x v="28"/>
    <x v="1"/>
    <x v="2"/>
    <x v="2"/>
    <n v="78"/>
    <n v="1"/>
  </r>
  <r>
    <n v="266"/>
    <x v="45"/>
    <x v="0"/>
    <s v="Backpack"/>
    <x v="3"/>
    <n v="59"/>
    <s v="Michigan"/>
    <s v="M"/>
    <s v="Gray"/>
    <x v="1"/>
    <x v="4"/>
    <s v="Yes"/>
    <x v="4"/>
    <x v="0"/>
    <x v="0"/>
    <x v="14"/>
    <x v="4"/>
    <x v="4"/>
    <x v="2"/>
    <n v="59"/>
    <n v="1"/>
  </r>
  <r>
    <n v="267"/>
    <x v="47"/>
    <x v="0"/>
    <s v="Jewelry"/>
    <x v="3"/>
    <n v="75"/>
    <s v="Louisiana"/>
    <s v="L"/>
    <s v="White"/>
    <x v="2"/>
    <x v="0"/>
    <s v="Yes"/>
    <x v="0"/>
    <x v="0"/>
    <x v="0"/>
    <x v="18"/>
    <x v="2"/>
    <x v="1"/>
    <x v="0"/>
    <n v="75"/>
    <n v="1"/>
  </r>
  <r>
    <n v="268"/>
    <x v="14"/>
    <x v="0"/>
    <s v="Sweater"/>
    <x v="0"/>
    <n v="54"/>
    <s v="Maryland"/>
    <s v="M"/>
    <s v="Olive"/>
    <x v="1"/>
    <x v="20"/>
    <s v="Yes"/>
    <x v="4"/>
    <x v="0"/>
    <x v="0"/>
    <x v="38"/>
    <x v="0"/>
    <x v="2"/>
    <x v="0"/>
    <n v="54"/>
    <n v="1"/>
  </r>
  <r>
    <n v="269"/>
    <x v="33"/>
    <x v="0"/>
    <s v="Shoes"/>
    <x v="1"/>
    <n v="42"/>
    <s v="Georgia"/>
    <s v="M"/>
    <s v="Charcoal"/>
    <x v="1"/>
    <x v="5"/>
    <s v="Yes"/>
    <x v="5"/>
    <x v="0"/>
    <x v="0"/>
    <x v="33"/>
    <x v="1"/>
    <x v="5"/>
    <x v="0"/>
    <n v="42"/>
    <n v="1"/>
  </r>
  <r>
    <n v="270"/>
    <x v="33"/>
    <x v="0"/>
    <s v="Blouse"/>
    <x v="0"/>
    <n v="44"/>
    <s v="Georgia"/>
    <s v="M"/>
    <s v="Charcoal"/>
    <x v="0"/>
    <x v="13"/>
    <s v="Yes"/>
    <x v="2"/>
    <x v="0"/>
    <x v="0"/>
    <x v="44"/>
    <x v="1"/>
    <x v="4"/>
    <x v="0"/>
    <n v="44"/>
    <n v="1"/>
  </r>
  <r>
    <n v="271"/>
    <x v="23"/>
    <x v="0"/>
    <s v="Jeans"/>
    <x v="0"/>
    <n v="52"/>
    <s v="North Dakota"/>
    <s v="XL"/>
    <s v="Orange"/>
    <x v="3"/>
    <x v="12"/>
    <s v="Yes"/>
    <x v="1"/>
    <x v="0"/>
    <x v="0"/>
    <x v="20"/>
    <x v="4"/>
    <x v="2"/>
    <x v="2"/>
    <n v="52"/>
    <n v="1"/>
  </r>
  <r>
    <n v="272"/>
    <x v="13"/>
    <x v="0"/>
    <s v="Sunglasses"/>
    <x v="3"/>
    <n v="69"/>
    <s v="Maryland"/>
    <s v="XL"/>
    <s v="Yellow"/>
    <x v="2"/>
    <x v="12"/>
    <s v="Yes"/>
    <x v="0"/>
    <x v="0"/>
    <x v="0"/>
    <x v="38"/>
    <x v="2"/>
    <x v="0"/>
    <x v="0"/>
    <n v="69"/>
    <n v="1"/>
  </r>
  <r>
    <n v="273"/>
    <x v="39"/>
    <x v="0"/>
    <s v="Jewelry"/>
    <x v="3"/>
    <n v="26"/>
    <s v="Oregon"/>
    <s v="M"/>
    <s v="Beige"/>
    <x v="2"/>
    <x v="14"/>
    <s v="Yes"/>
    <x v="4"/>
    <x v="0"/>
    <x v="0"/>
    <x v="10"/>
    <x v="5"/>
    <x v="4"/>
    <x v="2"/>
    <n v="26"/>
    <n v="1"/>
  </r>
  <r>
    <n v="274"/>
    <x v="28"/>
    <x v="0"/>
    <s v="Coat"/>
    <x v="2"/>
    <n v="33"/>
    <s v="North Dakota"/>
    <s v="S"/>
    <s v="Silver"/>
    <x v="1"/>
    <x v="19"/>
    <s v="Yes"/>
    <x v="0"/>
    <x v="0"/>
    <x v="0"/>
    <x v="18"/>
    <x v="5"/>
    <x v="3"/>
    <x v="0"/>
    <n v="33"/>
    <n v="1"/>
  </r>
  <r>
    <n v="275"/>
    <x v="35"/>
    <x v="0"/>
    <s v="Jewelry"/>
    <x v="3"/>
    <n v="32"/>
    <s v="Maryland"/>
    <s v="M"/>
    <s v="Indigo"/>
    <x v="1"/>
    <x v="21"/>
    <s v="Yes"/>
    <x v="0"/>
    <x v="0"/>
    <x v="0"/>
    <x v="40"/>
    <x v="1"/>
    <x v="4"/>
    <x v="0"/>
    <n v="32"/>
    <n v="1"/>
  </r>
  <r>
    <n v="276"/>
    <x v="39"/>
    <x v="0"/>
    <s v="Backpack"/>
    <x v="3"/>
    <n v="85"/>
    <s v="Virginia"/>
    <s v="XL"/>
    <s v="Lavender"/>
    <x v="0"/>
    <x v="17"/>
    <s v="Yes"/>
    <x v="0"/>
    <x v="0"/>
    <x v="0"/>
    <x v="21"/>
    <x v="2"/>
    <x v="1"/>
    <x v="2"/>
    <n v="85"/>
    <n v="1"/>
  </r>
  <r>
    <n v="277"/>
    <x v="15"/>
    <x v="0"/>
    <s v="Skirt"/>
    <x v="0"/>
    <n v="30"/>
    <s v="South Dakota"/>
    <s v="XL"/>
    <s v="Turquoise"/>
    <x v="3"/>
    <x v="1"/>
    <s v="Yes"/>
    <x v="0"/>
    <x v="0"/>
    <x v="0"/>
    <x v="47"/>
    <x v="4"/>
    <x v="0"/>
    <x v="1"/>
    <n v="30"/>
    <n v="1"/>
  </r>
  <r>
    <n v="278"/>
    <x v="26"/>
    <x v="0"/>
    <s v="Shirt"/>
    <x v="0"/>
    <n v="29"/>
    <s v="Georgia"/>
    <s v="M"/>
    <s v="Green"/>
    <x v="0"/>
    <x v="21"/>
    <s v="Yes"/>
    <x v="5"/>
    <x v="0"/>
    <x v="0"/>
    <x v="13"/>
    <x v="4"/>
    <x v="4"/>
    <x v="2"/>
    <n v="29"/>
    <n v="1"/>
  </r>
  <r>
    <n v="279"/>
    <x v="9"/>
    <x v="0"/>
    <s v="Sweater"/>
    <x v="0"/>
    <n v="95"/>
    <s v="Hawaii"/>
    <s v="M"/>
    <s v="Orange"/>
    <x v="1"/>
    <x v="18"/>
    <s v="Yes"/>
    <x v="0"/>
    <x v="0"/>
    <x v="0"/>
    <x v="2"/>
    <x v="5"/>
    <x v="2"/>
    <x v="0"/>
    <n v="95"/>
    <n v="1"/>
  </r>
  <r>
    <n v="280"/>
    <x v="51"/>
    <x v="0"/>
    <s v="Sneakers"/>
    <x v="1"/>
    <n v="69"/>
    <s v="Arkansas"/>
    <s v="L"/>
    <s v="Turquoise"/>
    <x v="2"/>
    <x v="17"/>
    <s v="Yes"/>
    <x v="3"/>
    <x v="0"/>
    <x v="0"/>
    <x v="10"/>
    <x v="4"/>
    <x v="5"/>
    <x v="1"/>
    <n v="69"/>
    <n v="1"/>
  </r>
  <r>
    <n v="281"/>
    <x v="4"/>
    <x v="0"/>
    <s v="Sandals"/>
    <x v="1"/>
    <n v="69"/>
    <s v="Montana"/>
    <s v="S"/>
    <s v="Cyan"/>
    <x v="3"/>
    <x v="19"/>
    <s v="Yes"/>
    <x v="4"/>
    <x v="0"/>
    <x v="0"/>
    <x v="33"/>
    <x v="1"/>
    <x v="4"/>
    <x v="2"/>
    <n v="69"/>
    <n v="1"/>
  </r>
  <r>
    <n v="282"/>
    <x v="21"/>
    <x v="0"/>
    <s v="Belt"/>
    <x v="3"/>
    <n v="61"/>
    <s v="Oklahoma"/>
    <s v="XL"/>
    <s v="Charcoal"/>
    <x v="1"/>
    <x v="25"/>
    <s v="Yes"/>
    <x v="3"/>
    <x v="0"/>
    <x v="0"/>
    <x v="17"/>
    <x v="5"/>
    <x v="4"/>
    <x v="2"/>
    <n v="61"/>
    <n v="1"/>
  </r>
  <r>
    <n v="283"/>
    <x v="3"/>
    <x v="0"/>
    <s v="Skirt"/>
    <x v="0"/>
    <n v="94"/>
    <s v="Minnesota"/>
    <s v="M"/>
    <s v="Teal"/>
    <x v="2"/>
    <x v="21"/>
    <s v="Yes"/>
    <x v="4"/>
    <x v="0"/>
    <x v="0"/>
    <x v="44"/>
    <x v="1"/>
    <x v="5"/>
    <x v="1"/>
    <n v="94"/>
    <n v="1"/>
  </r>
  <r>
    <n v="284"/>
    <x v="45"/>
    <x v="0"/>
    <s v="Sweater"/>
    <x v="0"/>
    <n v="30"/>
    <s v="Montana"/>
    <s v="S"/>
    <s v="Maroon"/>
    <x v="3"/>
    <x v="4"/>
    <s v="Yes"/>
    <x v="2"/>
    <x v="0"/>
    <x v="0"/>
    <x v="20"/>
    <x v="0"/>
    <x v="2"/>
    <x v="2"/>
    <n v="30"/>
    <n v="1"/>
  </r>
  <r>
    <n v="285"/>
    <x v="6"/>
    <x v="0"/>
    <s v="Skirt"/>
    <x v="0"/>
    <n v="45"/>
    <s v="Ohio"/>
    <s v="M"/>
    <s v="Red"/>
    <x v="2"/>
    <x v="1"/>
    <s v="Yes"/>
    <x v="3"/>
    <x v="0"/>
    <x v="0"/>
    <x v="7"/>
    <x v="3"/>
    <x v="3"/>
    <x v="0"/>
    <n v="45"/>
    <n v="1"/>
  </r>
  <r>
    <n v="286"/>
    <x v="26"/>
    <x v="0"/>
    <s v="Handbag"/>
    <x v="3"/>
    <n v="39"/>
    <s v="Kentucky"/>
    <s v="XL"/>
    <s v="Yellow"/>
    <x v="2"/>
    <x v="6"/>
    <s v="Yes"/>
    <x v="0"/>
    <x v="0"/>
    <x v="0"/>
    <x v="35"/>
    <x v="5"/>
    <x v="4"/>
    <x v="2"/>
    <n v="39"/>
    <n v="1"/>
  </r>
  <r>
    <n v="287"/>
    <x v="7"/>
    <x v="0"/>
    <s v="Jewelry"/>
    <x v="3"/>
    <n v="51"/>
    <s v="Nebraska"/>
    <s v="L"/>
    <s v="Gray"/>
    <x v="2"/>
    <x v="5"/>
    <s v="Yes"/>
    <x v="5"/>
    <x v="0"/>
    <x v="0"/>
    <x v="49"/>
    <x v="5"/>
    <x v="2"/>
    <x v="2"/>
    <n v="51"/>
    <n v="1"/>
  </r>
  <r>
    <n v="288"/>
    <x v="19"/>
    <x v="0"/>
    <s v="Scarf"/>
    <x v="3"/>
    <n v="37"/>
    <s v="Delaware"/>
    <s v="L"/>
    <s v="Blue"/>
    <x v="1"/>
    <x v="23"/>
    <s v="Yes"/>
    <x v="4"/>
    <x v="0"/>
    <x v="0"/>
    <x v="27"/>
    <x v="0"/>
    <x v="0"/>
    <x v="0"/>
    <n v="37"/>
    <n v="1"/>
  </r>
  <r>
    <n v="289"/>
    <x v="11"/>
    <x v="0"/>
    <s v="T-shirt"/>
    <x v="0"/>
    <n v="62"/>
    <s v="North Carolina"/>
    <s v="M"/>
    <s v="Lavender"/>
    <x v="0"/>
    <x v="18"/>
    <s v="Yes"/>
    <x v="4"/>
    <x v="0"/>
    <x v="0"/>
    <x v="11"/>
    <x v="0"/>
    <x v="4"/>
    <x v="2"/>
    <n v="62"/>
    <n v="1"/>
  </r>
  <r>
    <n v="290"/>
    <x v="34"/>
    <x v="0"/>
    <s v="Coat"/>
    <x v="2"/>
    <n v="85"/>
    <s v="New York"/>
    <s v="M"/>
    <s v="Yellow"/>
    <x v="3"/>
    <x v="9"/>
    <s v="Yes"/>
    <x v="4"/>
    <x v="0"/>
    <x v="0"/>
    <x v="8"/>
    <x v="2"/>
    <x v="5"/>
    <x v="2"/>
    <n v="85"/>
    <n v="1"/>
  </r>
  <r>
    <n v="291"/>
    <x v="44"/>
    <x v="0"/>
    <s v="T-shirt"/>
    <x v="0"/>
    <n v="33"/>
    <s v="Colorado"/>
    <s v="M"/>
    <s v="Indigo"/>
    <x v="0"/>
    <x v="18"/>
    <s v="Yes"/>
    <x v="3"/>
    <x v="0"/>
    <x v="0"/>
    <x v="16"/>
    <x v="3"/>
    <x v="1"/>
    <x v="0"/>
    <n v="33"/>
    <n v="1"/>
  </r>
  <r>
    <n v="292"/>
    <x v="9"/>
    <x v="0"/>
    <s v="Dress"/>
    <x v="0"/>
    <n v="26"/>
    <s v="Delaware"/>
    <s v="XL"/>
    <s v="Violet"/>
    <x v="3"/>
    <x v="13"/>
    <s v="Yes"/>
    <x v="2"/>
    <x v="0"/>
    <x v="0"/>
    <x v="19"/>
    <x v="4"/>
    <x v="5"/>
    <x v="0"/>
    <n v="26"/>
    <n v="1"/>
  </r>
  <r>
    <n v="293"/>
    <x v="52"/>
    <x v="0"/>
    <s v="Shoes"/>
    <x v="1"/>
    <n v="99"/>
    <s v="Utah"/>
    <s v="M"/>
    <s v="Green"/>
    <x v="1"/>
    <x v="10"/>
    <s v="Yes"/>
    <x v="1"/>
    <x v="0"/>
    <x v="0"/>
    <x v="37"/>
    <x v="1"/>
    <x v="3"/>
    <x v="0"/>
    <n v="99"/>
    <n v="1"/>
  </r>
  <r>
    <n v="294"/>
    <x v="28"/>
    <x v="0"/>
    <s v="Handbag"/>
    <x v="3"/>
    <n v="39"/>
    <s v="Connecticut"/>
    <s v="M"/>
    <s v="White"/>
    <x v="1"/>
    <x v="2"/>
    <s v="Yes"/>
    <x v="0"/>
    <x v="0"/>
    <x v="0"/>
    <x v="42"/>
    <x v="3"/>
    <x v="2"/>
    <x v="0"/>
    <n v="39"/>
    <n v="1"/>
  </r>
  <r>
    <n v="295"/>
    <x v="27"/>
    <x v="0"/>
    <s v="Skirt"/>
    <x v="0"/>
    <n v="20"/>
    <s v="New Jersey"/>
    <s v="M"/>
    <s v="Gold"/>
    <x v="1"/>
    <x v="12"/>
    <s v="Yes"/>
    <x v="5"/>
    <x v="0"/>
    <x v="0"/>
    <x v="5"/>
    <x v="2"/>
    <x v="6"/>
    <x v="0"/>
    <n v="20"/>
    <n v="1"/>
  </r>
  <r>
    <n v="296"/>
    <x v="10"/>
    <x v="0"/>
    <s v="Sunglasses"/>
    <x v="3"/>
    <n v="42"/>
    <s v="West Virginia"/>
    <s v="M"/>
    <s v="Indigo"/>
    <x v="0"/>
    <x v="2"/>
    <s v="Yes"/>
    <x v="5"/>
    <x v="0"/>
    <x v="0"/>
    <x v="37"/>
    <x v="2"/>
    <x v="3"/>
    <x v="0"/>
    <n v="42"/>
    <n v="1"/>
  </r>
  <r>
    <n v="297"/>
    <x v="15"/>
    <x v="0"/>
    <s v="Sandals"/>
    <x v="1"/>
    <n v="74"/>
    <s v="Indiana"/>
    <s v="S"/>
    <s v="Lavender"/>
    <x v="1"/>
    <x v="6"/>
    <s v="Yes"/>
    <x v="4"/>
    <x v="0"/>
    <x v="0"/>
    <x v="5"/>
    <x v="2"/>
    <x v="1"/>
    <x v="1"/>
    <n v="74"/>
    <n v="1"/>
  </r>
  <r>
    <n v="298"/>
    <x v="39"/>
    <x v="0"/>
    <s v="Shoes"/>
    <x v="1"/>
    <n v="26"/>
    <s v="Delaware"/>
    <s v="XL"/>
    <s v="Purple"/>
    <x v="2"/>
    <x v="14"/>
    <s v="Yes"/>
    <x v="3"/>
    <x v="0"/>
    <x v="0"/>
    <x v="7"/>
    <x v="2"/>
    <x v="4"/>
    <x v="2"/>
    <n v="26"/>
    <n v="1"/>
  </r>
  <r>
    <n v="299"/>
    <x v="28"/>
    <x v="0"/>
    <s v="T-shirt"/>
    <x v="0"/>
    <n v="53"/>
    <s v="Maryland"/>
    <s v="M"/>
    <s v="Lavender"/>
    <x v="0"/>
    <x v="17"/>
    <s v="Yes"/>
    <x v="3"/>
    <x v="0"/>
    <x v="0"/>
    <x v="47"/>
    <x v="0"/>
    <x v="6"/>
    <x v="0"/>
    <n v="53"/>
    <n v="1"/>
  </r>
  <r>
    <n v="300"/>
    <x v="15"/>
    <x v="0"/>
    <s v="Sneakers"/>
    <x v="1"/>
    <n v="80"/>
    <s v="Pennsylvania"/>
    <s v="M"/>
    <s v="Maroon"/>
    <x v="2"/>
    <x v="4"/>
    <s v="Yes"/>
    <x v="2"/>
    <x v="0"/>
    <x v="0"/>
    <x v="40"/>
    <x v="3"/>
    <x v="0"/>
    <x v="1"/>
    <n v="80"/>
    <n v="1"/>
  </r>
  <r>
    <n v="301"/>
    <x v="26"/>
    <x v="0"/>
    <s v="Hat"/>
    <x v="3"/>
    <n v="98"/>
    <s v="Iowa"/>
    <s v="M"/>
    <s v="Teal"/>
    <x v="1"/>
    <x v="14"/>
    <s v="Yes"/>
    <x v="5"/>
    <x v="0"/>
    <x v="0"/>
    <x v="37"/>
    <x v="3"/>
    <x v="1"/>
    <x v="2"/>
    <n v="98"/>
    <n v="1"/>
  </r>
  <r>
    <n v="302"/>
    <x v="5"/>
    <x v="0"/>
    <s v="Skirt"/>
    <x v="0"/>
    <n v="95"/>
    <s v="Pennsylvania"/>
    <s v="M"/>
    <s v="Green"/>
    <x v="1"/>
    <x v="22"/>
    <s v="Yes"/>
    <x v="3"/>
    <x v="0"/>
    <x v="0"/>
    <x v="29"/>
    <x v="2"/>
    <x v="6"/>
    <x v="2"/>
    <n v="95"/>
    <n v="1"/>
  </r>
  <r>
    <n v="303"/>
    <x v="43"/>
    <x v="0"/>
    <s v="Sweater"/>
    <x v="0"/>
    <n v="44"/>
    <s v="Delaware"/>
    <s v="L"/>
    <s v="Olive"/>
    <x v="2"/>
    <x v="15"/>
    <s v="Yes"/>
    <x v="0"/>
    <x v="0"/>
    <x v="0"/>
    <x v="46"/>
    <x v="4"/>
    <x v="6"/>
    <x v="2"/>
    <n v="44"/>
    <n v="1"/>
  </r>
  <r>
    <n v="304"/>
    <x v="30"/>
    <x v="0"/>
    <s v="Sandals"/>
    <x v="1"/>
    <n v="60"/>
    <s v="Oregon"/>
    <s v="M"/>
    <s v="Turquoise"/>
    <x v="2"/>
    <x v="13"/>
    <s v="Yes"/>
    <x v="2"/>
    <x v="0"/>
    <x v="0"/>
    <x v="3"/>
    <x v="0"/>
    <x v="1"/>
    <x v="1"/>
    <n v="60"/>
    <n v="1"/>
  </r>
  <r>
    <n v="305"/>
    <x v="37"/>
    <x v="0"/>
    <s v="Dress"/>
    <x v="0"/>
    <n v="84"/>
    <s v="Oregon"/>
    <s v="M"/>
    <s v="Green"/>
    <x v="0"/>
    <x v="23"/>
    <s v="Yes"/>
    <x v="2"/>
    <x v="0"/>
    <x v="0"/>
    <x v="24"/>
    <x v="2"/>
    <x v="4"/>
    <x v="2"/>
    <n v="84"/>
    <n v="1"/>
  </r>
  <r>
    <n v="306"/>
    <x v="52"/>
    <x v="0"/>
    <s v="Sweater"/>
    <x v="0"/>
    <n v="59"/>
    <s v="Utah"/>
    <s v="M"/>
    <s v="Teal"/>
    <x v="3"/>
    <x v="1"/>
    <s v="Yes"/>
    <x v="4"/>
    <x v="0"/>
    <x v="0"/>
    <x v="8"/>
    <x v="3"/>
    <x v="2"/>
    <x v="0"/>
    <n v="59"/>
    <n v="1"/>
  </r>
  <r>
    <n v="307"/>
    <x v="8"/>
    <x v="0"/>
    <s v="Jacket"/>
    <x v="2"/>
    <n v="49"/>
    <s v="North Dakota"/>
    <s v="S"/>
    <s v="White"/>
    <x v="2"/>
    <x v="15"/>
    <s v="Yes"/>
    <x v="0"/>
    <x v="0"/>
    <x v="0"/>
    <x v="7"/>
    <x v="1"/>
    <x v="2"/>
    <x v="2"/>
    <n v="49"/>
    <n v="1"/>
  </r>
  <r>
    <n v="308"/>
    <x v="26"/>
    <x v="0"/>
    <s v="Gloves"/>
    <x v="3"/>
    <n v="32"/>
    <s v="Florida"/>
    <s v="M"/>
    <s v="Orange"/>
    <x v="0"/>
    <x v="4"/>
    <s v="Yes"/>
    <x v="1"/>
    <x v="0"/>
    <x v="0"/>
    <x v="35"/>
    <x v="2"/>
    <x v="6"/>
    <x v="2"/>
    <n v="32"/>
    <n v="1"/>
  </r>
  <r>
    <n v="309"/>
    <x v="17"/>
    <x v="0"/>
    <s v="Handbag"/>
    <x v="3"/>
    <n v="29"/>
    <s v="Maryland"/>
    <s v="M"/>
    <s v="Beige"/>
    <x v="3"/>
    <x v="18"/>
    <s v="Yes"/>
    <x v="3"/>
    <x v="0"/>
    <x v="0"/>
    <x v="24"/>
    <x v="0"/>
    <x v="4"/>
    <x v="0"/>
    <n v="29"/>
    <n v="1"/>
  </r>
  <r>
    <n v="310"/>
    <x v="17"/>
    <x v="0"/>
    <s v="Dress"/>
    <x v="0"/>
    <n v="22"/>
    <s v="Minnesota"/>
    <s v="M"/>
    <s v="Yellow"/>
    <x v="1"/>
    <x v="9"/>
    <s v="Yes"/>
    <x v="3"/>
    <x v="0"/>
    <x v="0"/>
    <x v="33"/>
    <x v="1"/>
    <x v="0"/>
    <x v="0"/>
    <n v="22"/>
    <n v="1"/>
  </r>
  <r>
    <n v="311"/>
    <x v="19"/>
    <x v="0"/>
    <s v="Pants"/>
    <x v="0"/>
    <n v="85"/>
    <s v="Montana"/>
    <s v="M"/>
    <s v="Charcoal"/>
    <x v="0"/>
    <x v="12"/>
    <s v="Yes"/>
    <x v="3"/>
    <x v="0"/>
    <x v="0"/>
    <x v="16"/>
    <x v="1"/>
    <x v="0"/>
    <x v="0"/>
    <n v="85"/>
    <n v="1"/>
  </r>
  <r>
    <n v="312"/>
    <x v="28"/>
    <x v="0"/>
    <s v="Jeans"/>
    <x v="0"/>
    <n v="52"/>
    <s v="Rhode Island"/>
    <s v="L"/>
    <s v="Silver"/>
    <x v="0"/>
    <x v="7"/>
    <s v="Yes"/>
    <x v="5"/>
    <x v="0"/>
    <x v="0"/>
    <x v="5"/>
    <x v="4"/>
    <x v="5"/>
    <x v="0"/>
    <n v="52"/>
    <n v="1"/>
  </r>
  <r>
    <n v="313"/>
    <x v="21"/>
    <x v="0"/>
    <s v="Pants"/>
    <x v="0"/>
    <n v="89"/>
    <s v="Massachusetts"/>
    <s v="L"/>
    <s v="Green"/>
    <x v="1"/>
    <x v="23"/>
    <s v="Yes"/>
    <x v="2"/>
    <x v="0"/>
    <x v="0"/>
    <x v="49"/>
    <x v="3"/>
    <x v="2"/>
    <x v="2"/>
    <n v="89"/>
    <n v="1"/>
  </r>
  <r>
    <n v="314"/>
    <x v="32"/>
    <x v="0"/>
    <s v="Dress"/>
    <x v="0"/>
    <n v="77"/>
    <s v="Vermont"/>
    <s v="M"/>
    <s v="Pink"/>
    <x v="1"/>
    <x v="18"/>
    <s v="Yes"/>
    <x v="0"/>
    <x v="0"/>
    <x v="0"/>
    <x v="16"/>
    <x v="2"/>
    <x v="6"/>
    <x v="2"/>
    <n v="77"/>
    <n v="1"/>
  </r>
  <r>
    <n v="315"/>
    <x v="11"/>
    <x v="0"/>
    <s v="Pants"/>
    <x v="0"/>
    <n v="24"/>
    <s v="New Jersey"/>
    <s v="M"/>
    <s v="Purple"/>
    <x v="2"/>
    <x v="13"/>
    <s v="Yes"/>
    <x v="5"/>
    <x v="0"/>
    <x v="0"/>
    <x v="14"/>
    <x v="5"/>
    <x v="6"/>
    <x v="2"/>
    <n v="24"/>
    <n v="1"/>
  </r>
  <r>
    <n v="316"/>
    <x v="17"/>
    <x v="0"/>
    <s v="Jewelry"/>
    <x v="3"/>
    <n v="24"/>
    <s v="Wisconsin"/>
    <s v="XL"/>
    <s v="Orange"/>
    <x v="1"/>
    <x v="9"/>
    <s v="Yes"/>
    <x v="0"/>
    <x v="0"/>
    <x v="0"/>
    <x v="37"/>
    <x v="5"/>
    <x v="2"/>
    <x v="0"/>
    <n v="24"/>
    <n v="1"/>
  </r>
  <r>
    <n v="317"/>
    <x v="24"/>
    <x v="0"/>
    <s v="Handbag"/>
    <x v="3"/>
    <n v="22"/>
    <s v="California"/>
    <s v="M"/>
    <s v="Charcoal"/>
    <x v="3"/>
    <x v="13"/>
    <s v="Yes"/>
    <x v="1"/>
    <x v="0"/>
    <x v="0"/>
    <x v="15"/>
    <x v="0"/>
    <x v="5"/>
    <x v="2"/>
    <n v="22"/>
    <n v="1"/>
  </r>
  <r>
    <n v="318"/>
    <x v="44"/>
    <x v="0"/>
    <s v="Sweater"/>
    <x v="0"/>
    <n v="82"/>
    <s v="West Virginia"/>
    <s v="L"/>
    <s v="Teal"/>
    <x v="3"/>
    <x v="24"/>
    <s v="Yes"/>
    <x v="3"/>
    <x v="0"/>
    <x v="0"/>
    <x v="38"/>
    <x v="1"/>
    <x v="6"/>
    <x v="0"/>
    <n v="82"/>
    <n v="1"/>
  </r>
  <r>
    <n v="319"/>
    <x v="4"/>
    <x v="0"/>
    <s v="Backpack"/>
    <x v="3"/>
    <n v="67"/>
    <s v="South Dakota"/>
    <s v="M"/>
    <s v="Beige"/>
    <x v="0"/>
    <x v="25"/>
    <s v="Yes"/>
    <x v="3"/>
    <x v="0"/>
    <x v="0"/>
    <x v="9"/>
    <x v="1"/>
    <x v="2"/>
    <x v="2"/>
    <n v="67"/>
    <n v="1"/>
  </r>
  <r>
    <n v="320"/>
    <x v="36"/>
    <x v="0"/>
    <s v="Shorts"/>
    <x v="0"/>
    <n v="74"/>
    <s v="Maine"/>
    <s v="XL"/>
    <s v="White"/>
    <x v="1"/>
    <x v="5"/>
    <s v="Yes"/>
    <x v="3"/>
    <x v="0"/>
    <x v="0"/>
    <x v="43"/>
    <x v="1"/>
    <x v="6"/>
    <x v="2"/>
    <n v="74"/>
    <n v="1"/>
  </r>
  <r>
    <n v="321"/>
    <x v="17"/>
    <x v="0"/>
    <s v="Jewelry"/>
    <x v="3"/>
    <n v="72"/>
    <s v="Kansas"/>
    <s v="L"/>
    <s v="White"/>
    <x v="2"/>
    <x v="8"/>
    <s v="Yes"/>
    <x v="3"/>
    <x v="0"/>
    <x v="0"/>
    <x v="40"/>
    <x v="5"/>
    <x v="3"/>
    <x v="0"/>
    <n v="72"/>
    <n v="1"/>
  </r>
  <r>
    <n v="322"/>
    <x v="38"/>
    <x v="0"/>
    <s v="Sneakers"/>
    <x v="1"/>
    <n v="36"/>
    <s v="Vermont"/>
    <s v="L"/>
    <s v="Orange"/>
    <x v="2"/>
    <x v="10"/>
    <s v="Yes"/>
    <x v="1"/>
    <x v="0"/>
    <x v="0"/>
    <x v="26"/>
    <x v="5"/>
    <x v="3"/>
    <x v="2"/>
    <n v="36"/>
    <n v="1"/>
  </r>
  <r>
    <n v="323"/>
    <x v="38"/>
    <x v="0"/>
    <s v="Belt"/>
    <x v="3"/>
    <n v="95"/>
    <s v="Tennessee"/>
    <s v="S"/>
    <s v="Cyan"/>
    <x v="0"/>
    <x v="21"/>
    <s v="Yes"/>
    <x v="3"/>
    <x v="0"/>
    <x v="0"/>
    <x v="39"/>
    <x v="2"/>
    <x v="5"/>
    <x v="2"/>
    <n v="95"/>
    <n v="1"/>
  </r>
  <r>
    <n v="324"/>
    <x v="17"/>
    <x v="0"/>
    <s v="Hoodie"/>
    <x v="0"/>
    <n v="78"/>
    <s v="Tennessee"/>
    <s v="M"/>
    <s v="Orange"/>
    <x v="0"/>
    <x v="1"/>
    <s v="Yes"/>
    <x v="2"/>
    <x v="0"/>
    <x v="0"/>
    <x v="32"/>
    <x v="3"/>
    <x v="4"/>
    <x v="0"/>
    <n v="78"/>
    <n v="1"/>
  </r>
  <r>
    <n v="325"/>
    <x v="43"/>
    <x v="0"/>
    <s v="Shirt"/>
    <x v="0"/>
    <n v="82"/>
    <s v="Wyoming"/>
    <s v="M"/>
    <s v="Olive"/>
    <x v="2"/>
    <x v="6"/>
    <s v="Yes"/>
    <x v="3"/>
    <x v="0"/>
    <x v="0"/>
    <x v="10"/>
    <x v="0"/>
    <x v="3"/>
    <x v="2"/>
    <n v="82"/>
    <n v="1"/>
  </r>
  <r>
    <n v="326"/>
    <x v="27"/>
    <x v="0"/>
    <s v="Pants"/>
    <x v="0"/>
    <n v="70"/>
    <s v="Vermont"/>
    <s v="M"/>
    <s v="Charcoal"/>
    <x v="0"/>
    <x v="24"/>
    <s v="Yes"/>
    <x v="1"/>
    <x v="0"/>
    <x v="0"/>
    <x v="25"/>
    <x v="5"/>
    <x v="2"/>
    <x v="0"/>
    <n v="70"/>
    <n v="1"/>
  </r>
  <r>
    <n v="327"/>
    <x v="46"/>
    <x v="0"/>
    <s v="Scarf"/>
    <x v="3"/>
    <n v="41"/>
    <s v="New Jersey"/>
    <s v="M"/>
    <s v="White"/>
    <x v="3"/>
    <x v="4"/>
    <s v="Yes"/>
    <x v="5"/>
    <x v="0"/>
    <x v="0"/>
    <x v="26"/>
    <x v="4"/>
    <x v="1"/>
    <x v="0"/>
    <n v="41"/>
    <n v="1"/>
  </r>
  <r>
    <n v="328"/>
    <x v="12"/>
    <x v="0"/>
    <s v="Coat"/>
    <x v="2"/>
    <n v="42"/>
    <s v="Iowa"/>
    <s v="M"/>
    <s v="Teal"/>
    <x v="2"/>
    <x v="0"/>
    <s v="Yes"/>
    <x v="1"/>
    <x v="0"/>
    <x v="0"/>
    <x v="13"/>
    <x v="3"/>
    <x v="1"/>
    <x v="0"/>
    <n v="42"/>
    <n v="1"/>
  </r>
  <r>
    <n v="329"/>
    <x v="39"/>
    <x v="0"/>
    <s v="Coat"/>
    <x v="2"/>
    <n v="50"/>
    <s v="Florida"/>
    <s v="M"/>
    <s v="Yellow"/>
    <x v="3"/>
    <x v="11"/>
    <s v="Yes"/>
    <x v="1"/>
    <x v="0"/>
    <x v="0"/>
    <x v="44"/>
    <x v="2"/>
    <x v="1"/>
    <x v="2"/>
    <n v="50"/>
    <n v="1"/>
  </r>
  <r>
    <n v="330"/>
    <x v="27"/>
    <x v="0"/>
    <s v="Socks"/>
    <x v="0"/>
    <n v="31"/>
    <s v="Nevada"/>
    <s v="S"/>
    <s v="White"/>
    <x v="2"/>
    <x v="3"/>
    <s v="Yes"/>
    <x v="4"/>
    <x v="0"/>
    <x v="0"/>
    <x v="11"/>
    <x v="4"/>
    <x v="5"/>
    <x v="0"/>
    <n v="31"/>
    <n v="1"/>
  </r>
  <r>
    <n v="331"/>
    <x v="5"/>
    <x v="0"/>
    <s v="Sweater"/>
    <x v="0"/>
    <n v="51"/>
    <s v="North Dakota"/>
    <s v="M"/>
    <s v="Beige"/>
    <x v="0"/>
    <x v="18"/>
    <s v="Yes"/>
    <x v="0"/>
    <x v="0"/>
    <x v="0"/>
    <x v="34"/>
    <x v="0"/>
    <x v="4"/>
    <x v="2"/>
    <n v="51"/>
    <n v="1"/>
  </r>
  <r>
    <n v="332"/>
    <x v="18"/>
    <x v="0"/>
    <s v="Shirt"/>
    <x v="0"/>
    <n v="98"/>
    <s v="Florida"/>
    <s v="L"/>
    <s v="Beige"/>
    <x v="3"/>
    <x v="13"/>
    <s v="Yes"/>
    <x v="5"/>
    <x v="0"/>
    <x v="0"/>
    <x v="15"/>
    <x v="3"/>
    <x v="3"/>
    <x v="2"/>
    <n v="98"/>
    <n v="1"/>
  </r>
  <r>
    <n v="333"/>
    <x v="1"/>
    <x v="0"/>
    <s v="Shirt"/>
    <x v="0"/>
    <n v="86"/>
    <s v="New York"/>
    <s v="M"/>
    <s v="Maroon"/>
    <x v="0"/>
    <x v="11"/>
    <s v="Yes"/>
    <x v="4"/>
    <x v="0"/>
    <x v="0"/>
    <x v="36"/>
    <x v="2"/>
    <x v="5"/>
    <x v="1"/>
    <n v="86"/>
    <n v="1"/>
  </r>
  <r>
    <n v="334"/>
    <x v="31"/>
    <x v="0"/>
    <s v="Sweater"/>
    <x v="0"/>
    <n v="64"/>
    <s v="Alaska"/>
    <s v="M"/>
    <s v="Teal"/>
    <x v="0"/>
    <x v="9"/>
    <s v="Yes"/>
    <x v="3"/>
    <x v="0"/>
    <x v="0"/>
    <x v="28"/>
    <x v="4"/>
    <x v="4"/>
    <x v="2"/>
    <n v="64"/>
    <n v="1"/>
  </r>
  <r>
    <n v="335"/>
    <x v="38"/>
    <x v="0"/>
    <s v="Blouse"/>
    <x v="0"/>
    <n v="46"/>
    <s v="Kansas"/>
    <s v="M"/>
    <s v="Lavender"/>
    <x v="3"/>
    <x v="5"/>
    <s v="Yes"/>
    <x v="2"/>
    <x v="0"/>
    <x v="0"/>
    <x v="48"/>
    <x v="2"/>
    <x v="2"/>
    <x v="2"/>
    <n v="46"/>
    <n v="1"/>
  </r>
  <r>
    <n v="336"/>
    <x v="30"/>
    <x v="0"/>
    <s v="Sweater"/>
    <x v="0"/>
    <n v="85"/>
    <s v="Oregon"/>
    <s v="L"/>
    <s v="Maroon"/>
    <x v="1"/>
    <x v="18"/>
    <s v="Yes"/>
    <x v="3"/>
    <x v="0"/>
    <x v="0"/>
    <x v="12"/>
    <x v="0"/>
    <x v="6"/>
    <x v="1"/>
    <n v="85"/>
    <n v="1"/>
  </r>
  <r>
    <n v="337"/>
    <x v="24"/>
    <x v="0"/>
    <s v="Hat"/>
    <x v="3"/>
    <n v="81"/>
    <s v="Rhode Island"/>
    <s v="S"/>
    <s v="Orange"/>
    <x v="3"/>
    <x v="14"/>
    <s v="Yes"/>
    <x v="0"/>
    <x v="0"/>
    <x v="0"/>
    <x v="20"/>
    <x v="3"/>
    <x v="2"/>
    <x v="2"/>
    <n v="81"/>
    <n v="1"/>
  </r>
  <r>
    <n v="338"/>
    <x v="45"/>
    <x v="0"/>
    <s v="Sweater"/>
    <x v="0"/>
    <n v="59"/>
    <s v="New Mexico"/>
    <s v="M"/>
    <s v="Cyan"/>
    <x v="0"/>
    <x v="24"/>
    <s v="Yes"/>
    <x v="4"/>
    <x v="0"/>
    <x v="0"/>
    <x v="20"/>
    <x v="4"/>
    <x v="2"/>
    <x v="2"/>
    <n v="59"/>
    <n v="1"/>
  </r>
  <r>
    <n v="339"/>
    <x v="28"/>
    <x v="0"/>
    <s v="Hoodie"/>
    <x v="0"/>
    <n v="79"/>
    <s v="Massachusetts"/>
    <s v="M"/>
    <s v="Silver"/>
    <x v="0"/>
    <x v="1"/>
    <s v="Yes"/>
    <x v="0"/>
    <x v="0"/>
    <x v="0"/>
    <x v="20"/>
    <x v="1"/>
    <x v="1"/>
    <x v="0"/>
    <n v="79"/>
    <n v="1"/>
  </r>
  <r>
    <n v="340"/>
    <x v="37"/>
    <x v="0"/>
    <s v="Shorts"/>
    <x v="0"/>
    <n v="33"/>
    <s v="Pennsylvania"/>
    <s v="M"/>
    <s v="Teal"/>
    <x v="1"/>
    <x v="22"/>
    <s v="Yes"/>
    <x v="4"/>
    <x v="0"/>
    <x v="0"/>
    <x v="33"/>
    <x v="2"/>
    <x v="6"/>
    <x v="2"/>
    <n v="33"/>
    <n v="1"/>
  </r>
  <r>
    <n v="341"/>
    <x v="37"/>
    <x v="0"/>
    <s v="Shorts"/>
    <x v="0"/>
    <n v="47"/>
    <s v="New Jersey"/>
    <s v="L"/>
    <s v="Blue"/>
    <x v="2"/>
    <x v="1"/>
    <s v="Yes"/>
    <x v="0"/>
    <x v="0"/>
    <x v="0"/>
    <x v="30"/>
    <x v="0"/>
    <x v="6"/>
    <x v="2"/>
    <n v="47"/>
    <n v="1"/>
  </r>
  <r>
    <n v="342"/>
    <x v="30"/>
    <x v="0"/>
    <s v="Hat"/>
    <x v="3"/>
    <n v="20"/>
    <s v="Utah"/>
    <s v="S"/>
    <s v="Blue"/>
    <x v="2"/>
    <x v="12"/>
    <s v="Yes"/>
    <x v="5"/>
    <x v="0"/>
    <x v="0"/>
    <x v="19"/>
    <x v="5"/>
    <x v="4"/>
    <x v="1"/>
    <n v="20"/>
    <n v="1"/>
  </r>
  <r>
    <n v="343"/>
    <x v="14"/>
    <x v="0"/>
    <s v="Coat"/>
    <x v="2"/>
    <n v="36"/>
    <s v="Kentucky"/>
    <s v="M"/>
    <s v="Olive"/>
    <x v="1"/>
    <x v="5"/>
    <s v="Yes"/>
    <x v="2"/>
    <x v="0"/>
    <x v="0"/>
    <x v="26"/>
    <x v="2"/>
    <x v="6"/>
    <x v="0"/>
    <n v="36"/>
    <n v="1"/>
  </r>
  <r>
    <n v="344"/>
    <x v="7"/>
    <x v="0"/>
    <s v="Sandals"/>
    <x v="1"/>
    <n v="39"/>
    <s v="Nebraska"/>
    <s v="M"/>
    <s v="Purple"/>
    <x v="2"/>
    <x v="14"/>
    <s v="Yes"/>
    <x v="2"/>
    <x v="0"/>
    <x v="0"/>
    <x v="8"/>
    <x v="0"/>
    <x v="5"/>
    <x v="2"/>
    <n v="39"/>
    <n v="1"/>
  </r>
  <r>
    <n v="345"/>
    <x v="41"/>
    <x v="0"/>
    <s v="Skirt"/>
    <x v="0"/>
    <n v="71"/>
    <s v="Virginia"/>
    <s v="M"/>
    <s v="Charcoal"/>
    <x v="0"/>
    <x v="17"/>
    <s v="Yes"/>
    <x v="3"/>
    <x v="0"/>
    <x v="0"/>
    <x v="15"/>
    <x v="5"/>
    <x v="5"/>
    <x v="1"/>
    <n v="71"/>
    <n v="1"/>
  </r>
  <r>
    <n v="346"/>
    <x v="39"/>
    <x v="0"/>
    <s v="Shoes"/>
    <x v="1"/>
    <n v="59"/>
    <s v="Wyoming"/>
    <s v="S"/>
    <s v="Olive"/>
    <x v="0"/>
    <x v="14"/>
    <s v="Yes"/>
    <x v="2"/>
    <x v="0"/>
    <x v="0"/>
    <x v="46"/>
    <x v="4"/>
    <x v="2"/>
    <x v="2"/>
    <n v="59"/>
    <n v="1"/>
  </r>
  <r>
    <n v="347"/>
    <x v="34"/>
    <x v="0"/>
    <s v="Jeans"/>
    <x v="0"/>
    <n v="50"/>
    <s v="New Mexico"/>
    <s v="L"/>
    <s v="Violet"/>
    <x v="1"/>
    <x v="10"/>
    <s v="Yes"/>
    <x v="2"/>
    <x v="0"/>
    <x v="0"/>
    <x v="36"/>
    <x v="1"/>
    <x v="1"/>
    <x v="2"/>
    <n v="50"/>
    <n v="1"/>
  </r>
  <r>
    <n v="348"/>
    <x v="24"/>
    <x v="0"/>
    <s v="Sandals"/>
    <x v="1"/>
    <n v="41"/>
    <s v="Oregon"/>
    <s v="L"/>
    <s v="Red"/>
    <x v="3"/>
    <x v="20"/>
    <s v="Yes"/>
    <x v="5"/>
    <x v="0"/>
    <x v="0"/>
    <x v="34"/>
    <x v="3"/>
    <x v="0"/>
    <x v="2"/>
    <n v="41"/>
    <n v="1"/>
  </r>
  <r>
    <n v="349"/>
    <x v="19"/>
    <x v="0"/>
    <s v="Blouse"/>
    <x v="0"/>
    <n v="59"/>
    <s v="South Carolina"/>
    <s v="M"/>
    <s v="Beige"/>
    <x v="3"/>
    <x v="2"/>
    <s v="Yes"/>
    <x v="1"/>
    <x v="0"/>
    <x v="0"/>
    <x v="14"/>
    <x v="3"/>
    <x v="0"/>
    <x v="0"/>
    <n v="59"/>
    <n v="1"/>
  </r>
  <r>
    <n v="350"/>
    <x v="43"/>
    <x v="0"/>
    <s v="Hat"/>
    <x v="3"/>
    <n v="87"/>
    <s v="Arizona"/>
    <s v="M"/>
    <s v="Green"/>
    <x v="0"/>
    <x v="18"/>
    <s v="Yes"/>
    <x v="4"/>
    <x v="0"/>
    <x v="0"/>
    <x v="35"/>
    <x v="4"/>
    <x v="4"/>
    <x v="2"/>
    <n v="87"/>
    <n v="1"/>
  </r>
  <r>
    <n v="351"/>
    <x v="32"/>
    <x v="0"/>
    <s v="Sweater"/>
    <x v="0"/>
    <n v="68"/>
    <s v="Kentucky"/>
    <s v="M"/>
    <s v="Violet"/>
    <x v="1"/>
    <x v="5"/>
    <s v="Yes"/>
    <x v="4"/>
    <x v="0"/>
    <x v="0"/>
    <x v="39"/>
    <x v="4"/>
    <x v="0"/>
    <x v="2"/>
    <n v="68"/>
    <n v="1"/>
  </r>
  <r>
    <n v="352"/>
    <x v="48"/>
    <x v="0"/>
    <s v="Skirt"/>
    <x v="0"/>
    <n v="90"/>
    <s v="New York"/>
    <s v="M"/>
    <s v="Teal"/>
    <x v="0"/>
    <x v="20"/>
    <s v="Yes"/>
    <x v="3"/>
    <x v="0"/>
    <x v="0"/>
    <x v="37"/>
    <x v="5"/>
    <x v="4"/>
    <x v="2"/>
    <n v="90"/>
    <n v="1"/>
  </r>
  <r>
    <n v="353"/>
    <x v="7"/>
    <x v="0"/>
    <s v="Jeans"/>
    <x v="0"/>
    <n v="71"/>
    <s v="Texas"/>
    <s v="XL"/>
    <s v="Yellow"/>
    <x v="3"/>
    <x v="8"/>
    <s v="Yes"/>
    <x v="2"/>
    <x v="0"/>
    <x v="0"/>
    <x v="45"/>
    <x v="1"/>
    <x v="6"/>
    <x v="2"/>
    <n v="71"/>
    <n v="1"/>
  </r>
  <r>
    <n v="354"/>
    <x v="6"/>
    <x v="0"/>
    <s v="Sneakers"/>
    <x v="1"/>
    <n v="64"/>
    <s v="Missouri"/>
    <s v="L"/>
    <s v="Yellow"/>
    <x v="3"/>
    <x v="7"/>
    <s v="Yes"/>
    <x v="5"/>
    <x v="0"/>
    <x v="0"/>
    <x v="31"/>
    <x v="5"/>
    <x v="5"/>
    <x v="0"/>
    <n v="64"/>
    <n v="1"/>
  </r>
  <r>
    <n v="355"/>
    <x v="44"/>
    <x v="0"/>
    <s v="Jewelry"/>
    <x v="3"/>
    <n v="76"/>
    <s v="Pennsylvania"/>
    <s v="S"/>
    <s v="Olive"/>
    <x v="3"/>
    <x v="21"/>
    <s v="Yes"/>
    <x v="1"/>
    <x v="0"/>
    <x v="0"/>
    <x v="38"/>
    <x v="0"/>
    <x v="1"/>
    <x v="0"/>
    <n v="76"/>
    <n v="1"/>
  </r>
  <r>
    <n v="356"/>
    <x v="43"/>
    <x v="0"/>
    <s v="Jewelry"/>
    <x v="3"/>
    <n v="42"/>
    <s v="Oregon"/>
    <s v="XL"/>
    <s v="Magenta"/>
    <x v="3"/>
    <x v="7"/>
    <s v="Yes"/>
    <x v="4"/>
    <x v="0"/>
    <x v="0"/>
    <x v="43"/>
    <x v="3"/>
    <x v="6"/>
    <x v="2"/>
    <n v="42"/>
    <n v="1"/>
  </r>
  <r>
    <n v="357"/>
    <x v="19"/>
    <x v="0"/>
    <s v="Pants"/>
    <x v="0"/>
    <n v="80"/>
    <s v="Nevada"/>
    <s v="L"/>
    <s v="Black"/>
    <x v="1"/>
    <x v="22"/>
    <s v="Yes"/>
    <x v="3"/>
    <x v="0"/>
    <x v="0"/>
    <x v="46"/>
    <x v="1"/>
    <x v="1"/>
    <x v="0"/>
    <n v="80"/>
    <n v="1"/>
  </r>
  <r>
    <n v="358"/>
    <x v="20"/>
    <x v="0"/>
    <s v="Belt"/>
    <x v="3"/>
    <n v="56"/>
    <s v="Arkansas"/>
    <s v="M"/>
    <s v="Olive"/>
    <x v="1"/>
    <x v="17"/>
    <s v="Yes"/>
    <x v="3"/>
    <x v="0"/>
    <x v="0"/>
    <x v="20"/>
    <x v="2"/>
    <x v="4"/>
    <x v="1"/>
    <n v="56"/>
    <n v="1"/>
  </r>
  <r>
    <n v="359"/>
    <x v="39"/>
    <x v="0"/>
    <s v="Hat"/>
    <x v="3"/>
    <n v="25"/>
    <s v="Minnesota"/>
    <s v="XL"/>
    <s v="Magenta"/>
    <x v="2"/>
    <x v="15"/>
    <s v="Yes"/>
    <x v="0"/>
    <x v="0"/>
    <x v="0"/>
    <x v="13"/>
    <x v="2"/>
    <x v="6"/>
    <x v="2"/>
    <n v="25"/>
    <n v="1"/>
  </r>
  <r>
    <n v="360"/>
    <x v="18"/>
    <x v="0"/>
    <s v="Sneakers"/>
    <x v="1"/>
    <n v="74"/>
    <s v="Georgia"/>
    <s v="M"/>
    <s v="Olive"/>
    <x v="0"/>
    <x v="21"/>
    <s v="Yes"/>
    <x v="5"/>
    <x v="0"/>
    <x v="0"/>
    <x v="48"/>
    <x v="2"/>
    <x v="6"/>
    <x v="2"/>
    <n v="74"/>
    <n v="1"/>
  </r>
  <r>
    <n v="361"/>
    <x v="47"/>
    <x v="0"/>
    <s v="Pants"/>
    <x v="0"/>
    <n v="30"/>
    <s v="Rhode Island"/>
    <s v="M"/>
    <s v="Teal"/>
    <x v="2"/>
    <x v="21"/>
    <s v="Yes"/>
    <x v="3"/>
    <x v="0"/>
    <x v="0"/>
    <x v="27"/>
    <x v="5"/>
    <x v="0"/>
    <x v="0"/>
    <n v="30"/>
    <n v="1"/>
  </r>
  <r>
    <n v="362"/>
    <x v="13"/>
    <x v="0"/>
    <s v="T-shirt"/>
    <x v="0"/>
    <n v="96"/>
    <s v="Nevada"/>
    <s v="M"/>
    <s v="White"/>
    <x v="1"/>
    <x v="5"/>
    <s v="Yes"/>
    <x v="1"/>
    <x v="0"/>
    <x v="0"/>
    <x v="24"/>
    <x v="1"/>
    <x v="2"/>
    <x v="0"/>
    <n v="96"/>
    <n v="1"/>
  </r>
  <r>
    <n v="363"/>
    <x v="10"/>
    <x v="0"/>
    <s v="Sneakers"/>
    <x v="1"/>
    <n v="64"/>
    <s v="Texas"/>
    <s v="M"/>
    <s v="Charcoal"/>
    <x v="3"/>
    <x v="23"/>
    <s v="Yes"/>
    <x v="1"/>
    <x v="0"/>
    <x v="0"/>
    <x v="43"/>
    <x v="0"/>
    <x v="0"/>
    <x v="0"/>
    <n v="64"/>
    <n v="1"/>
  </r>
  <r>
    <n v="364"/>
    <x v="0"/>
    <x v="0"/>
    <s v="Shorts"/>
    <x v="0"/>
    <n v="88"/>
    <s v="Florida"/>
    <s v="L"/>
    <s v="Yellow"/>
    <x v="0"/>
    <x v="0"/>
    <s v="Yes"/>
    <x v="1"/>
    <x v="0"/>
    <x v="0"/>
    <x v="38"/>
    <x v="4"/>
    <x v="0"/>
    <x v="0"/>
    <n v="88"/>
    <n v="1"/>
  </r>
  <r>
    <n v="365"/>
    <x v="46"/>
    <x v="0"/>
    <s v="Shoes"/>
    <x v="1"/>
    <n v="88"/>
    <s v="North Dakota"/>
    <s v="L"/>
    <s v="Charcoal"/>
    <x v="2"/>
    <x v="21"/>
    <s v="Yes"/>
    <x v="1"/>
    <x v="0"/>
    <x v="0"/>
    <x v="22"/>
    <x v="0"/>
    <x v="6"/>
    <x v="0"/>
    <n v="88"/>
    <n v="1"/>
  </r>
  <r>
    <n v="366"/>
    <x v="0"/>
    <x v="0"/>
    <s v="Gloves"/>
    <x v="3"/>
    <n v="88"/>
    <s v="West Virginia"/>
    <s v="XL"/>
    <s v="Gray"/>
    <x v="2"/>
    <x v="18"/>
    <s v="Yes"/>
    <x v="3"/>
    <x v="0"/>
    <x v="0"/>
    <x v="16"/>
    <x v="3"/>
    <x v="3"/>
    <x v="0"/>
    <n v="88"/>
    <n v="1"/>
  </r>
  <r>
    <n v="367"/>
    <x v="14"/>
    <x v="0"/>
    <s v="Socks"/>
    <x v="0"/>
    <n v="36"/>
    <s v="Nebraska"/>
    <s v="M"/>
    <s v="Turquoise"/>
    <x v="1"/>
    <x v="1"/>
    <s v="Yes"/>
    <x v="5"/>
    <x v="0"/>
    <x v="0"/>
    <x v="10"/>
    <x v="0"/>
    <x v="0"/>
    <x v="0"/>
    <n v="36"/>
    <n v="1"/>
  </r>
  <r>
    <n v="368"/>
    <x v="16"/>
    <x v="0"/>
    <s v="Dress"/>
    <x v="0"/>
    <n v="40"/>
    <s v="Tennessee"/>
    <s v="XL"/>
    <s v="Cyan"/>
    <x v="1"/>
    <x v="11"/>
    <s v="Yes"/>
    <x v="5"/>
    <x v="0"/>
    <x v="0"/>
    <x v="27"/>
    <x v="4"/>
    <x v="5"/>
    <x v="0"/>
    <n v="40"/>
    <n v="1"/>
  </r>
  <r>
    <n v="369"/>
    <x v="41"/>
    <x v="0"/>
    <s v="Handbag"/>
    <x v="3"/>
    <n v="39"/>
    <s v="Oklahoma"/>
    <s v="M"/>
    <s v="Charcoal"/>
    <x v="1"/>
    <x v="9"/>
    <s v="Yes"/>
    <x v="3"/>
    <x v="0"/>
    <x v="0"/>
    <x v="32"/>
    <x v="1"/>
    <x v="5"/>
    <x v="1"/>
    <n v="39"/>
    <n v="1"/>
  </r>
  <r>
    <n v="370"/>
    <x v="21"/>
    <x v="0"/>
    <s v="Belt"/>
    <x v="3"/>
    <n v="40"/>
    <s v="Wisconsin"/>
    <s v="M"/>
    <s v="Silver"/>
    <x v="2"/>
    <x v="13"/>
    <s v="Yes"/>
    <x v="5"/>
    <x v="0"/>
    <x v="0"/>
    <x v="24"/>
    <x v="3"/>
    <x v="3"/>
    <x v="2"/>
    <n v="40"/>
    <n v="1"/>
  </r>
  <r>
    <n v="371"/>
    <x v="35"/>
    <x v="0"/>
    <s v="Scarf"/>
    <x v="3"/>
    <n v="34"/>
    <s v="Oregon"/>
    <s v="M"/>
    <s v="Olive"/>
    <x v="0"/>
    <x v="23"/>
    <s v="Yes"/>
    <x v="0"/>
    <x v="0"/>
    <x v="0"/>
    <x v="21"/>
    <x v="3"/>
    <x v="1"/>
    <x v="0"/>
    <n v="34"/>
    <n v="1"/>
  </r>
  <r>
    <n v="372"/>
    <x v="7"/>
    <x v="0"/>
    <s v="Sneakers"/>
    <x v="1"/>
    <n v="83"/>
    <s v="North Carolina"/>
    <s v="S"/>
    <s v="Pink"/>
    <x v="0"/>
    <x v="4"/>
    <s v="Yes"/>
    <x v="4"/>
    <x v="0"/>
    <x v="0"/>
    <x v="39"/>
    <x v="3"/>
    <x v="5"/>
    <x v="2"/>
    <n v="83"/>
    <n v="1"/>
  </r>
  <r>
    <n v="373"/>
    <x v="41"/>
    <x v="0"/>
    <s v="Sweater"/>
    <x v="0"/>
    <n v="85"/>
    <s v="Pennsylvania"/>
    <s v="L"/>
    <s v="Orange"/>
    <x v="2"/>
    <x v="18"/>
    <s v="Yes"/>
    <x v="3"/>
    <x v="0"/>
    <x v="0"/>
    <x v="22"/>
    <x v="5"/>
    <x v="1"/>
    <x v="1"/>
    <n v="85"/>
    <n v="1"/>
  </r>
  <r>
    <n v="374"/>
    <x v="51"/>
    <x v="0"/>
    <s v="Coat"/>
    <x v="2"/>
    <n v="27"/>
    <s v="North Dakota"/>
    <s v="L"/>
    <s v="White"/>
    <x v="2"/>
    <x v="12"/>
    <s v="Yes"/>
    <x v="0"/>
    <x v="0"/>
    <x v="0"/>
    <x v="47"/>
    <x v="0"/>
    <x v="4"/>
    <x v="1"/>
    <n v="27"/>
    <n v="1"/>
  </r>
  <r>
    <n v="375"/>
    <x v="28"/>
    <x v="0"/>
    <s v="Jewelry"/>
    <x v="3"/>
    <n v="78"/>
    <s v="Ohio"/>
    <s v="S"/>
    <s v="Purple"/>
    <x v="1"/>
    <x v="16"/>
    <s v="Yes"/>
    <x v="5"/>
    <x v="0"/>
    <x v="0"/>
    <x v="30"/>
    <x v="4"/>
    <x v="5"/>
    <x v="0"/>
    <n v="78"/>
    <n v="1"/>
  </r>
  <r>
    <n v="376"/>
    <x v="35"/>
    <x v="0"/>
    <s v="Sunglasses"/>
    <x v="3"/>
    <n v="32"/>
    <s v="Oklahoma"/>
    <s v="M"/>
    <s v="Olive"/>
    <x v="2"/>
    <x v="14"/>
    <s v="Yes"/>
    <x v="3"/>
    <x v="0"/>
    <x v="0"/>
    <x v="49"/>
    <x v="5"/>
    <x v="3"/>
    <x v="0"/>
    <n v="32"/>
    <n v="1"/>
  </r>
  <r>
    <n v="377"/>
    <x v="47"/>
    <x v="0"/>
    <s v="Shoes"/>
    <x v="1"/>
    <n v="51"/>
    <s v="South Carolina"/>
    <s v="S"/>
    <s v="Gray"/>
    <x v="3"/>
    <x v="8"/>
    <s v="Yes"/>
    <x v="0"/>
    <x v="0"/>
    <x v="0"/>
    <x v="1"/>
    <x v="0"/>
    <x v="4"/>
    <x v="0"/>
    <n v="51"/>
    <n v="1"/>
  </r>
  <r>
    <n v="378"/>
    <x v="6"/>
    <x v="0"/>
    <s v="Scarf"/>
    <x v="3"/>
    <n v="32"/>
    <s v="Maine"/>
    <s v="M"/>
    <s v="Silver"/>
    <x v="1"/>
    <x v="7"/>
    <s v="Yes"/>
    <x v="3"/>
    <x v="0"/>
    <x v="0"/>
    <x v="30"/>
    <x v="2"/>
    <x v="6"/>
    <x v="0"/>
    <n v="32"/>
    <n v="1"/>
  </r>
  <r>
    <n v="379"/>
    <x v="22"/>
    <x v="0"/>
    <s v="Dress"/>
    <x v="0"/>
    <n v="62"/>
    <s v="Nevada"/>
    <s v="L"/>
    <s v="Orange"/>
    <x v="0"/>
    <x v="8"/>
    <s v="Yes"/>
    <x v="2"/>
    <x v="0"/>
    <x v="0"/>
    <x v="2"/>
    <x v="2"/>
    <x v="5"/>
    <x v="0"/>
    <n v="62"/>
    <n v="1"/>
  </r>
  <r>
    <n v="380"/>
    <x v="45"/>
    <x v="0"/>
    <s v="T-shirt"/>
    <x v="0"/>
    <n v="29"/>
    <s v="Montana"/>
    <s v="S"/>
    <s v="Magenta"/>
    <x v="3"/>
    <x v="10"/>
    <s v="Yes"/>
    <x v="4"/>
    <x v="0"/>
    <x v="0"/>
    <x v="15"/>
    <x v="5"/>
    <x v="4"/>
    <x v="2"/>
    <n v="29"/>
    <n v="1"/>
  </r>
  <r>
    <n v="381"/>
    <x v="31"/>
    <x v="0"/>
    <s v="Backpack"/>
    <x v="3"/>
    <n v="69"/>
    <s v="New Hampshire"/>
    <s v="XL"/>
    <s v="Beige"/>
    <x v="3"/>
    <x v="21"/>
    <s v="Yes"/>
    <x v="5"/>
    <x v="0"/>
    <x v="0"/>
    <x v="5"/>
    <x v="4"/>
    <x v="1"/>
    <x v="2"/>
    <n v="69"/>
    <n v="1"/>
  </r>
  <r>
    <n v="382"/>
    <x v="17"/>
    <x v="0"/>
    <s v="Jewelry"/>
    <x v="3"/>
    <n v="25"/>
    <s v="Maine"/>
    <s v="L"/>
    <s v="Lavender"/>
    <x v="0"/>
    <x v="23"/>
    <s v="Yes"/>
    <x v="5"/>
    <x v="0"/>
    <x v="0"/>
    <x v="35"/>
    <x v="2"/>
    <x v="6"/>
    <x v="0"/>
    <n v="25"/>
    <n v="1"/>
  </r>
  <r>
    <n v="383"/>
    <x v="48"/>
    <x v="0"/>
    <s v="Jeans"/>
    <x v="0"/>
    <n v="76"/>
    <s v="California"/>
    <s v="M"/>
    <s v="Peach"/>
    <x v="0"/>
    <x v="4"/>
    <s v="Yes"/>
    <x v="5"/>
    <x v="0"/>
    <x v="0"/>
    <x v="39"/>
    <x v="3"/>
    <x v="3"/>
    <x v="2"/>
    <n v="76"/>
    <n v="1"/>
  </r>
  <r>
    <n v="384"/>
    <x v="2"/>
    <x v="0"/>
    <s v="Sunglasses"/>
    <x v="3"/>
    <n v="77"/>
    <s v="West Virginia"/>
    <s v="S"/>
    <s v="Magenta"/>
    <x v="3"/>
    <x v="3"/>
    <s v="Yes"/>
    <x v="3"/>
    <x v="0"/>
    <x v="0"/>
    <x v="49"/>
    <x v="3"/>
    <x v="3"/>
    <x v="2"/>
    <n v="77"/>
    <n v="1"/>
  </r>
  <r>
    <n v="385"/>
    <x v="27"/>
    <x v="0"/>
    <s v="Sweater"/>
    <x v="0"/>
    <n v="33"/>
    <s v="California"/>
    <s v="M"/>
    <s v="Beige"/>
    <x v="3"/>
    <x v="9"/>
    <s v="Yes"/>
    <x v="4"/>
    <x v="0"/>
    <x v="0"/>
    <x v="49"/>
    <x v="0"/>
    <x v="2"/>
    <x v="0"/>
    <n v="33"/>
    <n v="1"/>
  </r>
  <r>
    <n v="386"/>
    <x v="29"/>
    <x v="0"/>
    <s v="Shorts"/>
    <x v="0"/>
    <n v="93"/>
    <s v="West Virginia"/>
    <s v="S"/>
    <s v="Yellow"/>
    <x v="3"/>
    <x v="2"/>
    <s v="Yes"/>
    <x v="2"/>
    <x v="0"/>
    <x v="0"/>
    <x v="45"/>
    <x v="2"/>
    <x v="4"/>
    <x v="0"/>
    <n v="93"/>
    <n v="1"/>
  </r>
  <r>
    <n v="387"/>
    <x v="14"/>
    <x v="0"/>
    <s v="Jewelry"/>
    <x v="3"/>
    <n v="39"/>
    <s v="Louisiana"/>
    <s v="L"/>
    <s v="Brown"/>
    <x v="1"/>
    <x v="23"/>
    <s v="Yes"/>
    <x v="0"/>
    <x v="0"/>
    <x v="0"/>
    <x v="19"/>
    <x v="3"/>
    <x v="3"/>
    <x v="0"/>
    <n v="39"/>
    <n v="1"/>
  </r>
  <r>
    <n v="388"/>
    <x v="4"/>
    <x v="0"/>
    <s v="Coat"/>
    <x v="2"/>
    <n v="93"/>
    <s v="Georgia"/>
    <s v="L"/>
    <s v="Silver"/>
    <x v="2"/>
    <x v="12"/>
    <s v="Yes"/>
    <x v="5"/>
    <x v="0"/>
    <x v="0"/>
    <x v="25"/>
    <x v="3"/>
    <x v="0"/>
    <x v="2"/>
    <n v="93"/>
    <n v="1"/>
  </r>
  <r>
    <n v="389"/>
    <x v="40"/>
    <x v="0"/>
    <s v="Handbag"/>
    <x v="3"/>
    <n v="82"/>
    <s v="Washington"/>
    <s v="M"/>
    <s v="Orange"/>
    <x v="2"/>
    <x v="2"/>
    <s v="Yes"/>
    <x v="5"/>
    <x v="0"/>
    <x v="0"/>
    <x v="9"/>
    <x v="3"/>
    <x v="3"/>
    <x v="1"/>
    <n v="82"/>
    <n v="1"/>
  </r>
  <r>
    <n v="390"/>
    <x v="7"/>
    <x v="0"/>
    <s v="Boots"/>
    <x v="1"/>
    <n v="42"/>
    <s v="Virginia"/>
    <s v="L"/>
    <s v="Purple"/>
    <x v="1"/>
    <x v="19"/>
    <s v="Yes"/>
    <x v="3"/>
    <x v="0"/>
    <x v="0"/>
    <x v="40"/>
    <x v="4"/>
    <x v="5"/>
    <x v="2"/>
    <n v="42"/>
    <n v="1"/>
  </r>
  <r>
    <n v="391"/>
    <x v="15"/>
    <x v="0"/>
    <s v="Gloves"/>
    <x v="3"/>
    <n v="71"/>
    <s v="Indiana"/>
    <s v="M"/>
    <s v="Indigo"/>
    <x v="0"/>
    <x v="4"/>
    <s v="Yes"/>
    <x v="4"/>
    <x v="0"/>
    <x v="0"/>
    <x v="5"/>
    <x v="3"/>
    <x v="2"/>
    <x v="1"/>
    <n v="71"/>
    <n v="1"/>
  </r>
  <r>
    <n v="392"/>
    <x v="43"/>
    <x v="0"/>
    <s v="Sweater"/>
    <x v="0"/>
    <n v="86"/>
    <s v="Minnesota"/>
    <s v="L"/>
    <s v="Gray"/>
    <x v="1"/>
    <x v="6"/>
    <s v="Yes"/>
    <x v="3"/>
    <x v="0"/>
    <x v="0"/>
    <x v="29"/>
    <x v="1"/>
    <x v="0"/>
    <x v="2"/>
    <n v="86"/>
    <n v="1"/>
  </r>
  <r>
    <n v="393"/>
    <x v="8"/>
    <x v="0"/>
    <s v="T-shirt"/>
    <x v="0"/>
    <n v="82"/>
    <s v="Idaho"/>
    <s v="XL"/>
    <s v="Black"/>
    <x v="1"/>
    <x v="13"/>
    <s v="Yes"/>
    <x v="2"/>
    <x v="0"/>
    <x v="0"/>
    <x v="25"/>
    <x v="2"/>
    <x v="2"/>
    <x v="2"/>
    <n v="82"/>
    <n v="1"/>
  </r>
  <r>
    <n v="394"/>
    <x v="23"/>
    <x v="0"/>
    <s v="Shoes"/>
    <x v="1"/>
    <n v="65"/>
    <s v="Vermont"/>
    <s v="L"/>
    <s v="Maroon"/>
    <x v="3"/>
    <x v="19"/>
    <s v="Yes"/>
    <x v="3"/>
    <x v="0"/>
    <x v="0"/>
    <x v="49"/>
    <x v="3"/>
    <x v="0"/>
    <x v="2"/>
    <n v="65"/>
    <n v="1"/>
  </r>
  <r>
    <n v="395"/>
    <x v="49"/>
    <x v="0"/>
    <s v="Scarf"/>
    <x v="3"/>
    <n v="29"/>
    <s v="North Dakota"/>
    <s v="M"/>
    <s v="Beige"/>
    <x v="1"/>
    <x v="6"/>
    <s v="Yes"/>
    <x v="5"/>
    <x v="0"/>
    <x v="0"/>
    <x v="22"/>
    <x v="5"/>
    <x v="4"/>
    <x v="2"/>
    <n v="29"/>
    <n v="1"/>
  </r>
  <r>
    <n v="396"/>
    <x v="43"/>
    <x v="0"/>
    <s v="Sneakers"/>
    <x v="1"/>
    <n v="65"/>
    <s v="Rhode Island"/>
    <s v="L"/>
    <s v="Brown"/>
    <x v="0"/>
    <x v="8"/>
    <s v="Yes"/>
    <x v="5"/>
    <x v="0"/>
    <x v="0"/>
    <x v="1"/>
    <x v="3"/>
    <x v="2"/>
    <x v="2"/>
    <n v="65"/>
    <n v="1"/>
  </r>
  <r>
    <n v="397"/>
    <x v="5"/>
    <x v="0"/>
    <s v="Dress"/>
    <x v="0"/>
    <n v="88"/>
    <s v="South Carolina"/>
    <s v="S"/>
    <s v="Black"/>
    <x v="3"/>
    <x v="20"/>
    <s v="Yes"/>
    <x v="3"/>
    <x v="0"/>
    <x v="0"/>
    <x v="37"/>
    <x v="4"/>
    <x v="2"/>
    <x v="2"/>
    <n v="88"/>
    <n v="1"/>
  </r>
  <r>
    <n v="398"/>
    <x v="40"/>
    <x v="0"/>
    <s v="Belt"/>
    <x v="3"/>
    <n v="46"/>
    <s v="Mississippi"/>
    <s v="M"/>
    <s v="Indigo"/>
    <x v="3"/>
    <x v="21"/>
    <s v="Yes"/>
    <x v="1"/>
    <x v="0"/>
    <x v="0"/>
    <x v="8"/>
    <x v="1"/>
    <x v="2"/>
    <x v="1"/>
    <n v="46"/>
    <n v="1"/>
  </r>
  <r>
    <n v="399"/>
    <x v="30"/>
    <x v="0"/>
    <s v="Boots"/>
    <x v="1"/>
    <n v="67"/>
    <s v="Montana"/>
    <s v="S"/>
    <s v="Silver"/>
    <x v="0"/>
    <x v="12"/>
    <s v="Yes"/>
    <x v="1"/>
    <x v="0"/>
    <x v="0"/>
    <x v="29"/>
    <x v="5"/>
    <x v="6"/>
    <x v="1"/>
    <n v="67"/>
    <n v="1"/>
  </r>
  <r>
    <n v="400"/>
    <x v="52"/>
    <x v="0"/>
    <s v="Scarf"/>
    <x v="3"/>
    <n v="35"/>
    <s v="Idaho"/>
    <s v="L"/>
    <s v="Blue"/>
    <x v="3"/>
    <x v="1"/>
    <s v="Yes"/>
    <x v="4"/>
    <x v="0"/>
    <x v="0"/>
    <x v="9"/>
    <x v="5"/>
    <x v="5"/>
    <x v="0"/>
    <n v="35"/>
    <n v="1"/>
  </r>
  <r>
    <n v="401"/>
    <x v="31"/>
    <x v="0"/>
    <s v="Boots"/>
    <x v="1"/>
    <n v="66"/>
    <s v="Utah"/>
    <s v="M"/>
    <s v="Green"/>
    <x v="0"/>
    <x v="6"/>
    <s v="Yes"/>
    <x v="1"/>
    <x v="0"/>
    <x v="0"/>
    <x v="0"/>
    <x v="3"/>
    <x v="0"/>
    <x v="2"/>
    <n v="66"/>
    <n v="1"/>
  </r>
  <r>
    <n v="402"/>
    <x v="49"/>
    <x v="0"/>
    <s v="T-shirt"/>
    <x v="0"/>
    <n v="91"/>
    <s v="Oklahoma"/>
    <s v="L"/>
    <s v="Orange"/>
    <x v="3"/>
    <x v="6"/>
    <s v="Yes"/>
    <x v="3"/>
    <x v="0"/>
    <x v="0"/>
    <x v="33"/>
    <x v="1"/>
    <x v="3"/>
    <x v="2"/>
    <n v="91"/>
    <n v="1"/>
  </r>
  <r>
    <n v="403"/>
    <x v="18"/>
    <x v="0"/>
    <s v="Backpack"/>
    <x v="3"/>
    <n v="78"/>
    <s v="California"/>
    <s v="L"/>
    <s v="Cyan"/>
    <x v="3"/>
    <x v="21"/>
    <s v="Yes"/>
    <x v="0"/>
    <x v="0"/>
    <x v="0"/>
    <x v="8"/>
    <x v="3"/>
    <x v="5"/>
    <x v="2"/>
    <n v="78"/>
    <n v="1"/>
  </r>
  <r>
    <n v="404"/>
    <x v="1"/>
    <x v="0"/>
    <s v="Sneakers"/>
    <x v="1"/>
    <n v="45"/>
    <s v="Nevada"/>
    <s v="M"/>
    <s v="Orange"/>
    <x v="0"/>
    <x v="9"/>
    <s v="Yes"/>
    <x v="2"/>
    <x v="0"/>
    <x v="0"/>
    <x v="45"/>
    <x v="4"/>
    <x v="2"/>
    <x v="1"/>
    <n v="45"/>
    <n v="1"/>
  </r>
  <r>
    <n v="405"/>
    <x v="25"/>
    <x v="0"/>
    <s v="T-shirt"/>
    <x v="0"/>
    <n v="93"/>
    <s v="Delaware"/>
    <s v="M"/>
    <s v="Indigo"/>
    <x v="1"/>
    <x v="6"/>
    <s v="Yes"/>
    <x v="5"/>
    <x v="0"/>
    <x v="0"/>
    <x v="47"/>
    <x v="2"/>
    <x v="5"/>
    <x v="2"/>
    <n v="93"/>
    <n v="1"/>
  </r>
  <r>
    <n v="406"/>
    <x v="38"/>
    <x v="0"/>
    <s v="Jeans"/>
    <x v="0"/>
    <n v="74"/>
    <s v="South Carolina"/>
    <s v="S"/>
    <s v="Silver"/>
    <x v="2"/>
    <x v="22"/>
    <s v="Yes"/>
    <x v="3"/>
    <x v="0"/>
    <x v="0"/>
    <x v="28"/>
    <x v="1"/>
    <x v="2"/>
    <x v="2"/>
    <n v="74"/>
    <n v="1"/>
  </r>
  <r>
    <n v="407"/>
    <x v="16"/>
    <x v="0"/>
    <s v="Gloves"/>
    <x v="3"/>
    <n v="55"/>
    <s v="Maryland"/>
    <s v="M"/>
    <s v="Peach"/>
    <x v="1"/>
    <x v="12"/>
    <s v="Yes"/>
    <x v="0"/>
    <x v="0"/>
    <x v="0"/>
    <x v="21"/>
    <x v="1"/>
    <x v="5"/>
    <x v="0"/>
    <n v="55"/>
    <n v="1"/>
  </r>
  <r>
    <n v="408"/>
    <x v="4"/>
    <x v="0"/>
    <s v="Hoodie"/>
    <x v="0"/>
    <n v="76"/>
    <s v="North Carolina"/>
    <s v="XL"/>
    <s v="Teal"/>
    <x v="1"/>
    <x v="0"/>
    <s v="Yes"/>
    <x v="2"/>
    <x v="0"/>
    <x v="0"/>
    <x v="36"/>
    <x v="2"/>
    <x v="4"/>
    <x v="2"/>
    <n v="76"/>
    <n v="1"/>
  </r>
  <r>
    <n v="409"/>
    <x v="50"/>
    <x v="0"/>
    <s v="Sneakers"/>
    <x v="1"/>
    <n v="66"/>
    <s v="Alabama"/>
    <s v="L"/>
    <s v="White"/>
    <x v="1"/>
    <x v="23"/>
    <s v="Yes"/>
    <x v="0"/>
    <x v="0"/>
    <x v="0"/>
    <x v="13"/>
    <x v="1"/>
    <x v="0"/>
    <x v="2"/>
    <n v="66"/>
    <n v="1"/>
  </r>
  <r>
    <n v="410"/>
    <x v="25"/>
    <x v="0"/>
    <s v="Shorts"/>
    <x v="0"/>
    <n v="51"/>
    <s v="Minnesota"/>
    <s v="M"/>
    <s v="Brown"/>
    <x v="0"/>
    <x v="13"/>
    <s v="Yes"/>
    <x v="4"/>
    <x v="0"/>
    <x v="0"/>
    <x v="18"/>
    <x v="4"/>
    <x v="5"/>
    <x v="2"/>
    <n v="51"/>
    <n v="1"/>
  </r>
  <r>
    <n v="411"/>
    <x v="26"/>
    <x v="0"/>
    <s v="Sweater"/>
    <x v="0"/>
    <n v="26"/>
    <s v="Virginia"/>
    <s v="L"/>
    <s v="Lavender"/>
    <x v="1"/>
    <x v="6"/>
    <s v="Yes"/>
    <x v="4"/>
    <x v="0"/>
    <x v="0"/>
    <x v="43"/>
    <x v="2"/>
    <x v="3"/>
    <x v="2"/>
    <n v="26"/>
    <n v="1"/>
  </r>
  <r>
    <n v="412"/>
    <x v="35"/>
    <x v="0"/>
    <s v="Jeans"/>
    <x v="0"/>
    <n v="29"/>
    <s v="Michigan"/>
    <s v="M"/>
    <s v="Indigo"/>
    <x v="2"/>
    <x v="11"/>
    <s v="Yes"/>
    <x v="0"/>
    <x v="0"/>
    <x v="0"/>
    <x v="28"/>
    <x v="3"/>
    <x v="2"/>
    <x v="0"/>
    <n v="29"/>
    <n v="1"/>
  </r>
  <r>
    <n v="413"/>
    <x v="41"/>
    <x v="0"/>
    <s v="Jacket"/>
    <x v="2"/>
    <n v="74"/>
    <s v="Maine"/>
    <s v="M"/>
    <s v="Yellow"/>
    <x v="2"/>
    <x v="0"/>
    <s v="Yes"/>
    <x v="5"/>
    <x v="0"/>
    <x v="0"/>
    <x v="35"/>
    <x v="4"/>
    <x v="1"/>
    <x v="1"/>
    <n v="74"/>
    <n v="1"/>
  </r>
  <r>
    <n v="414"/>
    <x v="27"/>
    <x v="0"/>
    <s v="Jewelry"/>
    <x v="3"/>
    <n v="99"/>
    <s v="Nevada"/>
    <s v="S"/>
    <s v="White"/>
    <x v="2"/>
    <x v="12"/>
    <s v="Yes"/>
    <x v="1"/>
    <x v="0"/>
    <x v="0"/>
    <x v="26"/>
    <x v="1"/>
    <x v="5"/>
    <x v="0"/>
    <n v="99"/>
    <n v="1"/>
  </r>
  <r>
    <n v="415"/>
    <x v="26"/>
    <x v="0"/>
    <s v="Backpack"/>
    <x v="3"/>
    <n v="88"/>
    <s v="Wyoming"/>
    <s v="L"/>
    <s v="Violet"/>
    <x v="0"/>
    <x v="5"/>
    <s v="Yes"/>
    <x v="5"/>
    <x v="0"/>
    <x v="0"/>
    <x v="48"/>
    <x v="5"/>
    <x v="1"/>
    <x v="2"/>
    <n v="88"/>
    <n v="1"/>
  </r>
  <r>
    <n v="416"/>
    <x v="29"/>
    <x v="0"/>
    <s v="Coat"/>
    <x v="2"/>
    <n v="31"/>
    <s v="Connecticut"/>
    <s v="M"/>
    <s v="Lavender"/>
    <x v="0"/>
    <x v="5"/>
    <s v="Yes"/>
    <x v="0"/>
    <x v="0"/>
    <x v="0"/>
    <x v="19"/>
    <x v="4"/>
    <x v="5"/>
    <x v="0"/>
    <n v="31"/>
    <n v="1"/>
  </r>
  <r>
    <n v="417"/>
    <x v="24"/>
    <x v="0"/>
    <s v="Belt"/>
    <x v="3"/>
    <n v="55"/>
    <s v="Oregon"/>
    <s v="L"/>
    <s v="Olive"/>
    <x v="1"/>
    <x v="22"/>
    <s v="Yes"/>
    <x v="1"/>
    <x v="0"/>
    <x v="0"/>
    <x v="37"/>
    <x v="4"/>
    <x v="0"/>
    <x v="2"/>
    <n v="55"/>
    <n v="1"/>
  </r>
  <r>
    <n v="418"/>
    <x v="51"/>
    <x v="0"/>
    <s v="Sandals"/>
    <x v="1"/>
    <n v="81"/>
    <s v="Mississippi"/>
    <s v="L"/>
    <s v="Beige"/>
    <x v="3"/>
    <x v="9"/>
    <s v="Yes"/>
    <x v="1"/>
    <x v="0"/>
    <x v="0"/>
    <x v="26"/>
    <x v="5"/>
    <x v="3"/>
    <x v="1"/>
    <n v="81"/>
    <n v="1"/>
  </r>
  <r>
    <n v="419"/>
    <x v="20"/>
    <x v="0"/>
    <s v="Sweater"/>
    <x v="0"/>
    <n v="73"/>
    <s v="Illinois"/>
    <s v="L"/>
    <s v="Purple"/>
    <x v="1"/>
    <x v="21"/>
    <s v="Yes"/>
    <x v="3"/>
    <x v="0"/>
    <x v="0"/>
    <x v="46"/>
    <x v="0"/>
    <x v="4"/>
    <x v="1"/>
    <n v="73"/>
    <n v="1"/>
  </r>
  <r>
    <n v="420"/>
    <x v="10"/>
    <x v="0"/>
    <s v="Shorts"/>
    <x v="0"/>
    <n v="91"/>
    <s v="Utah"/>
    <s v="S"/>
    <s v="Teal"/>
    <x v="0"/>
    <x v="1"/>
    <s v="Yes"/>
    <x v="1"/>
    <x v="0"/>
    <x v="0"/>
    <x v="0"/>
    <x v="2"/>
    <x v="6"/>
    <x v="0"/>
    <n v="91"/>
    <n v="1"/>
  </r>
  <r>
    <n v="421"/>
    <x v="45"/>
    <x v="0"/>
    <s v="Socks"/>
    <x v="0"/>
    <n v="54"/>
    <s v="North Carolina"/>
    <s v="S"/>
    <s v="Peach"/>
    <x v="1"/>
    <x v="22"/>
    <s v="Yes"/>
    <x v="1"/>
    <x v="0"/>
    <x v="0"/>
    <x v="27"/>
    <x v="5"/>
    <x v="4"/>
    <x v="2"/>
    <n v="54"/>
    <n v="1"/>
  </r>
  <r>
    <n v="422"/>
    <x v="21"/>
    <x v="0"/>
    <s v="Shirt"/>
    <x v="0"/>
    <n v="40"/>
    <s v="Kentucky"/>
    <s v="M"/>
    <s v="Violet"/>
    <x v="0"/>
    <x v="1"/>
    <s v="Yes"/>
    <x v="3"/>
    <x v="0"/>
    <x v="0"/>
    <x v="26"/>
    <x v="1"/>
    <x v="4"/>
    <x v="2"/>
    <n v="40"/>
    <n v="1"/>
  </r>
  <r>
    <n v="423"/>
    <x v="36"/>
    <x v="0"/>
    <s v="Pants"/>
    <x v="0"/>
    <n v="59"/>
    <s v="Minnesota"/>
    <s v="M"/>
    <s v="Purple"/>
    <x v="3"/>
    <x v="0"/>
    <s v="Yes"/>
    <x v="5"/>
    <x v="0"/>
    <x v="0"/>
    <x v="18"/>
    <x v="5"/>
    <x v="2"/>
    <x v="2"/>
    <n v="59"/>
    <n v="1"/>
  </r>
  <r>
    <n v="424"/>
    <x v="5"/>
    <x v="0"/>
    <s v="Scarf"/>
    <x v="3"/>
    <n v="26"/>
    <s v="New York"/>
    <s v="L"/>
    <s v="Teal"/>
    <x v="1"/>
    <x v="21"/>
    <s v="Yes"/>
    <x v="5"/>
    <x v="0"/>
    <x v="0"/>
    <x v="33"/>
    <x v="2"/>
    <x v="4"/>
    <x v="2"/>
    <n v="26"/>
    <n v="1"/>
  </r>
  <r>
    <n v="425"/>
    <x v="17"/>
    <x v="0"/>
    <s v="Sweater"/>
    <x v="0"/>
    <n v="23"/>
    <s v="Illinois"/>
    <s v="M"/>
    <s v="Gold"/>
    <x v="0"/>
    <x v="24"/>
    <s v="Yes"/>
    <x v="3"/>
    <x v="0"/>
    <x v="0"/>
    <x v="38"/>
    <x v="3"/>
    <x v="0"/>
    <x v="0"/>
    <n v="23"/>
    <n v="1"/>
  </r>
  <r>
    <n v="426"/>
    <x v="37"/>
    <x v="0"/>
    <s v="Jeans"/>
    <x v="0"/>
    <n v="87"/>
    <s v="North Dakota"/>
    <s v="S"/>
    <s v="Teal"/>
    <x v="0"/>
    <x v="13"/>
    <s v="Yes"/>
    <x v="5"/>
    <x v="0"/>
    <x v="0"/>
    <x v="7"/>
    <x v="2"/>
    <x v="3"/>
    <x v="2"/>
    <n v="87"/>
    <n v="1"/>
  </r>
  <r>
    <n v="427"/>
    <x v="49"/>
    <x v="0"/>
    <s v="Pants"/>
    <x v="0"/>
    <n v="71"/>
    <s v="Louisiana"/>
    <s v="M"/>
    <s v="Violet"/>
    <x v="0"/>
    <x v="10"/>
    <s v="Yes"/>
    <x v="0"/>
    <x v="0"/>
    <x v="0"/>
    <x v="5"/>
    <x v="2"/>
    <x v="3"/>
    <x v="2"/>
    <n v="71"/>
    <n v="1"/>
  </r>
  <r>
    <n v="428"/>
    <x v="44"/>
    <x v="0"/>
    <s v="Backpack"/>
    <x v="3"/>
    <n v="91"/>
    <s v="Illinois"/>
    <s v="L"/>
    <s v="Black"/>
    <x v="0"/>
    <x v="9"/>
    <s v="Yes"/>
    <x v="5"/>
    <x v="0"/>
    <x v="0"/>
    <x v="49"/>
    <x v="2"/>
    <x v="3"/>
    <x v="0"/>
    <n v="91"/>
    <n v="1"/>
  </r>
  <r>
    <n v="429"/>
    <x v="3"/>
    <x v="0"/>
    <s v="Coat"/>
    <x v="2"/>
    <n v="64"/>
    <s v="Wyoming"/>
    <s v="XL"/>
    <s v="Gold"/>
    <x v="0"/>
    <x v="3"/>
    <s v="Yes"/>
    <x v="1"/>
    <x v="0"/>
    <x v="0"/>
    <x v="1"/>
    <x v="5"/>
    <x v="0"/>
    <x v="1"/>
    <n v="64"/>
    <n v="1"/>
  </r>
  <r>
    <n v="430"/>
    <x v="32"/>
    <x v="0"/>
    <s v="Sandals"/>
    <x v="1"/>
    <n v="94"/>
    <s v="Washington"/>
    <s v="M"/>
    <s v="Gold"/>
    <x v="0"/>
    <x v="7"/>
    <s v="Yes"/>
    <x v="4"/>
    <x v="0"/>
    <x v="0"/>
    <x v="33"/>
    <x v="1"/>
    <x v="0"/>
    <x v="2"/>
    <n v="94"/>
    <n v="1"/>
  </r>
  <r>
    <n v="431"/>
    <x v="41"/>
    <x v="0"/>
    <s v="Shirt"/>
    <x v="0"/>
    <n v="40"/>
    <s v="Texas"/>
    <s v="M"/>
    <s v="Brown"/>
    <x v="2"/>
    <x v="1"/>
    <s v="Yes"/>
    <x v="5"/>
    <x v="0"/>
    <x v="0"/>
    <x v="19"/>
    <x v="5"/>
    <x v="2"/>
    <x v="1"/>
    <n v="40"/>
    <n v="1"/>
  </r>
  <r>
    <n v="432"/>
    <x v="49"/>
    <x v="0"/>
    <s v="Hat"/>
    <x v="3"/>
    <n v="76"/>
    <s v="New Hampshire"/>
    <s v="L"/>
    <s v="Cyan"/>
    <x v="0"/>
    <x v="23"/>
    <s v="Yes"/>
    <x v="5"/>
    <x v="0"/>
    <x v="0"/>
    <x v="42"/>
    <x v="1"/>
    <x v="0"/>
    <x v="2"/>
    <n v="76"/>
    <n v="1"/>
  </r>
  <r>
    <n v="433"/>
    <x v="36"/>
    <x v="0"/>
    <s v="Shirt"/>
    <x v="0"/>
    <n v="86"/>
    <s v="Indiana"/>
    <s v="S"/>
    <s v="Indigo"/>
    <x v="3"/>
    <x v="13"/>
    <s v="Yes"/>
    <x v="1"/>
    <x v="0"/>
    <x v="0"/>
    <x v="8"/>
    <x v="0"/>
    <x v="1"/>
    <x v="2"/>
    <n v="86"/>
    <n v="1"/>
  </r>
  <r>
    <n v="434"/>
    <x v="34"/>
    <x v="0"/>
    <s v="Skirt"/>
    <x v="0"/>
    <n v="92"/>
    <s v="Alabama"/>
    <s v="M"/>
    <s v="Orange"/>
    <x v="3"/>
    <x v="4"/>
    <s v="Yes"/>
    <x v="5"/>
    <x v="0"/>
    <x v="0"/>
    <x v="2"/>
    <x v="2"/>
    <x v="0"/>
    <x v="2"/>
    <n v="92"/>
    <n v="1"/>
  </r>
  <r>
    <n v="435"/>
    <x v="2"/>
    <x v="0"/>
    <s v="Shoes"/>
    <x v="1"/>
    <n v="52"/>
    <s v="Oklahoma"/>
    <s v="L"/>
    <s v="Pink"/>
    <x v="1"/>
    <x v="17"/>
    <s v="Yes"/>
    <x v="5"/>
    <x v="0"/>
    <x v="0"/>
    <x v="30"/>
    <x v="3"/>
    <x v="6"/>
    <x v="2"/>
    <n v="52"/>
    <n v="1"/>
  </r>
  <r>
    <n v="436"/>
    <x v="47"/>
    <x v="0"/>
    <s v="Coat"/>
    <x v="2"/>
    <n v="28"/>
    <s v="Montana"/>
    <s v="XL"/>
    <s v="Olive"/>
    <x v="0"/>
    <x v="15"/>
    <s v="Yes"/>
    <x v="2"/>
    <x v="0"/>
    <x v="0"/>
    <x v="38"/>
    <x v="4"/>
    <x v="5"/>
    <x v="0"/>
    <n v="28"/>
    <n v="1"/>
  </r>
  <r>
    <n v="437"/>
    <x v="37"/>
    <x v="0"/>
    <s v="Pants"/>
    <x v="0"/>
    <n v="46"/>
    <s v="Tennessee"/>
    <s v="L"/>
    <s v="Cyan"/>
    <x v="2"/>
    <x v="12"/>
    <s v="Yes"/>
    <x v="1"/>
    <x v="0"/>
    <x v="0"/>
    <x v="23"/>
    <x v="4"/>
    <x v="1"/>
    <x v="2"/>
    <n v="46"/>
    <n v="1"/>
  </r>
  <r>
    <n v="438"/>
    <x v="4"/>
    <x v="0"/>
    <s v="Jewelry"/>
    <x v="3"/>
    <n v="50"/>
    <s v="New Mexico"/>
    <s v="M"/>
    <s v="Peach"/>
    <x v="2"/>
    <x v="5"/>
    <s v="Yes"/>
    <x v="2"/>
    <x v="0"/>
    <x v="0"/>
    <x v="23"/>
    <x v="3"/>
    <x v="2"/>
    <x v="2"/>
    <n v="50"/>
    <n v="1"/>
  </r>
  <r>
    <n v="439"/>
    <x v="16"/>
    <x v="0"/>
    <s v="Belt"/>
    <x v="3"/>
    <n v="23"/>
    <s v="Iowa"/>
    <s v="M"/>
    <s v="Turquoise"/>
    <x v="0"/>
    <x v="24"/>
    <s v="Yes"/>
    <x v="0"/>
    <x v="0"/>
    <x v="0"/>
    <x v="45"/>
    <x v="2"/>
    <x v="0"/>
    <x v="0"/>
    <n v="23"/>
    <n v="1"/>
  </r>
  <r>
    <n v="440"/>
    <x v="46"/>
    <x v="0"/>
    <s v="Jacket"/>
    <x v="2"/>
    <n v="50"/>
    <s v="Idaho"/>
    <s v="M"/>
    <s v="Turquoise"/>
    <x v="2"/>
    <x v="23"/>
    <s v="Yes"/>
    <x v="1"/>
    <x v="0"/>
    <x v="0"/>
    <x v="4"/>
    <x v="1"/>
    <x v="5"/>
    <x v="0"/>
    <n v="50"/>
    <n v="1"/>
  </r>
  <r>
    <n v="441"/>
    <x v="30"/>
    <x v="0"/>
    <s v="Shirt"/>
    <x v="0"/>
    <n v="89"/>
    <s v="Oklahoma"/>
    <s v="XL"/>
    <s v="Maroon"/>
    <x v="0"/>
    <x v="1"/>
    <s v="Yes"/>
    <x v="5"/>
    <x v="0"/>
    <x v="0"/>
    <x v="11"/>
    <x v="5"/>
    <x v="0"/>
    <x v="1"/>
    <n v="89"/>
    <n v="1"/>
  </r>
  <r>
    <n v="442"/>
    <x v="49"/>
    <x v="0"/>
    <s v="Hoodie"/>
    <x v="0"/>
    <n v="81"/>
    <s v="Florida"/>
    <s v="M"/>
    <s v="Maroon"/>
    <x v="0"/>
    <x v="19"/>
    <s v="Yes"/>
    <x v="3"/>
    <x v="0"/>
    <x v="0"/>
    <x v="18"/>
    <x v="2"/>
    <x v="2"/>
    <x v="2"/>
    <n v="81"/>
    <n v="1"/>
  </r>
  <r>
    <n v="443"/>
    <x v="26"/>
    <x v="0"/>
    <s v="Sunglasses"/>
    <x v="3"/>
    <n v="69"/>
    <s v="Michigan"/>
    <s v="M"/>
    <s v="Olive"/>
    <x v="3"/>
    <x v="1"/>
    <s v="Yes"/>
    <x v="5"/>
    <x v="0"/>
    <x v="0"/>
    <x v="4"/>
    <x v="2"/>
    <x v="3"/>
    <x v="2"/>
    <n v="69"/>
    <n v="1"/>
  </r>
  <r>
    <n v="444"/>
    <x v="40"/>
    <x v="0"/>
    <s v="Sunglasses"/>
    <x v="3"/>
    <n v="67"/>
    <s v="Hawaii"/>
    <s v="M"/>
    <s v="Magenta"/>
    <x v="2"/>
    <x v="15"/>
    <s v="Yes"/>
    <x v="1"/>
    <x v="0"/>
    <x v="0"/>
    <x v="37"/>
    <x v="3"/>
    <x v="2"/>
    <x v="1"/>
    <n v="67"/>
    <n v="1"/>
  </r>
  <r>
    <n v="445"/>
    <x v="39"/>
    <x v="0"/>
    <s v="Dress"/>
    <x v="0"/>
    <n v="20"/>
    <s v="California"/>
    <s v="M"/>
    <s v="Red"/>
    <x v="2"/>
    <x v="24"/>
    <s v="Yes"/>
    <x v="5"/>
    <x v="0"/>
    <x v="0"/>
    <x v="4"/>
    <x v="5"/>
    <x v="2"/>
    <x v="2"/>
    <n v="20"/>
    <n v="1"/>
  </r>
  <r>
    <n v="446"/>
    <x v="32"/>
    <x v="0"/>
    <s v="Boots"/>
    <x v="1"/>
    <n v="29"/>
    <s v="Iowa"/>
    <s v="M"/>
    <s v="Olive"/>
    <x v="3"/>
    <x v="8"/>
    <s v="Yes"/>
    <x v="3"/>
    <x v="0"/>
    <x v="0"/>
    <x v="27"/>
    <x v="0"/>
    <x v="2"/>
    <x v="2"/>
    <n v="29"/>
    <n v="1"/>
  </r>
  <r>
    <n v="447"/>
    <x v="1"/>
    <x v="0"/>
    <s v="Shirt"/>
    <x v="0"/>
    <n v="74"/>
    <s v="West Virginia"/>
    <s v="M"/>
    <s v="Silver"/>
    <x v="2"/>
    <x v="7"/>
    <s v="Yes"/>
    <x v="5"/>
    <x v="0"/>
    <x v="0"/>
    <x v="28"/>
    <x v="0"/>
    <x v="5"/>
    <x v="1"/>
    <n v="74"/>
    <n v="1"/>
  </r>
  <r>
    <n v="448"/>
    <x v="52"/>
    <x v="0"/>
    <s v="Shorts"/>
    <x v="0"/>
    <n v="82"/>
    <s v="Washington"/>
    <s v="S"/>
    <s v="Turquoise"/>
    <x v="1"/>
    <x v="15"/>
    <s v="Yes"/>
    <x v="3"/>
    <x v="0"/>
    <x v="0"/>
    <x v="22"/>
    <x v="4"/>
    <x v="6"/>
    <x v="0"/>
    <n v="82"/>
    <n v="1"/>
  </r>
  <r>
    <n v="449"/>
    <x v="45"/>
    <x v="0"/>
    <s v="Gloves"/>
    <x v="3"/>
    <n v="23"/>
    <s v="Missouri"/>
    <s v="M"/>
    <s v="Yellow"/>
    <x v="2"/>
    <x v="23"/>
    <s v="Yes"/>
    <x v="2"/>
    <x v="0"/>
    <x v="0"/>
    <x v="31"/>
    <x v="4"/>
    <x v="0"/>
    <x v="2"/>
    <n v="23"/>
    <n v="1"/>
  </r>
  <r>
    <n v="450"/>
    <x v="8"/>
    <x v="0"/>
    <s v="Jewelry"/>
    <x v="3"/>
    <n v="45"/>
    <s v="New York"/>
    <s v="L"/>
    <s v="Peach"/>
    <x v="2"/>
    <x v="3"/>
    <s v="Yes"/>
    <x v="4"/>
    <x v="0"/>
    <x v="0"/>
    <x v="31"/>
    <x v="4"/>
    <x v="5"/>
    <x v="2"/>
    <n v="45"/>
    <n v="1"/>
  </r>
  <r>
    <n v="451"/>
    <x v="15"/>
    <x v="0"/>
    <s v="Boots"/>
    <x v="1"/>
    <n v="21"/>
    <s v="Connecticut"/>
    <s v="L"/>
    <s v="Beige"/>
    <x v="2"/>
    <x v="2"/>
    <s v="Yes"/>
    <x v="5"/>
    <x v="0"/>
    <x v="0"/>
    <x v="5"/>
    <x v="2"/>
    <x v="5"/>
    <x v="1"/>
    <n v="21"/>
    <n v="1"/>
  </r>
  <r>
    <n v="452"/>
    <x v="17"/>
    <x v="0"/>
    <s v="Jewelry"/>
    <x v="3"/>
    <n v="31"/>
    <s v="Virginia"/>
    <s v="M"/>
    <s v="Pink"/>
    <x v="2"/>
    <x v="24"/>
    <s v="Yes"/>
    <x v="0"/>
    <x v="0"/>
    <x v="0"/>
    <x v="8"/>
    <x v="2"/>
    <x v="0"/>
    <x v="0"/>
    <n v="31"/>
    <n v="1"/>
  </r>
  <r>
    <n v="453"/>
    <x v="4"/>
    <x v="0"/>
    <s v="Pants"/>
    <x v="0"/>
    <n v="45"/>
    <s v="Missouri"/>
    <s v="M"/>
    <s v="Violet"/>
    <x v="2"/>
    <x v="13"/>
    <s v="Yes"/>
    <x v="0"/>
    <x v="0"/>
    <x v="0"/>
    <x v="30"/>
    <x v="3"/>
    <x v="0"/>
    <x v="2"/>
    <n v="45"/>
    <n v="1"/>
  </r>
  <r>
    <n v="454"/>
    <x v="22"/>
    <x v="0"/>
    <s v="Jewelry"/>
    <x v="3"/>
    <n v="56"/>
    <s v="Nebraska"/>
    <s v="XL"/>
    <s v="Peach"/>
    <x v="0"/>
    <x v="11"/>
    <s v="Yes"/>
    <x v="2"/>
    <x v="0"/>
    <x v="0"/>
    <x v="17"/>
    <x v="2"/>
    <x v="1"/>
    <x v="0"/>
    <n v="56"/>
    <n v="1"/>
  </r>
  <r>
    <n v="455"/>
    <x v="43"/>
    <x v="0"/>
    <s v="Jacket"/>
    <x v="2"/>
    <n v="97"/>
    <s v="New Jersey"/>
    <s v="S"/>
    <s v="Gold"/>
    <x v="2"/>
    <x v="4"/>
    <s v="Yes"/>
    <x v="2"/>
    <x v="0"/>
    <x v="0"/>
    <x v="0"/>
    <x v="1"/>
    <x v="4"/>
    <x v="2"/>
    <n v="97"/>
    <n v="1"/>
  </r>
  <r>
    <n v="456"/>
    <x v="22"/>
    <x v="0"/>
    <s v="Blouse"/>
    <x v="0"/>
    <n v="100"/>
    <s v="Utah"/>
    <s v="XL"/>
    <s v="Gold"/>
    <x v="3"/>
    <x v="15"/>
    <s v="Yes"/>
    <x v="5"/>
    <x v="0"/>
    <x v="0"/>
    <x v="16"/>
    <x v="5"/>
    <x v="0"/>
    <x v="0"/>
    <n v="100"/>
    <n v="1"/>
  </r>
  <r>
    <n v="457"/>
    <x v="2"/>
    <x v="0"/>
    <s v="Blouse"/>
    <x v="0"/>
    <n v="96"/>
    <s v="North Carolina"/>
    <s v="S"/>
    <s v="Indigo"/>
    <x v="3"/>
    <x v="17"/>
    <s v="Yes"/>
    <x v="4"/>
    <x v="0"/>
    <x v="0"/>
    <x v="42"/>
    <x v="2"/>
    <x v="3"/>
    <x v="2"/>
    <n v="96"/>
    <n v="1"/>
  </r>
  <r>
    <n v="458"/>
    <x v="15"/>
    <x v="0"/>
    <s v="Gloves"/>
    <x v="3"/>
    <n v="99"/>
    <s v="Rhode Island"/>
    <s v="M"/>
    <s v="Blue"/>
    <x v="1"/>
    <x v="8"/>
    <s v="Yes"/>
    <x v="2"/>
    <x v="0"/>
    <x v="0"/>
    <x v="26"/>
    <x v="5"/>
    <x v="6"/>
    <x v="1"/>
    <n v="99"/>
    <n v="1"/>
  </r>
  <r>
    <n v="459"/>
    <x v="36"/>
    <x v="0"/>
    <s v="Shorts"/>
    <x v="0"/>
    <n v="91"/>
    <s v="Arkansas"/>
    <s v="L"/>
    <s v="Black"/>
    <x v="0"/>
    <x v="17"/>
    <s v="Yes"/>
    <x v="4"/>
    <x v="0"/>
    <x v="0"/>
    <x v="26"/>
    <x v="3"/>
    <x v="5"/>
    <x v="2"/>
    <n v="91"/>
    <n v="1"/>
  </r>
  <r>
    <n v="460"/>
    <x v="6"/>
    <x v="0"/>
    <s v="Hat"/>
    <x v="3"/>
    <n v="30"/>
    <s v="Maryland"/>
    <s v="L"/>
    <s v="Black"/>
    <x v="0"/>
    <x v="22"/>
    <s v="Yes"/>
    <x v="3"/>
    <x v="0"/>
    <x v="0"/>
    <x v="46"/>
    <x v="3"/>
    <x v="0"/>
    <x v="0"/>
    <n v="30"/>
    <n v="1"/>
  </r>
  <r>
    <n v="461"/>
    <x v="14"/>
    <x v="0"/>
    <s v="Shoes"/>
    <x v="1"/>
    <n v="65"/>
    <s v="South Carolina"/>
    <s v="L"/>
    <s v="Teal"/>
    <x v="2"/>
    <x v="18"/>
    <s v="Yes"/>
    <x v="5"/>
    <x v="0"/>
    <x v="0"/>
    <x v="46"/>
    <x v="4"/>
    <x v="1"/>
    <x v="0"/>
    <n v="65"/>
    <n v="1"/>
  </r>
  <r>
    <n v="462"/>
    <x v="20"/>
    <x v="0"/>
    <s v="Boots"/>
    <x v="1"/>
    <n v="93"/>
    <s v="Ohio"/>
    <s v="M"/>
    <s v="Yellow"/>
    <x v="0"/>
    <x v="20"/>
    <s v="Yes"/>
    <x v="0"/>
    <x v="0"/>
    <x v="0"/>
    <x v="41"/>
    <x v="0"/>
    <x v="1"/>
    <x v="1"/>
    <n v="93"/>
    <n v="1"/>
  </r>
  <r>
    <n v="463"/>
    <x v="35"/>
    <x v="0"/>
    <s v="Jacket"/>
    <x v="2"/>
    <n v="81"/>
    <s v="Illinois"/>
    <s v="M"/>
    <s v="White"/>
    <x v="3"/>
    <x v="13"/>
    <s v="Yes"/>
    <x v="0"/>
    <x v="0"/>
    <x v="0"/>
    <x v="26"/>
    <x v="0"/>
    <x v="6"/>
    <x v="0"/>
    <n v="81"/>
    <n v="1"/>
  </r>
  <r>
    <n v="464"/>
    <x v="43"/>
    <x v="0"/>
    <s v="Jewelry"/>
    <x v="3"/>
    <n v="81"/>
    <s v="Georgia"/>
    <s v="S"/>
    <s v="Orange"/>
    <x v="2"/>
    <x v="2"/>
    <s v="Yes"/>
    <x v="3"/>
    <x v="0"/>
    <x v="0"/>
    <x v="32"/>
    <x v="0"/>
    <x v="1"/>
    <x v="2"/>
    <n v="81"/>
    <n v="1"/>
  </r>
  <r>
    <n v="465"/>
    <x v="51"/>
    <x v="0"/>
    <s v="Sunglasses"/>
    <x v="3"/>
    <n v="52"/>
    <s v="Alabama"/>
    <s v="M"/>
    <s v="Silver"/>
    <x v="0"/>
    <x v="10"/>
    <s v="Yes"/>
    <x v="2"/>
    <x v="0"/>
    <x v="0"/>
    <x v="24"/>
    <x v="3"/>
    <x v="5"/>
    <x v="1"/>
    <n v="52"/>
    <n v="1"/>
  </r>
  <r>
    <n v="466"/>
    <x v="22"/>
    <x v="0"/>
    <s v="Skirt"/>
    <x v="0"/>
    <n v="88"/>
    <s v="Oklahoma"/>
    <s v="M"/>
    <s v="Pink"/>
    <x v="2"/>
    <x v="11"/>
    <s v="Yes"/>
    <x v="2"/>
    <x v="0"/>
    <x v="0"/>
    <x v="29"/>
    <x v="1"/>
    <x v="3"/>
    <x v="0"/>
    <n v="88"/>
    <n v="1"/>
  </r>
  <r>
    <n v="467"/>
    <x v="21"/>
    <x v="0"/>
    <s v="Jeans"/>
    <x v="0"/>
    <n v="24"/>
    <s v="Vermont"/>
    <s v="L"/>
    <s v="Turquoise"/>
    <x v="0"/>
    <x v="12"/>
    <s v="Yes"/>
    <x v="1"/>
    <x v="0"/>
    <x v="0"/>
    <x v="29"/>
    <x v="3"/>
    <x v="1"/>
    <x v="2"/>
    <n v="24"/>
    <n v="1"/>
  </r>
  <r>
    <n v="468"/>
    <x v="1"/>
    <x v="0"/>
    <s v="Backpack"/>
    <x v="3"/>
    <n v="51"/>
    <s v="Nebraska"/>
    <s v="S"/>
    <s v="Orange"/>
    <x v="1"/>
    <x v="9"/>
    <s v="Yes"/>
    <x v="4"/>
    <x v="0"/>
    <x v="0"/>
    <x v="10"/>
    <x v="5"/>
    <x v="6"/>
    <x v="1"/>
    <n v="51"/>
    <n v="1"/>
  </r>
  <r>
    <n v="469"/>
    <x v="50"/>
    <x v="0"/>
    <s v="Backpack"/>
    <x v="3"/>
    <n v="38"/>
    <s v="Georgia"/>
    <s v="S"/>
    <s v="Peach"/>
    <x v="3"/>
    <x v="16"/>
    <s v="Yes"/>
    <x v="1"/>
    <x v="0"/>
    <x v="0"/>
    <x v="20"/>
    <x v="1"/>
    <x v="3"/>
    <x v="2"/>
    <n v="38"/>
    <n v="1"/>
  </r>
  <r>
    <n v="470"/>
    <x v="3"/>
    <x v="0"/>
    <s v="Shorts"/>
    <x v="0"/>
    <n v="46"/>
    <s v="Alabama"/>
    <s v="L"/>
    <s v="Pink"/>
    <x v="3"/>
    <x v="7"/>
    <s v="Yes"/>
    <x v="4"/>
    <x v="0"/>
    <x v="0"/>
    <x v="48"/>
    <x v="5"/>
    <x v="4"/>
    <x v="1"/>
    <n v="46"/>
    <n v="1"/>
  </r>
  <r>
    <n v="471"/>
    <x v="2"/>
    <x v="0"/>
    <s v="Dress"/>
    <x v="0"/>
    <n v="63"/>
    <s v="Minnesota"/>
    <s v="L"/>
    <s v="Teal"/>
    <x v="2"/>
    <x v="12"/>
    <s v="Yes"/>
    <x v="0"/>
    <x v="0"/>
    <x v="0"/>
    <x v="49"/>
    <x v="1"/>
    <x v="6"/>
    <x v="2"/>
    <n v="63"/>
    <n v="1"/>
  </r>
  <r>
    <n v="472"/>
    <x v="0"/>
    <x v="0"/>
    <s v="Scarf"/>
    <x v="3"/>
    <n v="72"/>
    <s v="Missouri"/>
    <s v="XL"/>
    <s v="White"/>
    <x v="0"/>
    <x v="8"/>
    <s v="Yes"/>
    <x v="4"/>
    <x v="0"/>
    <x v="0"/>
    <x v="13"/>
    <x v="4"/>
    <x v="3"/>
    <x v="0"/>
    <n v="72"/>
    <n v="1"/>
  </r>
  <r>
    <n v="473"/>
    <x v="30"/>
    <x v="0"/>
    <s v="Jeans"/>
    <x v="0"/>
    <n v="39"/>
    <s v="Georgia"/>
    <s v="L"/>
    <s v="Gray"/>
    <x v="0"/>
    <x v="20"/>
    <s v="Yes"/>
    <x v="1"/>
    <x v="0"/>
    <x v="0"/>
    <x v="35"/>
    <x v="4"/>
    <x v="3"/>
    <x v="1"/>
    <n v="39"/>
    <n v="1"/>
  </r>
  <r>
    <n v="474"/>
    <x v="50"/>
    <x v="0"/>
    <s v="Coat"/>
    <x v="2"/>
    <n v="42"/>
    <s v="West Virginia"/>
    <s v="L"/>
    <s v="Olive"/>
    <x v="1"/>
    <x v="20"/>
    <s v="Yes"/>
    <x v="5"/>
    <x v="0"/>
    <x v="0"/>
    <x v="32"/>
    <x v="3"/>
    <x v="6"/>
    <x v="2"/>
    <n v="42"/>
    <n v="1"/>
  </r>
  <r>
    <n v="475"/>
    <x v="46"/>
    <x v="0"/>
    <s v="Sweater"/>
    <x v="0"/>
    <n v="76"/>
    <s v="Arkansas"/>
    <s v="XL"/>
    <s v="Maroon"/>
    <x v="2"/>
    <x v="5"/>
    <s v="Yes"/>
    <x v="4"/>
    <x v="0"/>
    <x v="0"/>
    <x v="28"/>
    <x v="1"/>
    <x v="3"/>
    <x v="0"/>
    <n v="76"/>
    <n v="1"/>
  </r>
  <r>
    <n v="476"/>
    <x v="3"/>
    <x v="0"/>
    <s v="Sneakers"/>
    <x v="1"/>
    <n v="66"/>
    <s v="Ohio"/>
    <s v="L"/>
    <s v="Magenta"/>
    <x v="2"/>
    <x v="2"/>
    <s v="Yes"/>
    <x v="1"/>
    <x v="0"/>
    <x v="0"/>
    <x v="27"/>
    <x v="5"/>
    <x v="2"/>
    <x v="1"/>
    <n v="66"/>
    <n v="1"/>
  </r>
  <r>
    <n v="477"/>
    <x v="3"/>
    <x v="0"/>
    <s v="Scarf"/>
    <x v="3"/>
    <n v="90"/>
    <s v="Connecticut"/>
    <s v="M"/>
    <s v="Magenta"/>
    <x v="1"/>
    <x v="1"/>
    <s v="Yes"/>
    <x v="1"/>
    <x v="0"/>
    <x v="0"/>
    <x v="1"/>
    <x v="5"/>
    <x v="0"/>
    <x v="1"/>
    <n v="90"/>
    <n v="1"/>
  </r>
  <r>
    <n v="478"/>
    <x v="32"/>
    <x v="0"/>
    <s v="Sweater"/>
    <x v="0"/>
    <n v="56"/>
    <s v="North Dakota"/>
    <s v="M"/>
    <s v="Green"/>
    <x v="2"/>
    <x v="18"/>
    <s v="Yes"/>
    <x v="1"/>
    <x v="0"/>
    <x v="0"/>
    <x v="3"/>
    <x v="5"/>
    <x v="1"/>
    <x v="2"/>
    <n v="56"/>
    <n v="1"/>
  </r>
  <r>
    <n v="479"/>
    <x v="25"/>
    <x v="0"/>
    <s v="Jewelry"/>
    <x v="3"/>
    <n v="43"/>
    <s v="Kansas"/>
    <s v="XL"/>
    <s v="Turquoise"/>
    <x v="0"/>
    <x v="4"/>
    <s v="Yes"/>
    <x v="1"/>
    <x v="0"/>
    <x v="0"/>
    <x v="26"/>
    <x v="0"/>
    <x v="2"/>
    <x v="2"/>
    <n v="43"/>
    <n v="1"/>
  </r>
  <r>
    <n v="480"/>
    <x v="31"/>
    <x v="0"/>
    <s v="Handbag"/>
    <x v="3"/>
    <n v="84"/>
    <s v="Iowa"/>
    <s v="L"/>
    <s v="Yellow"/>
    <x v="0"/>
    <x v="13"/>
    <s v="Yes"/>
    <x v="5"/>
    <x v="0"/>
    <x v="0"/>
    <x v="34"/>
    <x v="0"/>
    <x v="5"/>
    <x v="2"/>
    <n v="84"/>
    <n v="1"/>
  </r>
  <r>
    <n v="481"/>
    <x v="33"/>
    <x v="0"/>
    <s v="Hoodie"/>
    <x v="0"/>
    <n v="88"/>
    <s v="Vermont"/>
    <s v="M"/>
    <s v="Gray"/>
    <x v="2"/>
    <x v="6"/>
    <s v="Yes"/>
    <x v="3"/>
    <x v="0"/>
    <x v="0"/>
    <x v="48"/>
    <x v="5"/>
    <x v="4"/>
    <x v="0"/>
    <n v="88"/>
    <n v="1"/>
  </r>
  <r>
    <n v="482"/>
    <x v="5"/>
    <x v="0"/>
    <s v="Hat"/>
    <x v="3"/>
    <n v="88"/>
    <s v="Wisconsin"/>
    <s v="L"/>
    <s v="Peach"/>
    <x v="3"/>
    <x v="4"/>
    <s v="Yes"/>
    <x v="4"/>
    <x v="0"/>
    <x v="0"/>
    <x v="9"/>
    <x v="3"/>
    <x v="0"/>
    <x v="2"/>
    <n v="88"/>
    <n v="1"/>
  </r>
  <r>
    <n v="483"/>
    <x v="38"/>
    <x v="0"/>
    <s v="Belt"/>
    <x v="3"/>
    <n v="42"/>
    <s v="Connecticut"/>
    <s v="M"/>
    <s v="Yellow"/>
    <x v="0"/>
    <x v="25"/>
    <s v="Yes"/>
    <x v="4"/>
    <x v="0"/>
    <x v="0"/>
    <x v="47"/>
    <x v="0"/>
    <x v="2"/>
    <x v="2"/>
    <n v="42"/>
    <n v="1"/>
  </r>
  <r>
    <n v="484"/>
    <x v="51"/>
    <x v="0"/>
    <s v="Hoodie"/>
    <x v="0"/>
    <n v="73"/>
    <s v="Oklahoma"/>
    <s v="M"/>
    <s v="White"/>
    <x v="3"/>
    <x v="20"/>
    <s v="Yes"/>
    <x v="5"/>
    <x v="0"/>
    <x v="0"/>
    <x v="45"/>
    <x v="5"/>
    <x v="1"/>
    <x v="1"/>
    <n v="73"/>
    <n v="1"/>
  </r>
  <r>
    <n v="485"/>
    <x v="33"/>
    <x v="0"/>
    <s v="Hat"/>
    <x v="3"/>
    <n v="73"/>
    <s v="Missouri"/>
    <s v="L"/>
    <s v="Lavender"/>
    <x v="2"/>
    <x v="10"/>
    <s v="Yes"/>
    <x v="1"/>
    <x v="0"/>
    <x v="0"/>
    <x v="40"/>
    <x v="4"/>
    <x v="3"/>
    <x v="0"/>
    <n v="73"/>
    <n v="1"/>
  </r>
  <r>
    <n v="486"/>
    <x v="39"/>
    <x v="0"/>
    <s v="Shoes"/>
    <x v="1"/>
    <n v="44"/>
    <s v="Tennessee"/>
    <s v="S"/>
    <s v="Blue"/>
    <x v="1"/>
    <x v="5"/>
    <s v="Yes"/>
    <x v="2"/>
    <x v="0"/>
    <x v="0"/>
    <x v="13"/>
    <x v="5"/>
    <x v="0"/>
    <x v="2"/>
    <n v="44"/>
    <n v="1"/>
  </r>
  <r>
    <n v="487"/>
    <x v="21"/>
    <x v="0"/>
    <s v="Sandals"/>
    <x v="1"/>
    <n v="63"/>
    <s v="New Mexico"/>
    <s v="M"/>
    <s v="Charcoal"/>
    <x v="3"/>
    <x v="11"/>
    <s v="Yes"/>
    <x v="5"/>
    <x v="0"/>
    <x v="0"/>
    <x v="10"/>
    <x v="0"/>
    <x v="6"/>
    <x v="2"/>
    <n v="63"/>
    <n v="1"/>
  </r>
  <r>
    <n v="488"/>
    <x v="38"/>
    <x v="0"/>
    <s v="Jacket"/>
    <x v="2"/>
    <n v="68"/>
    <s v="Iowa"/>
    <s v="L"/>
    <s v="Red"/>
    <x v="0"/>
    <x v="14"/>
    <s v="Yes"/>
    <x v="5"/>
    <x v="0"/>
    <x v="0"/>
    <x v="17"/>
    <x v="2"/>
    <x v="3"/>
    <x v="2"/>
    <n v="68"/>
    <n v="1"/>
  </r>
  <r>
    <n v="489"/>
    <x v="44"/>
    <x v="0"/>
    <s v="Sweater"/>
    <x v="0"/>
    <n v="29"/>
    <s v="Maine"/>
    <s v="L"/>
    <s v="Olive"/>
    <x v="1"/>
    <x v="12"/>
    <s v="Yes"/>
    <x v="3"/>
    <x v="0"/>
    <x v="0"/>
    <x v="18"/>
    <x v="0"/>
    <x v="1"/>
    <x v="0"/>
    <n v="29"/>
    <n v="1"/>
  </r>
  <r>
    <n v="490"/>
    <x v="34"/>
    <x v="0"/>
    <s v="Socks"/>
    <x v="0"/>
    <n v="85"/>
    <s v="South Dakota"/>
    <s v="M"/>
    <s v="Green"/>
    <x v="2"/>
    <x v="4"/>
    <s v="Yes"/>
    <x v="3"/>
    <x v="0"/>
    <x v="0"/>
    <x v="19"/>
    <x v="3"/>
    <x v="2"/>
    <x v="2"/>
    <n v="85"/>
    <n v="1"/>
  </r>
  <r>
    <n v="491"/>
    <x v="9"/>
    <x v="0"/>
    <s v="Sneakers"/>
    <x v="1"/>
    <n v="42"/>
    <s v="Colorado"/>
    <s v="M"/>
    <s v="Silver"/>
    <x v="0"/>
    <x v="19"/>
    <s v="Yes"/>
    <x v="4"/>
    <x v="0"/>
    <x v="0"/>
    <x v="39"/>
    <x v="1"/>
    <x v="5"/>
    <x v="0"/>
    <n v="42"/>
    <n v="1"/>
  </r>
  <r>
    <n v="492"/>
    <x v="34"/>
    <x v="0"/>
    <s v="Coat"/>
    <x v="2"/>
    <n v="69"/>
    <s v="Vermont"/>
    <s v="M"/>
    <s v="Silver"/>
    <x v="2"/>
    <x v="18"/>
    <s v="Yes"/>
    <x v="4"/>
    <x v="0"/>
    <x v="0"/>
    <x v="37"/>
    <x v="2"/>
    <x v="4"/>
    <x v="2"/>
    <n v="69"/>
    <n v="1"/>
  </r>
  <r>
    <n v="493"/>
    <x v="2"/>
    <x v="0"/>
    <s v="Shirt"/>
    <x v="0"/>
    <n v="62"/>
    <s v="Michigan"/>
    <s v="M"/>
    <s v="Black"/>
    <x v="3"/>
    <x v="20"/>
    <s v="Yes"/>
    <x v="3"/>
    <x v="0"/>
    <x v="0"/>
    <x v="47"/>
    <x v="5"/>
    <x v="1"/>
    <x v="2"/>
    <n v="62"/>
    <n v="1"/>
  </r>
  <r>
    <n v="494"/>
    <x v="48"/>
    <x v="0"/>
    <s v="Backpack"/>
    <x v="3"/>
    <n v="48"/>
    <s v="Nevada"/>
    <s v="XL"/>
    <s v="Red"/>
    <x v="2"/>
    <x v="10"/>
    <s v="Yes"/>
    <x v="5"/>
    <x v="0"/>
    <x v="0"/>
    <x v="5"/>
    <x v="1"/>
    <x v="4"/>
    <x v="2"/>
    <n v="48"/>
    <n v="1"/>
  </r>
  <r>
    <n v="495"/>
    <x v="21"/>
    <x v="0"/>
    <s v="Boots"/>
    <x v="1"/>
    <n v="68"/>
    <s v="Indiana"/>
    <s v="M"/>
    <s v="Indigo"/>
    <x v="0"/>
    <x v="9"/>
    <s v="Yes"/>
    <x v="0"/>
    <x v="0"/>
    <x v="0"/>
    <x v="38"/>
    <x v="5"/>
    <x v="1"/>
    <x v="2"/>
    <n v="68"/>
    <n v="1"/>
  </r>
  <r>
    <n v="496"/>
    <x v="23"/>
    <x v="0"/>
    <s v="Handbag"/>
    <x v="3"/>
    <n v="36"/>
    <s v="Michigan"/>
    <s v="XL"/>
    <s v="Cyan"/>
    <x v="3"/>
    <x v="13"/>
    <s v="Yes"/>
    <x v="1"/>
    <x v="0"/>
    <x v="0"/>
    <x v="49"/>
    <x v="5"/>
    <x v="0"/>
    <x v="2"/>
    <n v="36"/>
    <n v="1"/>
  </r>
  <r>
    <n v="497"/>
    <x v="11"/>
    <x v="0"/>
    <s v="Dress"/>
    <x v="0"/>
    <n v="63"/>
    <s v="California"/>
    <s v="S"/>
    <s v="Maroon"/>
    <x v="3"/>
    <x v="13"/>
    <s v="Yes"/>
    <x v="0"/>
    <x v="0"/>
    <x v="0"/>
    <x v="4"/>
    <x v="0"/>
    <x v="0"/>
    <x v="2"/>
    <n v="63"/>
    <n v="1"/>
  </r>
  <r>
    <n v="498"/>
    <x v="49"/>
    <x v="0"/>
    <s v="Sneakers"/>
    <x v="1"/>
    <n v="39"/>
    <s v="Oklahoma"/>
    <s v="S"/>
    <s v="Silver"/>
    <x v="0"/>
    <x v="12"/>
    <s v="Yes"/>
    <x v="1"/>
    <x v="0"/>
    <x v="0"/>
    <x v="4"/>
    <x v="1"/>
    <x v="1"/>
    <x v="2"/>
    <n v="39"/>
    <n v="1"/>
  </r>
  <r>
    <n v="499"/>
    <x v="49"/>
    <x v="0"/>
    <s v="Boots"/>
    <x v="1"/>
    <n v="78"/>
    <s v="Iowa"/>
    <s v="M"/>
    <s v="Lavender"/>
    <x v="1"/>
    <x v="15"/>
    <s v="Yes"/>
    <x v="1"/>
    <x v="0"/>
    <x v="0"/>
    <x v="46"/>
    <x v="4"/>
    <x v="5"/>
    <x v="2"/>
    <n v="78"/>
    <n v="1"/>
  </r>
  <r>
    <n v="500"/>
    <x v="24"/>
    <x v="0"/>
    <s v="Shoes"/>
    <x v="1"/>
    <n v="99"/>
    <s v="Rhode Island"/>
    <s v="L"/>
    <s v="Silver"/>
    <x v="0"/>
    <x v="6"/>
    <s v="Yes"/>
    <x v="0"/>
    <x v="0"/>
    <x v="0"/>
    <x v="37"/>
    <x v="3"/>
    <x v="5"/>
    <x v="2"/>
    <n v="99"/>
    <n v="1"/>
  </r>
  <r>
    <n v="501"/>
    <x v="24"/>
    <x v="0"/>
    <s v="T-shirt"/>
    <x v="0"/>
    <n v="31"/>
    <s v="Washington"/>
    <s v="L"/>
    <s v="Purple"/>
    <x v="3"/>
    <x v="6"/>
    <s v="Yes"/>
    <x v="2"/>
    <x v="0"/>
    <x v="0"/>
    <x v="31"/>
    <x v="0"/>
    <x v="6"/>
    <x v="2"/>
    <n v="31"/>
    <n v="1"/>
  </r>
  <r>
    <n v="502"/>
    <x v="14"/>
    <x v="0"/>
    <s v="Boots"/>
    <x v="1"/>
    <n v="45"/>
    <s v="Florida"/>
    <s v="M"/>
    <s v="Cyan"/>
    <x v="1"/>
    <x v="3"/>
    <s v="Yes"/>
    <x v="2"/>
    <x v="0"/>
    <x v="0"/>
    <x v="33"/>
    <x v="0"/>
    <x v="2"/>
    <x v="0"/>
    <n v="45"/>
    <n v="1"/>
  </r>
  <r>
    <n v="503"/>
    <x v="35"/>
    <x v="0"/>
    <s v="Pants"/>
    <x v="0"/>
    <n v="30"/>
    <s v="South Carolina"/>
    <s v="S"/>
    <s v="Cyan"/>
    <x v="3"/>
    <x v="11"/>
    <s v="Yes"/>
    <x v="0"/>
    <x v="0"/>
    <x v="0"/>
    <x v="6"/>
    <x v="3"/>
    <x v="0"/>
    <x v="0"/>
    <n v="30"/>
    <n v="1"/>
  </r>
  <r>
    <n v="504"/>
    <x v="0"/>
    <x v="0"/>
    <s v="Shoes"/>
    <x v="1"/>
    <n v="24"/>
    <s v="West Virginia"/>
    <s v="M"/>
    <s v="Lavender"/>
    <x v="2"/>
    <x v="4"/>
    <s v="Yes"/>
    <x v="2"/>
    <x v="0"/>
    <x v="0"/>
    <x v="8"/>
    <x v="4"/>
    <x v="3"/>
    <x v="0"/>
    <n v="24"/>
    <n v="1"/>
  </r>
  <r>
    <n v="505"/>
    <x v="32"/>
    <x v="0"/>
    <s v="Shoes"/>
    <x v="1"/>
    <n v="22"/>
    <s v="Missouri"/>
    <s v="M"/>
    <s v="Maroon"/>
    <x v="0"/>
    <x v="20"/>
    <s v="Yes"/>
    <x v="1"/>
    <x v="0"/>
    <x v="0"/>
    <x v="8"/>
    <x v="3"/>
    <x v="2"/>
    <x v="2"/>
    <n v="22"/>
    <n v="1"/>
  </r>
  <r>
    <n v="506"/>
    <x v="12"/>
    <x v="0"/>
    <s v="T-shirt"/>
    <x v="0"/>
    <n v="63"/>
    <s v="Maine"/>
    <s v="L"/>
    <s v="Gray"/>
    <x v="1"/>
    <x v="24"/>
    <s v="Yes"/>
    <x v="0"/>
    <x v="0"/>
    <x v="0"/>
    <x v="44"/>
    <x v="1"/>
    <x v="4"/>
    <x v="0"/>
    <n v="63"/>
    <n v="1"/>
  </r>
  <r>
    <n v="507"/>
    <x v="48"/>
    <x v="0"/>
    <s v="Scarf"/>
    <x v="3"/>
    <n v="40"/>
    <s v="Georgia"/>
    <s v="M"/>
    <s v="Olive"/>
    <x v="3"/>
    <x v="2"/>
    <s v="Yes"/>
    <x v="4"/>
    <x v="0"/>
    <x v="0"/>
    <x v="26"/>
    <x v="5"/>
    <x v="2"/>
    <x v="2"/>
    <n v="40"/>
    <n v="1"/>
  </r>
  <r>
    <n v="508"/>
    <x v="13"/>
    <x v="0"/>
    <s v="Shorts"/>
    <x v="0"/>
    <n v="20"/>
    <s v="Maine"/>
    <s v="M"/>
    <s v="Magenta"/>
    <x v="1"/>
    <x v="16"/>
    <s v="Yes"/>
    <x v="5"/>
    <x v="0"/>
    <x v="0"/>
    <x v="42"/>
    <x v="5"/>
    <x v="0"/>
    <x v="0"/>
    <n v="20"/>
    <n v="1"/>
  </r>
  <r>
    <n v="509"/>
    <x v="7"/>
    <x v="0"/>
    <s v="Jewelry"/>
    <x v="3"/>
    <n v="20"/>
    <s v="Illinois"/>
    <s v="S"/>
    <s v="Yellow"/>
    <x v="0"/>
    <x v="18"/>
    <s v="Yes"/>
    <x v="5"/>
    <x v="0"/>
    <x v="0"/>
    <x v="4"/>
    <x v="3"/>
    <x v="3"/>
    <x v="2"/>
    <n v="20"/>
    <n v="1"/>
  </r>
  <r>
    <n v="510"/>
    <x v="38"/>
    <x v="0"/>
    <s v="T-shirt"/>
    <x v="0"/>
    <n v="80"/>
    <s v="Delaware"/>
    <s v="L"/>
    <s v="Cyan"/>
    <x v="2"/>
    <x v="20"/>
    <s v="Yes"/>
    <x v="1"/>
    <x v="0"/>
    <x v="0"/>
    <x v="14"/>
    <x v="5"/>
    <x v="1"/>
    <x v="2"/>
    <n v="80"/>
    <n v="1"/>
  </r>
  <r>
    <n v="511"/>
    <x v="3"/>
    <x v="0"/>
    <s v="Shirt"/>
    <x v="0"/>
    <n v="87"/>
    <s v="West Virginia"/>
    <s v="M"/>
    <s v="Teal"/>
    <x v="3"/>
    <x v="20"/>
    <s v="Yes"/>
    <x v="4"/>
    <x v="0"/>
    <x v="0"/>
    <x v="17"/>
    <x v="0"/>
    <x v="2"/>
    <x v="1"/>
    <n v="87"/>
    <n v="1"/>
  </r>
  <r>
    <n v="512"/>
    <x v="12"/>
    <x v="0"/>
    <s v="Shirt"/>
    <x v="0"/>
    <n v="46"/>
    <s v="Hawaii"/>
    <s v="L"/>
    <s v="Yellow"/>
    <x v="3"/>
    <x v="0"/>
    <s v="Yes"/>
    <x v="1"/>
    <x v="0"/>
    <x v="0"/>
    <x v="6"/>
    <x v="3"/>
    <x v="2"/>
    <x v="0"/>
    <n v="46"/>
    <n v="1"/>
  </r>
  <r>
    <n v="513"/>
    <x v="1"/>
    <x v="0"/>
    <s v="Gloves"/>
    <x v="3"/>
    <n v="49"/>
    <s v="New York"/>
    <s v="L"/>
    <s v="Peach"/>
    <x v="0"/>
    <x v="13"/>
    <s v="Yes"/>
    <x v="2"/>
    <x v="0"/>
    <x v="0"/>
    <x v="1"/>
    <x v="4"/>
    <x v="5"/>
    <x v="1"/>
    <n v="49"/>
    <n v="1"/>
  </r>
  <r>
    <n v="514"/>
    <x v="40"/>
    <x v="0"/>
    <s v="Scarf"/>
    <x v="3"/>
    <n v="65"/>
    <s v="New Mexico"/>
    <s v="M"/>
    <s v="Peach"/>
    <x v="3"/>
    <x v="15"/>
    <s v="Yes"/>
    <x v="5"/>
    <x v="0"/>
    <x v="0"/>
    <x v="24"/>
    <x v="0"/>
    <x v="2"/>
    <x v="1"/>
    <n v="65"/>
    <n v="1"/>
  </r>
  <r>
    <n v="515"/>
    <x v="14"/>
    <x v="0"/>
    <s v="Skirt"/>
    <x v="0"/>
    <n v="62"/>
    <s v="Indiana"/>
    <s v="S"/>
    <s v="Olive"/>
    <x v="0"/>
    <x v="24"/>
    <s v="Yes"/>
    <x v="3"/>
    <x v="0"/>
    <x v="0"/>
    <x v="39"/>
    <x v="3"/>
    <x v="3"/>
    <x v="0"/>
    <n v="62"/>
    <n v="1"/>
  </r>
  <r>
    <n v="516"/>
    <x v="48"/>
    <x v="0"/>
    <s v="Hat"/>
    <x v="3"/>
    <n v="67"/>
    <s v="Kentucky"/>
    <s v="L"/>
    <s v="Charcoal"/>
    <x v="1"/>
    <x v="9"/>
    <s v="Yes"/>
    <x v="2"/>
    <x v="0"/>
    <x v="0"/>
    <x v="22"/>
    <x v="1"/>
    <x v="5"/>
    <x v="2"/>
    <n v="67"/>
    <n v="1"/>
  </r>
  <r>
    <n v="517"/>
    <x v="50"/>
    <x v="0"/>
    <s v="Hoodie"/>
    <x v="0"/>
    <n v="41"/>
    <s v="West Virginia"/>
    <s v="L"/>
    <s v="Indigo"/>
    <x v="3"/>
    <x v="11"/>
    <s v="Yes"/>
    <x v="4"/>
    <x v="0"/>
    <x v="0"/>
    <x v="5"/>
    <x v="5"/>
    <x v="4"/>
    <x v="2"/>
    <n v="41"/>
    <n v="1"/>
  </r>
  <r>
    <n v="518"/>
    <x v="12"/>
    <x v="0"/>
    <s v="Boots"/>
    <x v="1"/>
    <n v="49"/>
    <s v="North Dakota"/>
    <s v="L"/>
    <s v="Silver"/>
    <x v="3"/>
    <x v="2"/>
    <s v="Yes"/>
    <x v="1"/>
    <x v="0"/>
    <x v="0"/>
    <x v="12"/>
    <x v="1"/>
    <x v="6"/>
    <x v="0"/>
    <n v="49"/>
    <n v="1"/>
  </r>
  <r>
    <n v="519"/>
    <x v="41"/>
    <x v="0"/>
    <s v="Blouse"/>
    <x v="0"/>
    <n v="100"/>
    <s v="Oregon"/>
    <s v="M"/>
    <s v="Beige"/>
    <x v="3"/>
    <x v="3"/>
    <s v="Yes"/>
    <x v="2"/>
    <x v="0"/>
    <x v="0"/>
    <x v="20"/>
    <x v="0"/>
    <x v="6"/>
    <x v="1"/>
    <n v="100"/>
    <n v="1"/>
  </r>
  <r>
    <n v="520"/>
    <x v="1"/>
    <x v="0"/>
    <s v="Belt"/>
    <x v="3"/>
    <n v="54"/>
    <s v="Minnesota"/>
    <s v="L"/>
    <s v="Blue"/>
    <x v="2"/>
    <x v="14"/>
    <s v="Yes"/>
    <x v="4"/>
    <x v="0"/>
    <x v="0"/>
    <x v="14"/>
    <x v="4"/>
    <x v="3"/>
    <x v="1"/>
    <n v="54"/>
    <n v="1"/>
  </r>
  <r>
    <n v="521"/>
    <x v="47"/>
    <x v="0"/>
    <s v="Sunglasses"/>
    <x v="3"/>
    <n v="84"/>
    <s v="South Carolina"/>
    <s v="M"/>
    <s v="White"/>
    <x v="1"/>
    <x v="20"/>
    <s v="Yes"/>
    <x v="1"/>
    <x v="0"/>
    <x v="0"/>
    <x v="41"/>
    <x v="5"/>
    <x v="3"/>
    <x v="0"/>
    <n v="84"/>
    <n v="1"/>
  </r>
  <r>
    <n v="522"/>
    <x v="24"/>
    <x v="0"/>
    <s v="Shorts"/>
    <x v="0"/>
    <n v="41"/>
    <s v="Vermont"/>
    <s v="L"/>
    <s v="Gold"/>
    <x v="0"/>
    <x v="1"/>
    <s v="Yes"/>
    <x v="3"/>
    <x v="0"/>
    <x v="0"/>
    <x v="16"/>
    <x v="4"/>
    <x v="2"/>
    <x v="2"/>
    <n v="41"/>
    <n v="1"/>
  </r>
  <r>
    <n v="523"/>
    <x v="13"/>
    <x v="0"/>
    <s v="Gloves"/>
    <x v="3"/>
    <n v="88"/>
    <s v="Minnesota"/>
    <s v="M"/>
    <s v="Blue"/>
    <x v="1"/>
    <x v="25"/>
    <s v="Yes"/>
    <x v="5"/>
    <x v="0"/>
    <x v="0"/>
    <x v="10"/>
    <x v="1"/>
    <x v="3"/>
    <x v="0"/>
    <n v="88"/>
    <n v="1"/>
  </r>
  <r>
    <n v="524"/>
    <x v="5"/>
    <x v="0"/>
    <s v="Sandals"/>
    <x v="1"/>
    <n v="40"/>
    <s v="Delaware"/>
    <s v="M"/>
    <s v="Orange"/>
    <x v="1"/>
    <x v="8"/>
    <s v="Yes"/>
    <x v="0"/>
    <x v="0"/>
    <x v="0"/>
    <x v="36"/>
    <x v="3"/>
    <x v="3"/>
    <x v="2"/>
    <n v="40"/>
    <n v="1"/>
  </r>
  <r>
    <n v="525"/>
    <x v="35"/>
    <x v="0"/>
    <s v="Shirt"/>
    <x v="0"/>
    <n v="39"/>
    <s v="Pennsylvania"/>
    <s v="M"/>
    <s v="Gold"/>
    <x v="2"/>
    <x v="6"/>
    <s v="Yes"/>
    <x v="1"/>
    <x v="0"/>
    <x v="0"/>
    <x v="12"/>
    <x v="3"/>
    <x v="2"/>
    <x v="0"/>
    <n v="39"/>
    <n v="1"/>
  </r>
  <r>
    <n v="526"/>
    <x v="47"/>
    <x v="0"/>
    <s v="Coat"/>
    <x v="2"/>
    <n v="37"/>
    <s v="Iowa"/>
    <s v="M"/>
    <s v="Cyan"/>
    <x v="1"/>
    <x v="4"/>
    <s v="Yes"/>
    <x v="2"/>
    <x v="0"/>
    <x v="0"/>
    <x v="23"/>
    <x v="5"/>
    <x v="5"/>
    <x v="0"/>
    <n v="37"/>
    <n v="1"/>
  </r>
  <r>
    <n v="527"/>
    <x v="47"/>
    <x v="0"/>
    <s v="Pants"/>
    <x v="0"/>
    <n v="52"/>
    <s v="New Jersey"/>
    <s v="S"/>
    <s v="Red"/>
    <x v="0"/>
    <x v="8"/>
    <s v="Yes"/>
    <x v="3"/>
    <x v="0"/>
    <x v="0"/>
    <x v="5"/>
    <x v="1"/>
    <x v="5"/>
    <x v="0"/>
    <n v="52"/>
    <n v="1"/>
  </r>
  <r>
    <n v="528"/>
    <x v="3"/>
    <x v="0"/>
    <s v="T-shirt"/>
    <x v="0"/>
    <n v="23"/>
    <s v="South Carolina"/>
    <s v="L"/>
    <s v="Yellow"/>
    <x v="0"/>
    <x v="24"/>
    <s v="Yes"/>
    <x v="2"/>
    <x v="0"/>
    <x v="0"/>
    <x v="39"/>
    <x v="4"/>
    <x v="6"/>
    <x v="1"/>
    <n v="23"/>
    <n v="1"/>
  </r>
  <r>
    <n v="529"/>
    <x v="50"/>
    <x v="0"/>
    <s v="Sneakers"/>
    <x v="1"/>
    <n v="88"/>
    <s v="Maryland"/>
    <s v="S"/>
    <s v="Beige"/>
    <x v="0"/>
    <x v="4"/>
    <s v="Yes"/>
    <x v="0"/>
    <x v="0"/>
    <x v="0"/>
    <x v="19"/>
    <x v="1"/>
    <x v="2"/>
    <x v="2"/>
    <n v="88"/>
    <n v="1"/>
  </r>
  <r>
    <n v="530"/>
    <x v="45"/>
    <x v="0"/>
    <s v="Shorts"/>
    <x v="0"/>
    <n v="84"/>
    <s v="California"/>
    <s v="M"/>
    <s v="Orange"/>
    <x v="3"/>
    <x v="18"/>
    <s v="Yes"/>
    <x v="3"/>
    <x v="0"/>
    <x v="0"/>
    <x v="49"/>
    <x v="2"/>
    <x v="5"/>
    <x v="2"/>
    <n v="84"/>
    <n v="1"/>
  </r>
  <r>
    <n v="531"/>
    <x v="39"/>
    <x v="0"/>
    <s v="Coat"/>
    <x v="2"/>
    <n v="37"/>
    <s v="Montana"/>
    <s v="XL"/>
    <s v="Magenta"/>
    <x v="0"/>
    <x v="4"/>
    <s v="Yes"/>
    <x v="5"/>
    <x v="0"/>
    <x v="0"/>
    <x v="29"/>
    <x v="2"/>
    <x v="4"/>
    <x v="2"/>
    <n v="37"/>
    <n v="1"/>
  </r>
  <r>
    <n v="532"/>
    <x v="2"/>
    <x v="0"/>
    <s v="Sandals"/>
    <x v="1"/>
    <n v="51"/>
    <s v="Vermont"/>
    <s v="L"/>
    <s v="Purple"/>
    <x v="3"/>
    <x v="23"/>
    <s v="Yes"/>
    <x v="2"/>
    <x v="0"/>
    <x v="0"/>
    <x v="38"/>
    <x v="1"/>
    <x v="1"/>
    <x v="2"/>
    <n v="51"/>
    <n v="1"/>
  </r>
  <r>
    <n v="533"/>
    <x v="8"/>
    <x v="0"/>
    <s v="Pants"/>
    <x v="0"/>
    <n v="76"/>
    <s v="Texas"/>
    <s v="L"/>
    <s v="Black"/>
    <x v="0"/>
    <x v="7"/>
    <s v="Yes"/>
    <x v="0"/>
    <x v="0"/>
    <x v="0"/>
    <x v="31"/>
    <x v="4"/>
    <x v="6"/>
    <x v="2"/>
    <n v="76"/>
    <n v="1"/>
  </r>
  <r>
    <n v="534"/>
    <x v="9"/>
    <x v="0"/>
    <s v="Sandals"/>
    <x v="1"/>
    <n v="60"/>
    <s v="North Carolina"/>
    <s v="L"/>
    <s v="Pink"/>
    <x v="1"/>
    <x v="9"/>
    <s v="Yes"/>
    <x v="2"/>
    <x v="0"/>
    <x v="0"/>
    <x v="14"/>
    <x v="5"/>
    <x v="1"/>
    <x v="0"/>
    <n v="60"/>
    <n v="1"/>
  </r>
  <r>
    <n v="535"/>
    <x v="13"/>
    <x v="0"/>
    <s v="Gloves"/>
    <x v="3"/>
    <n v="72"/>
    <s v="Florida"/>
    <s v="L"/>
    <s v="Pink"/>
    <x v="3"/>
    <x v="9"/>
    <s v="Yes"/>
    <x v="2"/>
    <x v="0"/>
    <x v="0"/>
    <x v="7"/>
    <x v="3"/>
    <x v="3"/>
    <x v="0"/>
    <n v="72"/>
    <n v="1"/>
  </r>
  <r>
    <n v="536"/>
    <x v="19"/>
    <x v="0"/>
    <s v="T-shirt"/>
    <x v="0"/>
    <n v="45"/>
    <s v="West Virginia"/>
    <s v="L"/>
    <s v="Maroon"/>
    <x v="1"/>
    <x v="4"/>
    <s v="Yes"/>
    <x v="1"/>
    <x v="0"/>
    <x v="0"/>
    <x v="37"/>
    <x v="4"/>
    <x v="1"/>
    <x v="0"/>
    <n v="45"/>
    <n v="1"/>
  </r>
  <r>
    <n v="537"/>
    <x v="42"/>
    <x v="0"/>
    <s v="Jacket"/>
    <x v="2"/>
    <n v="84"/>
    <s v="Illinois"/>
    <s v="S"/>
    <s v="Maroon"/>
    <x v="3"/>
    <x v="14"/>
    <s v="Yes"/>
    <x v="5"/>
    <x v="0"/>
    <x v="0"/>
    <x v="20"/>
    <x v="5"/>
    <x v="6"/>
    <x v="2"/>
    <n v="84"/>
    <n v="1"/>
  </r>
  <r>
    <n v="538"/>
    <x v="2"/>
    <x v="0"/>
    <s v="Blouse"/>
    <x v="0"/>
    <n v="49"/>
    <s v="Virginia"/>
    <s v="S"/>
    <s v="Turquoise"/>
    <x v="2"/>
    <x v="21"/>
    <s v="Yes"/>
    <x v="5"/>
    <x v="0"/>
    <x v="0"/>
    <x v="0"/>
    <x v="5"/>
    <x v="2"/>
    <x v="2"/>
    <n v="49"/>
    <n v="1"/>
  </r>
  <r>
    <n v="539"/>
    <x v="7"/>
    <x v="0"/>
    <s v="Socks"/>
    <x v="0"/>
    <n v="22"/>
    <s v="Virginia"/>
    <s v="XL"/>
    <s v="Green"/>
    <x v="1"/>
    <x v="4"/>
    <s v="Yes"/>
    <x v="1"/>
    <x v="0"/>
    <x v="0"/>
    <x v="34"/>
    <x v="1"/>
    <x v="1"/>
    <x v="2"/>
    <n v="22"/>
    <n v="1"/>
  </r>
  <r>
    <n v="540"/>
    <x v="34"/>
    <x v="0"/>
    <s v="Coat"/>
    <x v="2"/>
    <n v="48"/>
    <s v="Wyoming"/>
    <s v="M"/>
    <s v="Violet"/>
    <x v="0"/>
    <x v="17"/>
    <s v="Yes"/>
    <x v="5"/>
    <x v="0"/>
    <x v="0"/>
    <x v="3"/>
    <x v="5"/>
    <x v="1"/>
    <x v="2"/>
    <n v="48"/>
    <n v="1"/>
  </r>
  <r>
    <n v="541"/>
    <x v="34"/>
    <x v="0"/>
    <s v="Dress"/>
    <x v="0"/>
    <n v="37"/>
    <s v="South Carolina"/>
    <s v="M"/>
    <s v="Lavender"/>
    <x v="1"/>
    <x v="0"/>
    <s v="Yes"/>
    <x v="2"/>
    <x v="0"/>
    <x v="0"/>
    <x v="42"/>
    <x v="1"/>
    <x v="6"/>
    <x v="2"/>
    <n v="37"/>
    <n v="1"/>
  </r>
  <r>
    <n v="542"/>
    <x v="16"/>
    <x v="0"/>
    <s v="Jacket"/>
    <x v="2"/>
    <n v="27"/>
    <s v="Connecticut"/>
    <s v="L"/>
    <s v="Gray"/>
    <x v="3"/>
    <x v="11"/>
    <s v="Yes"/>
    <x v="2"/>
    <x v="0"/>
    <x v="0"/>
    <x v="24"/>
    <x v="1"/>
    <x v="4"/>
    <x v="0"/>
    <n v="27"/>
    <n v="1"/>
  </r>
  <r>
    <n v="543"/>
    <x v="7"/>
    <x v="0"/>
    <s v="Boots"/>
    <x v="1"/>
    <n v="79"/>
    <s v="Illinois"/>
    <s v="XL"/>
    <s v="Teal"/>
    <x v="1"/>
    <x v="12"/>
    <s v="Yes"/>
    <x v="2"/>
    <x v="0"/>
    <x v="0"/>
    <x v="31"/>
    <x v="1"/>
    <x v="4"/>
    <x v="2"/>
    <n v="79"/>
    <n v="1"/>
  </r>
  <r>
    <n v="544"/>
    <x v="10"/>
    <x v="0"/>
    <s v="Skirt"/>
    <x v="0"/>
    <n v="98"/>
    <s v="Alabama"/>
    <s v="S"/>
    <s v="Red"/>
    <x v="1"/>
    <x v="24"/>
    <s v="Yes"/>
    <x v="0"/>
    <x v="0"/>
    <x v="0"/>
    <x v="47"/>
    <x v="2"/>
    <x v="5"/>
    <x v="0"/>
    <n v="98"/>
    <n v="1"/>
  </r>
  <r>
    <n v="545"/>
    <x v="50"/>
    <x v="0"/>
    <s v="Sandals"/>
    <x v="1"/>
    <n v="64"/>
    <s v="Washington"/>
    <s v="S"/>
    <s v="Yellow"/>
    <x v="2"/>
    <x v="13"/>
    <s v="Yes"/>
    <x v="3"/>
    <x v="0"/>
    <x v="0"/>
    <x v="48"/>
    <x v="4"/>
    <x v="6"/>
    <x v="2"/>
    <n v="64"/>
    <n v="1"/>
  </r>
  <r>
    <n v="546"/>
    <x v="23"/>
    <x v="0"/>
    <s v="Coat"/>
    <x v="2"/>
    <n v="32"/>
    <s v="Alabama"/>
    <s v="L"/>
    <s v="Magenta"/>
    <x v="2"/>
    <x v="1"/>
    <s v="Yes"/>
    <x v="4"/>
    <x v="0"/>
    <x v="0"/>
    <x v="26"/>
    <x v="5"/>
    <x v="2"/>
    <x v="2"/>
    <n v="32"/>
    <n v="1"/>
  </r>
  <r>
    <n v="547"/>
    <x v="46"/>
    <x v="0"/>
    <s v="Hoodie"/>
    <x v="0"/>
    <n v="74"/>
    <s v="New Mexico"/>
    <s v="M"/>
    <s v="Brown"/>
    <x v="0"/>
    <x v="23"/>
    <s v="Yes"/>
    <x v="1"/>
    <x v="0"/>
    <x v="0"/>
    <x v="24"/>
    <x v="0"/>
    <x v="4"/>
    <x v="0"/>
    <n v="74"/>
    <n v="1"/>
  </r>
  <r>
    <n v="548"/>
    <x v="21"/>
    <x v="0"/>
    <s v="Jacket"/>
    <x v="2"/>
    <n v="50"/>
    <s v="Nevada"/>
    <s v="M"/>
    <s v="Blue"/>
    <x v="0"/>
    <x v="11"/>
    <s v="Yes"/>
    <x v="1"/>
    <x v="0"/>
    <x v="0"/>
    <x v="8"/>
    <x v="0"/>
    <x v="1"/>
    <x v="2"/>
    <n v="50"/>
    <n v="1"/>
  </r>
  <r>
    <n v="549"/>
    <x v="24"/>
    <x v="0"/>
    <s v="Backpack"/>
    <x v="3"/>
    <n v="64"/>
    <s v="Nebraska"/>
    <s v="M"/>
    <s v="Black"/>
    <x v="0"/>
    <x v="12"/>
    <s v="Yes"/>
    <x v="5"/>
    <x v="0"/>
    <x v="0"/>
    <x v="23"/>
    <x v="5"/>
    <x v="6"/>
    <x v="2"/>
    <n v="64"/>
    <n v="1"/>
  </r>
  <r>
    <n v="550"/>
    <x v="18"/>
    <x v="0"/>
    <s v="Backpack"/>
    <x v="3"/>
    <n v="29"/>
    <s v="Arizona"/>
    <s v="S"/>
    <s v="Olive"/>
    <x v="3"/>
    <x v="15"/>
    <s v="Yes"/>
    <x v="0"/>
    <x v="0"/>
    <x v="0"/>
    <x v="10"/>
    <x v="0"/>
    <x v="4"/>
    <x v="2"/>
    <n v="29"/>
    <n v="1"/>
  </r>
  <r>
    <n v="551"/>
    <x v="46"/>
    <x v="0"/>
    <s v="Belt"/>
    <x v="3"/>
    <n v="62"/>
    <s v="Georgia"/>
    <s v="M"/>
    <s v="Olive"/>
    <x v="2"/>
    <x v="13"/>
    <s v="Yes"/>
    <x v="5"/>
    <x v="0"/>
    <x v="0"/>
    <x v="45"/>
    <x v="3"/>
    <x v="1"/>
    <x v="0"/>
    <n v="62"/>
    <n v="1"/>
  </r>
  <r>
    <n v="552"/>
    <x v="26"/>
    <x v="0"/>
    <s v="Coat"/>
    <x v="2"/>
    <n v="78"/>
    <s v="Idaho"/>
    <s v="XL"/>
    <s v="Green"/>
    <x v="3"/>
    <x v="0"/>
    <s v="Yes"/>
    <x v="4"/>
    <x v="0"/>
    <x v="0"/>
    <x v="46"/>
    <x v="1"/>
    <x v="4"/>
    <x v="2"/>
    <n v="78"/>
    <n v="1"/>
  </r>
  <r>
    <n v="553"/>
    <x v="41"/>
    <x v="0"/>
    <s v="T-shirt"/>
    <x v="0"/>
    <n v="94"/>
    <s v="Missouri"/>
    <s v="M"/>
    <s v="Peach"/>
    <x v="3"/>
    <x v="1"/>
    <s v="Yes"/>
    <x v="0"/>
    <x v="0"/>
    <x v="0"/>
    <x v="27"/>
    <x v="4"/>
    <x v="1"/>
    <x v="1"/>
    <n v="94"/>
    <n v="1"/>
  </r>
  <r>
    <n v="554"/>
    <x v="6"/>
    <x v="0"/>
    <s v="Sunglasses"/>
    <x v="3"/>
    <n v="59"/>
    <s v="Florida"/>
    <s v="M"/>
    <s v="White"/>
    <x v="0"/>
    <x v="4"/>
    <s v="Yes"/>
    <x v="0"/>
    <x v="0"/>
    <x v="0"/>
    <x v="28"/>
    <x v="2"/>
    <x v="3"/>
    <x v="0"/>
    <n v="59"/>
    <n v="1"/>
  </r>
  <r>
    <n v="555"/>
    <x v="19"/>
    <x v="0"/>
    <s v="Sneakers"/>
    <x v="1"/>
    <n v="47"/>
    <s v="Minnesota"/>
    <s v="M"/>
    <s v="Red"/>
    <x v="2"/>
    <x v="21"/>
    <s v="Yes"/>
    <x v="0"/>
    <x v="0"/>
    <x v="0"/>
    <x v="11"/>
    <x v="4"/>
    <x v="1"/>
    <x v="0"/>
    <n v="47"/>
    <n v="1"/>
  </r>
  <r>
    <n v="556"/>
    <x v="6"/>
    <x v="0"/>
    <s v="Gloves"/>
    <x v="3"/>
    <n v="57"/>
    <s v="Maine"/>
    <s v="M"/>
    <s v="White"/>
    <x v="3"/>
    <x v="6"/>
    <s v="Yes"/>
    <x v="0"/>
    <x v="0"/>
    <x v="0"/>
    <x v="10"/>
    <x v="0"/>
    <x v="2"/>
    <x v="0"/>
    <n v="57"/>
    <n v="1"/>
  </r>
  <r>
    <n v="557"/>
    <x v="37"/>
    <x v="0"/>
    <s v="Coat"/>
    <x v="2"/>
    <n v="90"/>
    <s v="Montana"/>
    <s v="L"/>
    <s v="Indigo"/>
    <x v="0"/>
    <x v="16"/>
    <s v="Yes"/>
    <x v="5"/>
    <x v="0"/>
    <x v="0"/>
    <x v="33"/>
    <x v="1"/>
    <x v="0"/>
    <x v="2"/>
    <n v="90"/>
    <n v="1"/>
  </r>
  <r>
    <n v="558"/>
    <x v="20"/>
    <x v="0"/>
    <s v="Shirt"/>
    <x v="0"/>
    <n v="60"/>
    <s v="Alaska"/>
    <s v="M"/>
    <s v="White"/>
    <x v="1"/>
    <x v="3"/>
    <s v="Yes"/>
    <x v="1"/>
    <x v="0"/>
    <x v="0"/>
    <x v="4"/>
    <x v="5"/>
    <x v="1"/>
    <x v="1"/>
    <n v="60"/>
    <n v="1"/>
  </r>
  <r>
    <n v="559"/>
    <x v="2"/>
    <x v="0"/>
    <s v="Sneakers"/>
    <x v="1"/>
    <n v="77"/>
    <s v="Iowa"/>
    <s v="L"/>
    <s v="Teal"/>
    <x v="3"/>
    <x v="4"/>
    <s v="Yes"/>
    <x v="0"/>
    <x v="0"/>
    <x v="0"/>
    <x v="34"/>
    <x v="5"/>
    <x v="6"/>
    <x v="2"/>
    <n v="77"/>
    <n v="1"/>
  </r>
  <r>
    <n v="560"/>
    <x v="17"/>
    <x v="0"/>
    <s v="Scarf"/>
    <x v="3"/>
    <n v="41"/>
    <s v="Arizona"/>
    <s v="M"/>
    <s v="Indigo"/>
    <x v="3"/>
    <x v="3"/>
    <s v="Yes"/>
    <x v="5"/>
    <x v="0"/>
    <x v="0"/>
    <x v="17"/>
    <x v="4"/>
    <x v="5"/>
    <x v="0"/>
    <n v="41"/>
    <n v="1"/>
  </r>
  <r>
    <n v="561"/>
    <x v="15"/>
    <x v="0"/>
    <s v="Jewelry"/>
    <x v="3"/>
    <n v="48"/>
    <s v="Louisiana"/>
    <s v="L"/>
    <s v="Red"/>
    <x v="3"/>
    <x v="13"/>
    <s v="Yes"/>
    <x v="1"/>
    <x v="0"/>
    <x v="0"/>
    <x v="45"/>
    <x v="5"/>
    <x v="2"/>
    <x v="1"/>
    <n v="48"/>
    <n v="1"/>
  </r>
  <r>
    <n v="562"/>
    <x v="13"/>
    <x v="0"/>
    <s v="Jacket"/>
    <x v="2"/>
    <n v="65"/>
    <s v="Alabama"/>
    <s v="M"/>
    <s v="Blue"/>
    <x v="3"/>
    <x v="5"/>
    <s v="Yes"/>
    <x v="2"/>
    <x v="0"/>
    <x v="0"/>
    <x v="29"/>
    <x v="3"/>
    <x v="0"/>
    <x v="0"/>
    <n v="65"/>
    <n v="1"/>
  </r>
  <r>
    <n v="563"/>
    <x v="10"/>
    <x v="0"/>
    <s v="Jeans"/>
    <x v="0"/>
    <n v="62"/>
    <s v="Missouri"/>
    <s v="M"/>
    <s v="Blue"/>
    <x v="2"/>
    <x v="1"/>
    <s v="Yes"/>
    <x v="3"/>
    <x v="0"/>
    <x v="0"/>
    <x v="19"/>
    <x v="5"/>
    <x v="2"/>
    <x v="0"/>
    <n v="62"/>
    <n v="1"/>
  </r>
  <r>
    <n v="564"/>
    <x v="12"/>
    <x v="0"/>
    <s v="Shoes"/>
    <x v="1"/>
    <n v="99"/>
    <s v="Idaho"/>
    <s v="M"/>
    <s v="Black"/>
    <x v="3"/>
    <x v="14"/>
    <s v="Yes"/>
    <x v="3"/>
    <x v="0"/>
    <x v="0"/>
    <x v="20"/>
    <x v="5"/>
    <x v="3"/>
    <x v="0"/>
    <n v="99"/>
    <n v="1"/>
  </r>
  <r>
    <n v="565"/>
    <x v="29"/>
    <x v="0"/>
    <s v="Hoodie"/>
    <x v="0"/>
    <n v="58"/>
    <s v="Florida"/>
    <s v="M"/>
    <s v="Olive"/>
    <x v="0"/>
    <x v="23"/>
    <s v="Yes"/>
    <x v="2"/>
    <x v="0"/>
    <x v="0"/>
    <x v="48"/>
    <x v="4"/>
    <x v="1"/>
    <x v="0"/>
    <n v="58"/>
    <n v="1"/>
  </r>
  <r>
    <n v="566"/>
    <x v="35"/>
    <x v="0"/>
    <s v="Backpack"/>
    <x v="3"/>
    <n v="43"/>
    <s v="Idaho"/>
    <s v="L"/>
    <s v="Lavender"/>
    <x v="3"/>
    <x v="19"/>
    <s v="Yes"/>
    <x v="5"/>
    <x v="0"/>
    <x v="0"/>
    <x v="9"/>
    <x v="0"/>
    <x v="1"/>
    <x v="0"/>
    <n v="43"/>
    <n v="1"/>
  </r>
  <r>
    <n v="567"/>
    <x v="0"/>
    <x v="0"/>
    <s v="Sneakers"/>
    <x v="1"/>
    <n v="93"/>
    <s v="Alabama"/>
    <s v="M"/>
    <s v="Indigo"/>
    <x v="1"/>
    <x v="15"/>
    <s v="Yes"/>
    <x v="5"/>
    <x v="0"/>
    <x v="0"/>
    <x v="43"/>
    <x v="5"/>
    <x v="0"/>
    <x v="0"/>
    <n v="93"/>
    <n v="1"/>
  </r>
  <r>
    <n v="568"/>
    <x v="3"/>
    <x v="0"/>
    <s v="Blouse"/>
    <x v="0"/>
    <n v="50"/>
    <s v="New Hampshire"/>
    <s v="S"/>
    <s v="Red"/>
    <x v="0"/>
    <x v="21"/>
    <s v="Yes"/>
    <x v="2"/>
    <x v="0"/>
    <x v="0"/>
    <x v="37"/>
    <x v="0"/>
    <x v="0"/>
    <x v="1"/>
    <n v="50"/>
    <n v="1"/>
  </r>
  <r>
    <n v="569"/>
    <x v="42"/>
    <x v="0"/>
    <s v="Pants"/>
    <x v="0"/>
    <n v="88"/>
    <s v="Utah"/>
    <s v="L"/>
    <s v="Red"/>
    <x v="2"/>
    <x v="17"/>
    <s v="Yes"/>
    <x v="1"/>
    <x v="0"/>
    <x v="0"/>
    <x v="13"/>
    <x v="3"/>
    <x v="5"/>
    <x v="2"/>
    <n v="88"/>
    <n v="1"/>
  </r>
  <r>
    <n v="570"/>
    <x v="13"/>
    <x v="0"/>
    <s v="Skirt"/>
    <x v="0"/>
    <n v="33"/>
    <s v="Alabama"/>
    <s v="M"/>
    <s v="Pink"/>
    <x v="3"/>
    <x v="14"/>
    <s v="Yes"/>
    <x v="0"/>
    <x v="0"/>
    <x v="0"/>
    <x v="15"/>
    <x v="2"/>
    <x v="6"/>
    <x v="0"/>
    <n v="33"/>
    <n v="1"/>
  </r>
  <r>
    <n v="571"/>
    <x v="13"/>
    <x v="0"/>
    <s v="T-shirt"/>
    <x v="0"/>
    <n v="99"/>
    <s v="Iowa"/>
    <s v="XL"/>
    <s v="Purple"/>
    <x v="3"/>
    <x v="7"/>
    <s v="Yes"/>
    <x v="3"/>
    <x v="0"/>
    <x v="0"/>
    <x v="41"/>
    <x v="1"/>
    <x v="2"/>
    <x v="0"/>
    <n v="99"/>
    <n v="1"/>
  </r>
  <r>
    <n v="572"/>
    <x v="22"/>
    <x v="0"/>
    <s v="Jacket"/>
    <x v="2"/>
    <n v="76"/>
    <s v="Kentucky"/>
    <s v="XL"/>
    <s v="Cyan"/>
    <x v="1"/>
    <x v="15"/>
    <s v="Yes"/>
    <x v="1"/>
    <x v="0"/>
    <x v="0"/>
    <x v="10"/>
    <x v="0"/>
    <x v="1"/>
    <x v="0"/>
    <n v="76"/>
    <n v="1"/>
  </r>
  <r>
    <n v="573"/>
    <x v="19"/>
    <x v="0"/>
    <s v="Scarf"/>
    <x v="3"/>
    <n v="97"/>
    <s v="South Carolina"/>
    <s v="XL"/>
    <s v="Cyan"/>
    <x v="2"/>
    <x v="12"/>
    <s v="Yes"/>
    <x v="2"/>
    <x v="0"/>
    <x v="0"/>
    <x v="8"/>
    <x v="4"/>
    <x v="2"/>
    <x v="0"/>
    <n v="97"/>
    <n v="1"/>
  </r>
  <r>
    <n v="574"/>
    <x v="44"/>
    <x v="0"/>
    <s v="Pants"/>
    <x v="0"/>
    <n v="68"/>
    <s v="California"/>
    <s v="M"/>
    <s v="Charcoal"/>
    <x v="2"/>
    <x v="4"/>
    <s v="Yes"/>
    <x v="4"/>
    <x v="0"/>
    <x v="0"/>
    <x v="2"/>
    <x v="2"/>
    <x v="4"/>
    <x v="0"/>
    <n v="68"/>
    <n v="1"/>
  </r>
  <r>
    <n v="575"/>
    <x v="22"/>
    <x v="0"/>
    <s v="Sneakers"/>
    <x v="1"/>
    <n v="79"/>
    <s v="Maine"/>
    <s v="L"/>
    <s v="Red"/>
    <x v="3"/>
    <x v="6"/>
    <s v="Yes"/>
    <x v="1"/>
    <x v="0"/>
    <x v="0"/>
    <x v="41"/>
    <x v="4"/>
    <x v="4"/>
    <x v="0"/>
    <n v="79"/>
    <n v="1"/>
  </r>
  <r>
    <n v="576"/>
    <x v="44"/>
    <x v="0"/>
    <s v="Jeans"/>
    <x v="0"/>
    <n v="86"/>
    <s v="Nebraska"/>
    <s v="M"/>
    <s v="Peach"/>
    <x v="3"/>
    <x v="6"/>
    <s v="Yes"/>
    <x v="0"/>
    <x v="0"/>
    <x v="0"/>
    <x v="25"/>
    <x v="3"/>
    <x v="5"/>
    <x v="0"/>
    <n v="86"/>
    <n v="1"/>
  </r>
  <r>
    <n v="577"/>
    <x v="39"/>
    <x v="0"/>
    <s v="Hat"/>
    <x v="3"/>
    <n v="68"/>
    <s v="Washington"/>
    <s v="M"/>
    <s v="Black"/>
    <x v="0"/>
    <x v="16"/>
    <s v="Yes"/>
    <x v="4"/>
    <x v="0"/>
    <x v="0"/>
    <x v="36"/>
    <x v="2"/>
    <x v="6"/>
    <x v="2"/>
    <n v="68"/>
    <n v="1"/>
  </r>
  <r>
    <n v="578"/>
    <x v="1"/>
    <x v="0"/>
    <s v="Skirt"/>
    <x v="0"/>
    <n v="52"/>
    <s v="Alabama"/>
    <s v="M"/>
    <s v="Black"/>
    <x v="3"/>
    <x v="18"/>
    <s v="Yes"/>
    <x v="5"/>
    <x v="0"/>
    <x v="0"/>
    <x v="23"/>
    <x v="0"/>
    <x v="2"/>
    <x v="1"/>
    <n v="52"/>
    <n v="1"/>
  </r>
  <r>
    <n v="579"/>
    <x v="28"/>
    <x v="0"/>
    <s v="Sandals"/>
    <x v="1"/>
    <n v="90"/>
    <s v="Maine"/>
    <s v="M"/>
    <s v="Purple"/>
    <x v="3"/>
    <x v="12"/>
    <s v="Yes"/>
    <x v="2"/>
    <x v="0"/>
    <x v="0"/>
    <x v="17"/>
    <x v="2"/>
    <x v="0"/>
    <x v="0"/>
    <n v="90"/>
    <n v="1"/>
  </r>
  <r>
    <n v="580"/>
    <x v="44"/>
    <x v="0"/>
    <s v="Sandals"/>
    <x v="1"/>
    <n v="41"/>
    <s v="California"/>
    <s v="M"/>
    <s v="Violet"/>
    <x v="0"/>
    <x v="18"/>
    <s v="Yes"/>
    <x v="1"/>
    <x v="0"/>
    <x v="0"/>
    <x v="26"/>
    <x v="2"/>
    <x v="2"/>
    <x v="0"/>
    <n v="41"/>
    <n v="1"/>
  </r>
  <r>
    <n v="581"/>
    <x v="34"/>
    <x v="0"/>
    <s v="Sweater"/>
    <x v="0"/>
    <n v="80"/>
    <s v="Iowa"/>
    <s v="M"/>
    <s v="Orange"/>
    <x v="1"/>
    <x v="7"/>
    <s v="Yes"/>
    <x v="1"/>
    <x v="0"/>
    <x v="0"/>
    <x v="9"/>
    <x v="3"/>
    <x v="1"/>
    <x v="2"/>
    <n v="80"/>
    <n v="1"/>
  </r>
  <r>
    <n v="582"/>
    <x v="45"/>
    <x v="0"/>
    <s v="Sweater"/>
    <x v="0"/>
    <n v="100"/>
    <s v="Iowa"/>
    <s v="XL"/>
    <s v="Charcoal"/>
    <x v="0"/>
    <x v="2"/>
    <s v="Yes"/>
    <x v="5"/>
    <x v="0"/>
    <x v="0"/>
    <x v="45"/>
    <x v="4"/>
    <x v="6"/>
    <x v="2"/>
    <n v="100"/>
    <n v="1"/>
  </r>
  <r>
    <n v="583"/>
    <x v="37"/>
    <x v="0"/>
    <s v="Jacket"/>
    <x v="2"/>
    <n v="77"/>
    <s v="Colorado"/>
    <s v="L"/>
    <s v="Turquoise"/>
    <x v="1"/>
    <x v="8"/>
    <s v="Yes"/>
    <x v="5"/>
    <x v="0"/>
    <x v="0"/>
    <x v="1"/>
    <x v="4"/>
    <x v="3"/>
    <x v="2"/>
    <n v="77"/>
    <n v="1"/>
  </r>
  <r>
    <n v="584"/>
    <x v="15"/>
    <x v="0"/>
    <s v="Shorts"/>
    <x v="0"/>
    <n v="78"/>
    <s v="California"/>
    <s v="L"/>
    <s v="Yellow"/>
    <x v="1"/>
    <x v="17"/>
    <s v="Yes"/>
    <x v="5"/>
    <x v="0"/>
    <x v="0"/>
    <x v="25"/>
    <x v="3"/>
    <x v="5"/>
    <x v="1"/>
    <n v="78"/>
    <n v="1"/>
  </r>
  <r>
    <n v="585"/>
    <x v="27"/>
    <x v="0"/>
    <s v="Socks"/>
    <x v="0"/>
    <n v="94"/>
    <s v="Indiana"/>
    <s v="M"/>
    <s v="White"/>
    <x v="1"/>
    <x v="10"/>
    <s v="Yes"/>
    <x v="1"/>
    <x v="0"/>
    <x v="0"/>
    <x v="41"/>
    <x v="5"/>
    <x v="5"/>
    <x v="0"/>
    <n v="94"/>
    <n v="1"/>
  </r>
  <r>
    <n v="586"/>
    <x v="28"/>
    <x v="0"/>
    <s v="Socks"/>
    <x v="0"/>
    <n v="23"/>
    <s v="South Carolina"/>
    <s v="M"/>
    <s v="Gray"/>
    <x v="3"/>
    <x v="11"/>
    <s v="Yes"/>
    <x v="2"/>
    <x v="0"/>
    <x v="0"/>
    <x v="36"/>
    <x v="1"/>
    <x v="6"/>
    <x v="0"/>
    <n v="23"/>
    <n v="1"/>
  </r>
  <r>
    <n v="587"/>
    <x v="4"/>
    <x v="0"/>
    <s v="Hoodie"/>
    <x v="0"/>
    <n v="20"/>
    <s v="Wisconsin"/>
    <s v="S"/>
    <s v="Blue"/>
    <x v="0"/>
    <x v="8"/>
    <s v="Yes"/>
    <x v="4"/>
    <x v="0"/>
    <x v="0"/>
    <x v="44"/>
    <x v="0"/>
    <x v="2"/>
    <x v="2"/>
    <n v="20"/>
    <n v="1"/>
  </r>
  <r>
    <n v="588"/>
    <x v="26"/>
    <x v="0"/>
    <s v="Socks"/>
    <x v="0"/>
    <n v="86"/>
    <s v="Washington"/>
    <s v="S"/>
    <s v="Maroon"/>
    <x v="3"/>
    <x v="19"/>
    <s v="Yes"/>
    <x v="0"/>
    <x v="0"/>
    <x v="0"/>
    <x v="26"/>
    <x v="5"/>
    <x v="6"/>
    <x v="2"/>
    <n v="86"/>
    <n v="1"/>
  </r>
  <r>
    <n v="589"/>
    <x v="36"/>
    <x v="0"/>
    <s v="Boots"/>
    <x v="1"/>
    <n v="60"/>
    <s v="South Dakota"/>
    <s v="M"/>
    <s v="Violet"/>
    <x v="3"/>
    <x v="21"/>
    <s v="Yes"/>
    <x v="3"/>
    <x v="0"/>
    <x v="0"/>
    <x v="44"/>
    <x v="5"/>
    <x v="3"/>
    <x v="2"/>
    <n v="60"/>
    <n v="1"/>
  </r>
  <r>
    <n v="590"/>
    <x v="48"/>
    <x v="0"/>
    <s v="Shirt"/>
    <x v="0"/>
    <n v="70"/>
    <s v="Minnesota"/>
    <s v="M"/>
    <s v="Orange"/>
    <x v="3"/>
    <x v="23"/>
    <s v="Yes"/>
    <x v="4"/>
    <x v="0"/>
    <x v="0"/>
    <x v="19"/>
    <x v="3"/>
    <x v="2"/>
    <x v="2"/>
    <n v="70"/>
    <n v="1"/>
  </r>
  <r>
    <n v="591"/>
    <x v="14"/>
    <x v="0"/>
    <s v="Belt"/>
    <x v="3"/>
    <n v="39"/>
    <s v="Alaska"/>
    <s v="S"/>
    <s v="Turquoise"/>
    <x v="3"/>
    <x v="12"/>
    <s v="Yes"/>
    <x v="3"/>
    <x v="0"/>
    <x v="0"/>
    <x v="48"/>
    <x v="0"/>
    <x v="0"/>
    <x v="0"/>
    <n v="39"/>
    <n v="1"/>
  </r>
  <r>
    <n v="592"/>
    <x v="36"/>
    <x v="0"/>
    <s v="Backpack"/>
    <x v="3"/>
    <n v="37"/>
    <s v="Kentucky"/>
    <s v="L"/>
    <s v="Olive"/>
    <x v="3"/>
    <x v="19"/>
    <s v="Yes"/>
    <x v="5"/>
    <x v="0"/>
    <x v="0"/>
    <x v="49"/>
    <x v="5"/>
    <x v="4"/>
    <x v="2"/>
    <n v="37"/>
    <n v="1"/>
  </r>
  <r>
    <n v="593"/>
    <x v="52"/>
    <x v="0"/>
    <s v="Boots"/>
    <x v="1"/>
    <n v="29"/>
    <s v="North Dakota"/>
    <s v="M"/>
    <s v="Brown"/>
    <x v="3"/>
    <x v="4"/>
    <s v="Yes"/>
    <x v="1"/>
    <x v="0"/>
    <x v="0"/>
    <x v="38"/>
    <x v="0"/>
    <x v="6"/>
    <x v="0"/>
    <n v="29"/>
    <n v="1"/>
  </r>
  <r>
    <n v="594"/>
    <x v="29"/>
    <x v="0"/>
    <s v="Coat"/>
    <x v="2"/>
    <n v="35"/>
    <s v="Alaska"/>
    <s v="S"/>
    <s v="Green"/>
    <x v="0"/>
    <x v="14"/>
    <s v="Yes"/>
    <x v="5"/>
    <x v="0"/>
    <x v="0"/>
    <x v="44"/>
    <x v="3"/>
    <x v="6"/>
    <x v="0"/>
    <n v="35"/>
    <n v="1"/>
  </r>
  <r>
    <n v="595"/>
    <x v="25"/>
    <x v="0"/>
    <s v="Hoodie"/>
    <x v="0"/>
    <n v="83"/>
    <s v="Oklahoma"/>
    <s v="S"/>
    <s v="Brown"/>
    <x v="0"/>
    <x v="25"/>
    <s v="Yes"/>
    <x v="2"/>
    <x v="0"/>
    <x v="0"/>
    <x v="49"/>
    <x v="5"/>
    <x v="5"/>
    <x v="2"/>
    <n v="83"/>
    <n v="1"/>
  </r>
  <r>
    <n v="596"/>
    <x v="11"/>
    <x v="0"/>
    <s v="Shoes"/>
    <x v="1"/>
    <n v="77"/>
    <s v="Delaware"/>
    <s v="M"/>
    <s v="Silver"/>
    <x v="2"/>
    <x v="15"/>
    <s v="Yes"/>
    <x v="2"/>
    <x v="0"/>
    <x v="0"/>
    <x v="39"/>
    <x v="3"/>
    <x v="3"/>
    <x v="2"/>
    <n v="77"/>
    <n v="1"/>
  </r>
  <r>
    <n v="597"/>
    <x v="51"/>
    <x v="0"/>
    <s v="Shoes"/>
    <x v="1"/>
    <n v="37"/>
    <s v="Montana"/>
    <s v="XL"/>
    <s v="White"/>
    <x v="2"/>
    <x v="9"/>
    <s v="Yes"/>
    <x v="5"/>
    <x v="0"/>
    <x v="0"/>
    <x v="13"/>
    <x v="0"/>
    <x v="2"/>
    <x v="1"/>
    <n v="37"/>
    <n v="1"/>
  </r>
  <r>
    <n v="598"/>
    <x v="27"/>
    <x v="0"/>
    <s v="Jewelry"/>
    <x v="3"/>
    <n v="69"/>
    <s v="Alaska"/>
    <s v="L"/>
    <s v="Gold"/>
    <x v="2"/>
    <x v="23"/>
    <s v="Yes"/>
    <x v="3"/>
    <x v="0"/>
    <x v="0"/>
    <x v="5"/>
    <x v="4"/>
    <x v="0"/>
    <x v="0"/>
    <n v="69"/>
    <n v="1"/>
  </r>
  <r>
    <n v="599"/>
    <x v="3"/>
    <x v="0"/>
    <s v="Dress"/>
    <x v="0"/>
    <n v="66"/>
    <s v="California"/>
    <s v="L"/>
    <s v="Green"/>
    <x v="0"/>
    <x v="4"/>
    <s v="Yes"/>
    <x v="4"/>
    <x v="0"/>
    <x v="0"/>
    <x v="48"/>
    <x v="1"/>
    <x v="6"/>
    <x v="1"/>
    <n v="66"/>
    <n v="1"/>
  </r>
  <r>
    <n v="600"/>
    <x v="47"/>
    <x v="0"/>
    <s v="Boots"/>
    <x v="1"/>
    <n v="26"/>
    <s v="Massachusetts"/>
    <s v="L"/>
    <s v="Teal"/>
    <x v="1"/>
    <x v="19"/>
    <s v="Yes"/>
    <x v="3"/>
    <x v="0"/>
    <x v="0"/>
    <x v="46"/>
    <x v="5"/>
    <x v="6"/>
    <x v="0"/>
    <n v="26"/>
    <n v="1"/>
  </r>
  <r>
    <n v="601"/>
    <x v="40"/>
    <x v="0"/>
    <s v="Hat"/>
    <x v="3"/>
    <n v="63"/>
    <s v="South Carolina"/>
    <s v="M"/>
    <s v="Charcoal"/>
    <x v="1"/>
    <x v="16"/>
    <s v="Yes"/>
    <x v="4"/>
    <x v="0"/>
    <x v="0"/>
    <x v="29"/>
    <x v="0"/>
    <x v="5"/>
    <x v="1"/>
    <n v="63"/>
    <n v="1"/>
  </r>
  <r>
    <n v="602"/>
    <x v="45"/>
    <x v="0"/>
    <s v="Backpack"/>
    <x v="3"/>
    <n v="38"/>
    <s v="West Virginia"/>
    <s v="M"/>
    <s v="Maroon"/>
    <x v="2"/>
    <x v="10"/>
    <s v="Yes"/>
    <x v="5"/>
    <x v="0"/>
    <x v="0"/>
    <x v="36"/>
    <x v="1"/>
    <x v="0"/>
    <x v="2"/>
    <n v="38"/>
    <n v="1"/>
  </r>
  <r>
    <n v="603"/>
    <x v="43"/>
    <x v="0"/>
    <s v="Shoes"/>
    <x v="1"/>
    <n v="58"/>
    <s v="Oregon"/>
    <s v="L"/>
    <s v="Lavender"/>
    <x v="2"/>
    <x v="19"/>
    <s v="Yes"/>
    <x v="2"/>
    <x v="0"/>
    <x v="0"/>
    <x v="9"/>
    <x v="1"/>
    <x v="6"/>
    <x v="2"/>
    <n v="58"/>
    <n v="1"/>
  </r>
  <r>
    <n v="604"/>
    <x v="18"/>
    <x v="0"/>
    <s v="Handbag"/>
    <x v="3"/>
    <n v="46"/>
    <s v="Massachusetts"/>
    <s v="L"/>
    <s v="Green"/>
    <x v="0"/>
    <x v="23"/>
    <s v="Yes"/>
    <x v="4"/>
    <x v="0"/>
    <x v="0"/>
    <x v="8"/>
    <x v="3"/>
    <x v="6"/>
    <x v="2"/>
    <n v="46"/>
    <n v="1"/>
  </r>
  <r>
    <n v="605"/>
    <x v="42"/>
    <x v="0"/>
    <s v="Sunglasses"/>
    <x v="3"/>
    <n v="92"/>
    <s v="West Virginia"/>
    <s v="S"/>
    <s v="Pink"/>
    <x v="3"/>
    <x v="14"/>
    <s v="Yes"/>
    <x v="5"/>
    <x v="0"/>
    <x v="0"/>
    <x v="47"/>
    <x v="2"/>
    <x v="6"/>
    <x v="2"/>
    <n v="92"/>
    <n v="1"/>
  </r>
  <r>
    <n v="606"/>
    <x v="37"/>
    <x v="0"/>
    <s v="Hat"/>
    <x v="3"/>
    <n v="32"/>
    <s v="California"/>
    <s v="XL"/>
    <s v="Charcoal"/>
    <x v="0"/>
    <x v="19"/>
    <s v="Yes"/>
    <x v="3"/>
    <x v="0"/>
    <x v="0"/>
    <x v="14"/>
    <x v="4"/>
    <x v="1"/>
    <x v="2"/>
    <n v="32"/>
    <n v="1"/>
  </r>
  <r>
    <n v="607"/>
    <x v="7"/>
    <x v="0"/>
    <s v="Scarf"/>
    <x v="3"/>
    <n v="90"/>
    <s v="Colorado"/>
    <s v="M"/>
    <s v="Blue"/>
    <x v="1"/>
    <x v="9"/>
    <s v="Yes"/>
    <x v="3"/>
    <x v="0"/>
    <x v="0"/>
    <x v="12"/>
    <x v="3"/>
    <x v="5"/>
    <x v="2"/>
    <n v="90"/>
    <n v="1"/>
  </r>
  <r>
    <n v="608"/>
    <x v="36"/>
    <x v="0"/>
    <s v="Hoodie"/>
    <x v="0"/>
    <n v="23"/>
    <s v="Indiana"/>
    <s v="L"/>
    <s v="Purple"/>
    <x v="3"/>
    <x v="11"/>
    <s v="Yes"/>
    <x v="2"/>
    <x v="0"/>
    <x v="0"/>
    <x v="12"/>
    <x v="1"/>
    <x v="5"/>
    <x v="2"/>
    <n v="23"/>
    <n v="1"/>
  </r>
  <r>
    <n v="609"/>
    <x v="38"/>
    <x v="0"/>
    <s v="Backpack"/>
    <x v="3"/>
    <n v="25"/>
    <s v="Delaware"/>
    <s v="S"/>
    <s v="Gold"/>
    <x v="3"/>
    <x v="13"/>
    <s v="Yes"/>
    <x v="2"/>
    <x v="0"/>
    <x v="0"/>
    <x v="33"/>
    <x v="0"/>
    <x v="6"/>
    <x v="2"/>
    <n v="25"/>
    <n v="1"/>
  </r>
  <r>
    <n v="610"/>
    <x v="47"/>
    <x v="0"/>
    <s v="Sweater"/>
    <x v="0"/>
    <n v="54"/>
    <s v="Ohio"/>
    <s v="L"/>
    <s v="Purple"/>
    <x v="3"/>
    <x v="12"/>
    <s v="Yes"/>
    <x v="2"/>
    <x v="0"/>
    <x v="0"/>
    <x v="3"/>
    <x v="2"/>
    <x v="0"/>
    <x v="0"/>
    <n v="54"/>
    <n v="1"/>
  </r>
  <r>
    <n v="611"/>
    <x v="10"/>
    <x v="0"/>
    <s v="Shorts"/>
    <x v="0"/>
    <n v="72"/>
    <s v="Oklahoma"/>
    <s v="M"/>
    <s v="Charcoal"/>
    <x v="2"/>
    <x v="25"/>
    <s v="Yes"/>
    <x v="1"/>
    <x v="0"/>
    <x v="0"/>
    <x v="46"/>
    <x v="4"/>
    <x v="6"/>
    <x v="0"/>
    <n v="72"/>
    <n v="1"/>
  </r>
  <r>
    <n v="612"/>
    <x v="49"/>
    <x v="0"/>
    <s v="Scarf"/>
    <x v="3"/>
    <n v="33"/>
    <s v="California"/>
    <s v="M"/>
    <s v="Black"/>
    <x v="0"/>
    <x v="10"/>
    <s v="Yes"/>
    <x v="5"/>
    <x v="0"/>
    <x v="0"/>
    <x v="5"/>
    <x v="1"/>
    <x v="5"/>
    <x v="2"/>
    <n v="33"/>
    <n v="1"/>
  </r>
  <r>
    <n v="613"/>
    <x v="29"/>
    <x v="0"/>
    <s v="Hat"/>
    <x v="3"/>
    <n v="43"/>
    <s v="New Hampshire"/>
    <s v="L"/>
    <s v="Lavender"/>
    <x v="3"/>
    <x v="12"/>
    <s v="Yes"/>
    <x v="0"/>
    <x v="0"/>
    <x v="0"/>
    <x v="42"/>
    <x v="2"/>
    <x v="3"/>
    <x v="0"/>
    <n v="43"/>
    <n v="1"/>
  </r>
  <r>
    <n v="614"/>
    <x v="12"/>
    <x v="0"/>
    <s v="Coat"/>
    <x v="2"/>
    <n v="51"/>
    <s v="Pennsylvania"/>
    <s v="L"/>
    <s v="Lavender"/>
    <x v="3"/>
    <x v="5"/>
    <s v="Yes"/>
    <x v="3"/>
    <x v="0"/>
    <x v="0"/>
    <x v="15"/>
    <x v="1"/>
    <x v="4"/>
    <x v="0"/>
    <n v="51"/>
    <n v="1"/>
  </r>
  <r>
    <n v="615"/>
    <x v="33"/>
    <x v="0"/>
    <s v="Jewelry"/>
    <x v="3"/>
    <n v="85"/>
    <s v="Idaho"/>
    <s v="M"/>
    <s v="Lavender"/>
    <x v="0"/>
    <x v="17"/>
    <s v="Yes"/>
    <x v="3"/>
    <x v="0"/>
    <x v="0"/>
    <x v="33"/>
    <x v="2"/>
    <x v="4"/>
    <x v="0"/>
    <n v="85"/>
    <n v="1"/>
  </r>
  <r>
    <n v="616"/>
    <x v="29"/>
    <x v="0"/>
    <s v="Sandals"/>
    <x v="1"/>
    <n v="100"/>
    <s v="Maryland"/>
    <s v="L"/>
    <s v="Olive"/>
    <x v="2"/>
    <x v="5"/>
    <s v="Yes"/>
    <x v="2"/>
    <x v="0"/>
    <x v="0"/>
    <x v="2"/>
    <x v="0"/>
    <x v="2"/>
    <x v="0"/>
    <n v="100"/>
    <n v="1"/>
  </r>
  <r>
    <n v="617"/>
    <x v="26"/>
    <x v="0"/>
    <s v="Gloves"/>
    <x v="3"/>
    <n v="72"/>
    <s v="Pennsylvania"/>
    <s v="L"/>
    <s v="Teal"/>
    <x v="1"/>
    <x v="12"/>
    <s v="Yes"/>
    <x v="1"/>
    <x v="0"/>
    <x v="0"/>
    <x v="25"/>
    <x v="2"/>
    <x v="6"/>
    <x v="2"/>
    <n v="72"/>
    <n v="1"/>
  </r>
  <r>
    <n v="618"/>
    <x v="2"/>
    <x v="0"/>
    <s v="Backpack"/>
    <x v="3"/>
    <n v="57"/>
    <s v="Colorado"/>
    <s v="M"/>
    <s v="Maroon"/>
    <x v="3"/>
    <x v="5"/>
    <s v="Yes"/>
    <x v="3"/>
    <x v="0"/>
    <x v="0"/>
    <x v="1"/>
    <x v="4"/>
    <x v="3"/>
    <x v="2"/>
    <n v="57"/>
    <n v="1"/>
  </r>
  <r>
    <n v="619"/>
    <x v="12"/>
    <x v="0"/>
    <s v="Jacket"/>
    <x v="2"/>
    <n v="94"/>
    <s v="Indiana"/>
    <s v="L"/>
    <s v="Cyan"/>
    <x v="1"/>
    <x v="17"/>
    <s v="Yes"/>
    <x v="0"/>
    <x v="0"/>
    <x v="0"/>
    <x v="33"/>
    <x v="5"/>
    <x v="4"/>
    <x v="0"/>
    <n v="94"/>
    <n v="1"/>
  </r>
  <r>
    <n v="620"/>
    <x v="1"/>
    <x v="0"/>
    <s v="Backpack"/>
    <x v="3"/>
    <n v="34"/>
    <s v="Nebraska"/>
    <s v="M"/>
    <s v="Charcoal"/>
    <x v="2"/>
    <x v="12"/>
    <s v="Yes"/>
    <x v="5"/>
    <x v="0"/>
    <x v="0"/>
    <x v="43"/>
    <x v="5"/>
    <x v="6"/>
    <x v="1"/>
    <n v="34"/>
    <n v="1"/>
  </r>
  <r>
    <n v="621"/>
    <x v="23"/>
    <x v="0"/>
    <s v="Backpack"/>
    <x v="3"/>
    <n v="89"/>
    <s v="Rhode Island"/>
    <s v="M"/>
    <s v="Black"/>
    <x v="3"/>
    <x v="18"/>
    <s v="Yes"/>
    <x v="4"/>
    <x v="0"/>
    <x v="0"/>
    <x v="9"/>
    <x v="0"/>
    <x v="6"/>
    <x v="2"/>
    <n v="89"/>
    <n v="1"/>
  </r>
  <r>
    <n v="622"/>
    <x v="47"/>
    <x v="0"/>
    <s v="Sunglasses"/>
    <x v="3"/>
    <n v="27"/>
    <s v="Kansas"/>
    <s v="S"/>
    <s v="Red"/>
    <x v="3"/>
    <x v="14"/>
    <s v="Yes"/>
    <x v="5"/>
    <x v="0"/>
    <x v="0"/>
    <x v="24"/>
    <x v="2"/>
    <x v="1"/>
    <x v="0"/>
    <n v="27"/>
    <n v="1"/>
  </r>
  <r>
    <n v="623"/>
    <x v="28"/>
    <x v="0"/>
    <s v="Socks"/>
    <x v="0"/>
    <n v="63"/>
    <s v="Georgia"/>
    <s v="S"/>
    <s v="Peach"/>
    <x v="1"/>
    <x v="17"/>
    <s v="Yes"/>
    <x v="2"/>
    <x v="0"/>
    <x v="0"/>
    <x v="12"/>
    <x v="4"/>
    <x v="0"/>
    <x v="0"/>
    <n v="63"/>
    <n v="1"/>
  </r>
  <r>
    <n v="624"/>
    <x v="1"/>
    <x v="0"/>
    <s v="Shoes"/>
    <x v="1"/>
    <n v="70"/>
    <s v="Nevada"/>
    <s v="M"/>
    <s v="White"/>
    <x v="3"/>
    <x v="10"/>
    <s v="Yes"/>
    <x v="3"/>
    <x v="0"/>
    <x v="0"/>
    <x v="26"/>
    <x v="3"/>
    <x v="4"/>
    <x v="1"/>
    <n v="70"/>
    <n v="1"/>
  </r>
  <r>
    <n v="625"/>
    <x v="0"/>
    <x v="0"/>
    <s v="Pants"/>
    <x v="0"/>
    <n v="87"/>
    <s v="South Carolina"/>
    <s v="XL"/>
    <s v="Pink"/>
    <x v="3"/>
    <x v="23"/>
    <s v="Yes"/>
    <x v="0"/>
    <x v="0"/>
    <x v="0"/>
    <x v="33"/>
    <x v="3"/>
    <x v="2"/>
    <x v="0"/>
    <n v="87"/>
    <n v="1"/>
  </r>
  <r>
    <n v="626"/>
    <x v="34"/>
    <x v="0"/>
    <s v="Jewelry"/>
    <x v="3"/>
    <n v="79"/>
    <s v="Delaware"/>
    <s v="M"/>
    <s v="Red"/>
    <x v="3"/>
    <x v="17"/>
    <s v="Yes"/>
    <x v="2"/>
    <x v="0"/>
    <x v="0"/>
    <x v="43"/>
    <x v="0"/>
    <x v="1"/>
    <x v="2"/>
    <n v="79"/>
    <n v="1"/>
  </r>
  <r>
    <n v="627"/>
    <x v="18"/>
    <x v="0"/>
    <s v="Sunglasses"/>
    <x v="3"/>
    <n v="79"/>
    <s v="New Hampshire"/>
    <s v="M"/>
    <s v="Indigo"/>
    <x v="1"/>
    <x v="20"/>
    <s v="Yes"/>
    <x v="3"/>
    <x v="0"/>
    <x v="0"/>
    <x v="9"/>
    <x v="0"/>
    <x v="2"/>
    <x v="2"/>
    <n v="79"/>
    <n v="1"/>
  </r>
  <r>
    <n v="628"/>
    <x v="32"/>
    <x v="0"/>
    <s v="Sandals"/>
    <x v="1"/>
    <n v="44"/>
    <s v="Oregon"/>
    <s v="L"/>
    <s v="Black"/>
    <x v="0"/>
    <x v="7"/>
    <s v="Yes"/>
    <x v="0"/>
    <x v="0"/>
    <x v="0"/>
    <x v="37"/>
    <x v="3"/>
    <x v="5"/>
    <x v="2"/>
    <n v="44"/>
    <n v="1"/>
  </r>
  <r>
    <n v="629"/>
    <x v="28"/>
    <x v="0"/>
    <s v="Sweater"/>
    <x v="0"/>
    <n v="85"/>
    <s v="Massachusetts"/>
    <s v="M"/>
    <s v="White"/>
    <x v="3"/>
    <x v="18"/>
    <s v="Yes"/>
    <x v="4"/>
    <x v="0"/>
    <x v="0"/>
    <x v="32"/>
    <x v="2"/>
    <x v="5"/>
    <x v="0"/>
    <n v="85"/>
    <n v="1"/>
  </r>
  <r>
    <n v="630"/>
    <x v="8"/>
    <x v="0"/>
    <s v="Shoes"/>
    <x v="1"/>
    <n v="90"/>
    <s v="Vermont"/>
    <s v="L"/>
    <s v="Beige"/>
    <x v="1"/>
    <x v="10"/>
    <s v="Yes"/>
    <x v="3"/>
    <x v="0"/>
    <x v="0"/>
    <x v="47"/>
    <x v="5"/>
    <x v="2"/>
    <x v="2"/>
    <n v="90"/>
    <n v="1"/>
  </r>
  <r>
    <n v="631"/>
    <x v="38"/>
    <x v="0"/>
    <s v="Jewelry"/>
    <x v="3"/>
    <n v="94"/>
    <s v="Mississippi"/>
    <s v="S"/>
    <s v="Silver"/>
    <x v="3"/>
    <x v="24"/>
    <s v="Yes"/>
    <x v="4"/>
    <x v="0"/>
    <x v="0"/>
    <x v="42"/>
    <x v="5"/>
    <x v="2"/>
    <x v="2"/>
    <n v="94"/>
    <n v="1"/>
  </r>
  <r>
    <n v="632"/>
    <x v="0"/>
    <x v="0"/>
    <s v="Boots"/>
    <x v="1"/>
    <n v="68"/>
    <s v="Washington"/>
    <s v="S"/>
    <s v="Violet"/>
    <x v="2"/>
    <x v="7"/>
    <s v="Yes"/>
    <x v="5"/>
    <x v="0"/>
    <x v="0"/>
    <x v="46"/>
    <x v="1"/>
    <x v="0"/>
    <x v="0"/>
    <n v="68"/>
    <n v="1"/>
  </r>
  <r>
    <n v="633"/>
    <x v="25"/>
    <x v="0"/>
    <s v="Backpack"/>
    <x v="3"/>
    <n v="51"/>
    <s v="Wyoming"/>
    <s v="M"/>
    <s v="Red"/>
    <x v="0"/>
    <x v="20"/>
    <s v="Yes"/>
    <x v="2"/>
    <x v="0"/>
    <x v="0"/>
    <x v="5"/>
    <x v="0"/>
    <x v="0"/>
    <x v="2"/>
    <n v="51"/>
    <n v="1"/>
  </r>
  <r>
    <n v="634"/>
    <x v="17"/>
    <x v="0"/>
    <s v="Sandals"/>
    <x v="1"/>
    <n v="33"/>
    <s v="Minnesota"/>
    <s v="M"/>
    <s v="Orange"/>
    <x v="1"/>
    <x v="3"/>
    <s v="Yes"/>
    <x v="0"/>
    <x v="0"/>
    <x v="0"/>
    <x v="16"/>
    <x v="5"/>
    <x v="3"/>
    <x v="0"/>
    <n v="33"/>
    <n v="1"/>
  </r>
  <r>
    <n v="635"/>
    <x v="24"/>
    <x v="0"/>
    <s v="Sneakers"/>
    <x v="1"/>
    <n v="60"/>
    <s v="Ohio"/>
    <s v="M"/>
    <s v="Teal"/>
    <x v="2"/>
    <x v="20"/>
    <s v="Yes"/>
    <x v="3"/>
    <x v="0"/>
    <x v="0"/>
    <x v="15"/>
    <x v="3"/>
    <x v="1"/>
    <x v="2"/>
    <n v="60"/>
    <n v="1"/>
  </r>
  <r>
    <n v="636"/>
    <x v="7"/>
    <x v="0"/>
    <s v="Hoodie"/>
    <x v="0"/>
    <n v="59"/>
    <s v="South Carolina"/>
    <s v="M"/>
    <s v="Brown"/>
    <x v="3"/>
    <x v="24"/>
    <s v="Yes"/>
    <x v="4"/>
    <x v="0"/>
    <x v="0"/>
    <x v="40"/>
    <x v="1"/>
    <x v="3"/>
    <x v="2"/>
    <n v="59"/>
    <n v="1"/>
  </r>
  <r>
    <n v="637"/>
    <x v="38"/>
    <x v="0"/>
    <s v="Handbag"/>
    <x v="3"/>
    <n v="30"/>
    <s v="Wisconsin"/>
    <s v="M"/>
    <s v="Indigo"/>
    <x v="2"/>
    <x v="11"/>
    <s v="Yes"/>
    <x v="5"/>
    <x v="0"/>
    <x v="0"/>
    <x v="0"/>
    <x v="4"/>
    <x v="6"/>
    <x v="2"/>
    <n v="30"/>
    <n v="1"/>
  </r>
  <r>
    <n v="638"/>
    <x v="3"/>
    <x v="0"/>
    <s v="Sweater"/>
    <x v="0"/>
    <n v="20"/>
    <s v="Tennessee"/>
    <s v="M"/>
    <s v="Cyan"/>
    <x v="0"/>
    <x v="23"/>
    <s v="Yes"/>
    <x v="4"/>
    <x v="0"/>
    <x v="0"/>
    <x v="15"/>
    <x v="1"/>
    <x v="0"/>
    <x v="1"/>
    <n v="20"/>
    <n v="1"/>
  </r>
  <r>
    <n v="639"/>
    <x v="10"/>
    <x v="0"/>
    <s v="Sandals"/>
    <x v="1"/>
    <n v="20"/>
    <s v="Maryland"/>
    <s v="S"/>
    <s v="Blue"/>
    <x v="2"/>
    <x v="2"/>
    <s v="Yes"/>
    <x v="0"/>
    <x v="0"/>
    <x v="0"/>
    <x v="23"/>
    <x v="3"/>
    <x v="5"/>
    <x v="0"/>
    <n v="20"/>
    <n v="1"/>
  </r>
  <r>
    <n v="640"/>
    <x v="22"/>
    <x v="0"/>
    <s v="Dress"/>
    <x v="0"/>
    <n v="24"/>
    <s v="Mississippi"/>
    <s v="L"/>
    <s v="Olive"/>
    <x v="1"/>
    <x v="17"/>
    <s v="Yes"/>
    <x v="4"/>
    <x v="0"/>
    <x v="0"/>
    <x v="16"/>
    <x v="2"/>
    <x v="2"/>
    <x v="0"/>
    <n v="24"/>
    <n v="1"/>
  </r>
  <r>
    <n v="641"/>
    <x v="10"/>
    <x v="0"/>
    <s v="Skirt"/>
    <x v="0"/>
    <n v="88"/>
    <s v="Minnesota"/>
    <s v="M"/>
    <s v="Gray"/>
    <x v="2"/>
    <x v="14"/>
    <s v="Yes"/>
    <x v="5"/>
    <x v="0"/>
    <x v="0"/>
    <x v="40"/>
    <x v="5"/>
    <x v="0"/>
    <x v="0"/>
    <n v="88"/>
    <n v="1"/>
  </r>
  <r>
    <n v="642"/>
    <x v="36"/>
    <x v="0"/>
    <s v="Blouse"/>
    <x v="0"/>
    <n v="78"/>
    <s v="Alaska"/>
    <s v="M"/>
    <s v="Red"/>
    <x v="0"/>
    <x v="20"/>
    <s v="Yes"/>
    <x v="4"/>
    <x v="0"/>
    <x v="0"/>
    <x v="2"/>
    <x v="2"/>
    <x v="6"/>
    <x v="2"/>
    <n v="78"/>
    <n v="1"/>
  </r>
  <r>
    <n v="643"/>
    <x v="14"/>
    <x v="0"/>
    <s v="Skirt"/>
    <x v="0"/>
    <n v="25"/>
    <s v="Arkansas"/>
    <s v="L"/>
    <s v="Red"/>
    <x v="1"/>
    <x v="11"/>
    <s v="Yes"/>
    <x v="4"/>
    <x v="0"/>
    <x v="0"/>
    <x v="0"/>
    <x v="5"/>
    <x v="4"/>
    <x v="0"/>
    <n v="25"/>
    <n v="1"/>
  </r>
  <r>
    <n v="644"/>
    <x v="20"/>
    <x v="0"/>
    <s v="Sweater"/>
    <x v="0"/>
    <n v="57"/>
    <s v="Oregon"/>
    <s v="XL"/>
    <s v="Green"/>
    <x v="0"/>
    <x v="4"/>
    <s v="Yes"/>
    <x v="2"/>
    <x v="0"/>
    <x v="0"/>
    <x v="9"/>
    <x v="4"/>
    <x v="6"/>
    <x v="1"/>
    <n v="57"/>
    <n v="1"/>
  </r>
  <r>
    <n v="645"/>
    <x v="33"/>
    <x v="0"/>
    <s v="Backpack"/>
    <x v="3"/>
    <n v="93"/>
    <s v="Louisiana"/>
    <s v="S"/>
    <s v="Blue"/>
    <x v="2"/>
    <x v="24"/>
    <s v="Yes"/>
    <x v="2"/>
    <x v="0"/>
    <x v="0"/>
    <x v="10"/>
    <x v="1"/>
    <x v="1"/>
    <x v="0"/>
    <n v="93"/>
    <n v="1"/>
  </r>
  <r>
    <n v="646"/>
    <x v="46"/>
    <x v="0"/>
    <s v="Hoodie"/>
    <x v="0"/>
    <n v="42"/>
    <s v="Oklahoma"/>
    <s v="S"/>
    <s v="Purple"/>
    <x v="2"/>
    <x v="19"/>
    <s v="Yes"/>
    <x v="0"/>
    <x v="0"/>
    <x v="0"/>
    <x v="28"/>
    <x v="0"/>
    <x v="4"/>
    <x v="0"/>
    <n v="42"/>
    <n v="1"/>
  </r>
  <r>
    <n v="647"/>
    <x v="47"/>
    <x v="0"/>
    <s v="Boots"/>
    <x v="1"/>
    <n v="54"/>
    <s v="Indiana"/>
    <s v="XL"/>
    <s v="Pink"/>
    <x v="1"/>
    <x v="8"/>
    <s v="Yes"/>
    <x v="3"/>
    <x v="0"/>
    <x v="0"/>
    <x v="5"/>
    <x v="0"/>
    <x v="4"/>
    <x v="0"/>
    <n v="54"/>
    <n v="1"/>
  </r>
  <r>
    <n v="648"/>
    <x v="22"/>
    <x v="0"/>
    <s v="Blouse"/>
    <x v="0"/>
    <n v="70"/>
    <s v="Mississippi"/>
    <s v="XL"/>
    <s v="Charcoal"/>
    <x v="2"/>
    <x v="18"/>
    <s v="Yes"/>
    <x v="0"/>
    <x v="0"/>
    <x v="0"/>
    <x v="2"/>
    <x v="2"/>
    <x v="0"/>
    <x v="0"/>
    <n v="70"/>
    <n v="1"/>
  </r>
  <r>
    <n v="649"/>
    <x v="40"/>
    <x v="0"/>
    <s v="Hoodie"/>
    <x v="0"/>
    <n v="31"/>
    <s v="Michigan"/>
    <s v="M"/>
    <s v="Brown"/>
    <x v="0"/>
    <x v="7"/>
    <s v="Yes"/>
    <x v="5"/>
    <x v="0"/>
    <x v="0"/>
    <x v="31"/>
    <x v="2"/>
    <x v="1"/>
    <x v="1"/>
    <n v="31"/>
    <n v="1"/>
  </r>
  <r>
    <n v="650"/>
    <x v="10"/>
    <x v="0"/>
    <s v="Pants"/>
    <x v="0"/>
    <n v="93"/>
    <s v="Delaware"/>
    <s v="L"/>
    <s v="Orange"/>
    <x v="1"/>
    <x v="19"/>
    <s v="Yes"/>
    <x v="5"/>
    <x v="0"/>
    <x v="0"/>
    <x v="42"/>
    <x v="3"/>
    <x v="6"/>
    <x v="0"/>
    <n v="93"/>
    <n v="1"/>
  </r>
  <r>
    <n v="651"/>
    <x v="50"/>
    <x v="0"/>
    <s v="Gloves"/>
    <x v="3"/>
    <n v="40"/>
    <s v="Florida"/>
    <s v="M"/>
    <s v="Magenta"/>
    <x v="1"/>
    <x v="20"/>
    <s v="Yes"/>
    <x v="2"/>
    <x v="0"/>
    <x v="0"/>
    <x v="45"/>
    <x v="4"/>
    <x v="2"/>
    <x v="2"/>
    <n v="40"/>
    <n v="1"/>
  </r>
  <r>
    <n v="652"/>
    <x v="45"/>
    <x v="0"/>
    <s v="Hat"/>
    <x v="3"/>
    <n v="32"/>
    <s v="Arkansas"/>
    <s v="L"/>
    <s v="Yellow"/>
    <x v="2"/>
    <x v="3"/>
    <s v="Yes"/>
    <x v="2"/>
    <x v="0"/>
    <x v="0"/>
    <x v="23"/>
    <x v="0"/>
    <x v="0"/>
    <x v="2"/>
    <n v="32"/>
    <n v="1"/>
  </r>
  <r>
    <n v="653"/>
    <x v="14"/>
    <x v="0"/>
    <s v="Sunglasses"/>
    <x v="3"/>
    <n v="27"/>
    <s v="Minnesota"/>
    <s v="M"/>
    <s v="Beige"/>
    <x v="0"/>
    <x v="0"/>
    <s v="Yes"/>
    <x v="1"/>
    <x v="0"/>
    <x v="0"/>
    <x v="46"/>
    <x v="0"/>
    <x v="1"/>
    <x v="0"/>
    <n v="27"/>
    <n v="1"/>
  </r>
  <r>
    <n v="654"/>
    <x v="30"/>
    <x v="0"/>
    <s v="Scarf"/>
    <x v="3"/>
    <n v="68"/>
    <s v="North Dakota"/>
    <s v="M"/>
    <s v="Olive"/>
    <x v="0"/>
    <x v="15"/>
    <s v="Yes"/>
    <x v="4"/>
    <x v="0"/>
    <x v="0"/>
    <x v="24"/>
    <x v="1"/>
    <x v="0"/>
    <x v="1"/>
    <n v="68"/>
    <n v="1"/>
  </r>
  <r>
    <n v="655"/>
    <x v="41"/>
    <x v="0"/>
    <s v="Handbag"/>
    <x v="3"/>
    <n v="59"/>
    <s v="California"/>
    <s v="L"/>
    <s v="Gray"/>
    <x v="2"/>
    <x v="14"/>
    <s v="Yes"/>
    <x v="4"/>
    <x v="0"/>
    <x v="0"/>
    <x v="2"/>
    <x v="0"/>
    <x v="2"/>
    <x v="1"/>
    <n v="59"/>
    <n v="1"/>
  </r>
  <r>
    <n v="656"/>
    <x v="30"/>
    <x v="0"/>
    <s v="Handbag"/>
    <x v="3"/>
    <n v="36"/>
    <s v="Mississippi"/>
    <s v="S"/>
    <s v="Purple"/>
    <x v="3"/>
    <x v="0"/>
    <s v="Yes"/>
    <x v="1"/>
    <x v="0"/>
    <x v="0"/>
    <x v="5"/>
    <x v="0"/>
    <x v="5"/>
    <x v="1"/>
    <n v="36"/>
    <n v="1"/>
  </r>
  <r>
    <n v="657"/>
    <x v="32"/>
    <x v="0"/>
    <s v="Jeans"/>
    <x v="0"/>
    <n v="23"/>
    <s v="Pennsylvania"/>
    <s v="M"/>
    <s v="Beige"/>
    <x v="2"/>
    <x v="20"/>
    <s v="Yes"/>
    <x v="3"/>
    <x v="0"/>
    <x v="0"/>
    <x v="49"/>
    <x v="3"/>
    <x v="3"/>
    <x v="2"/>
    <n v="23"/>
    <n v="1"/>
  </r>
  <r>
    <n v="658"/>
    <x v="39"/>
    <x v="0"/>
    <s v="Jacket"/>
    <x v="2"/>
    <n v="80"/>
    <s v="Arizona"/>
    <s v="M"/>
    <s v="White"/>
    <x v="0"/>
    <x v="24"/>
    <s v="Yes"/>
    <x v="1"/>
    <x v="0"/>
    <x v="0"/>
    <x v="49"/>
    <x v="3"/>
    <x v="3"/>
    <x v="2"/>
    <n v="80"/>
    <n v="1"/>
  </r>
  <r>
    <n v="659"/>
    <x v="46"/>
    <x v="0"/>
    <s v="Backpack"/>
    <x v="3"/>
    <n v="37"/>
    <s v="Louisiana"/>
    <s v="S"/>
    <s v="White"/>
    <x v="3"/>
    <x v="8"/>
    <s v="Yes"/>
    <x v="5"/>
    <x v="0"/>
    <x v="0"/>
    <x v="41"/>
    <x v="0"/>
    <x v="1"/>
    <x v="0"/>
    <n v="37"/>
    <n v="1"/>
  </r>
  <r>
    <n v="660"/>
    <x v="46"/>
    <x v="0"/>
    <s v="Shorts"/>
    <x v="0"/>
    <n v="52"/>
    <s v="Virginia"/>
    <s v="S"/>
    <s v="Gold"/>
    <x v="1"/>
    <x v="15"/>
    <s v="Yes"/>
    <x v="4"/>
    <x v="0"/>
    <x v="0"/>
    <x v="6"/>
    <x v="1"/>
    <x v="1"/>
    <x v="0"/>
    <n v="52"/>
    <n v="1"/>
  </r>
  <r>
    <n v="661"/>
    <x v="2"/>
    <x v="0"/>
    <s v="Coat"/>
    <x v="2"/>
    <n v="79"/>
    <s v="Montana"/>
    <s v="M"/>
    <s v="Olive"/>
    <x v="3"/>
    <x v="16"/>
    <s v="Yes"/>
    <x v="4"/>
    <x v="0"/>
    <x v="0"/>
    <x v="30"/>
    <x v="2"/>
    <x v="3"/>
    <x v="2"/>
    <n v="79"/>
    <n v="1"/>
  </r>
  <r>
    <n v="662"/>
    <x v="9"/>
    <x v="0"/>
    <s v="Shirt"/>
    <x v="0"/>
    <n v="68"/>
    <s v="Iowa"/>
    <s v="XL"/>
    <s v="Green"/>
    <x v="3"/>
    <x v="7"/>
    <s v="Yes"/>
    <x v="5"/>
    <x v="0"/>
    <x v="0"/>
    <x v="30"/>
    <x v="2"/>
    <x v="3"/>
    <x v="0"/>
    <n v="68"/>
    <n v="1"/>
  </r>
  <r>
    <n v="663"/>
    <x v="41"/>
    <x v="0"/>
    <s v="Gloves"/>
    <x v="3"/>
    <n v="98"/>
    <s v="Illinois"/>
    <s v="L"/>
    <s v="Magenta"/>
    <x v="3"/>
    <x v="11"/>
    <s v="Yes"/>
    <x v="0"/>
    <x v="0"/>
    <x v="0"/>
    <x v="30"/>
    <x v="0"/>
    <x v="4"/>
    <x v="1"/>
    <n v="98"/>
    <n v="1"/>
  </r>
  <r>
    <n v="664"/>
    <x v="35"/>
    <x v="0"/>
    <s v="Dress"/>
    <x v="0"/>
    <n v="83"/>
    <s v="Alaska"/>
    <s v="M"/>
    <s v="Charcoal"/>
    <x v="3"/>
    <x v="10"/>
    <s v="Yes"/>
    <x v="0"/>
    <x v="0"/>
    <x v="0"/>
    <x v="2"/>
    <x v="2"/>
    <x v="5"/>
    <x v="0"/>
    <n v="83"/>
    <n v="1"/>
  </r>
  <r>
    <n v="665"/>
    <x v="6"/>
    <x v="0"/>
    <s v="Pants"/>
    <x v="0"/>
    <n v="83"/>
    <s v="Colorado"/>
    <s v="M"/>
    <s v="Indigo"/>
    <x v="0"/>
    <x v="14"/>
    <s v="Yes"/>
    <x v="0"/>
    <x v="0"/>
    <x v="0"/>
    <x v="23"/>
    <x v="3"/>
    <x v="4"/>
    <x v="0"/>
    <n v="83"/>
    <n v="1"/>
  </r>
  <r>
    <n v="666"/>
    <x v="38"/>
    <x v="0"/>
    <s v="Pants"/>
    <x v="0"/>
    <n v="55"/>
    <s v="New Mexico"/>
    <s v="M"/>
    <s v="Peach"/>
    <x v="1"/>
    <x v="8"/>
    <s v="Yes"/>
    <x v="4"/>
    <x v="0"/>
    <x v="0"/>
    <x v="16"/>
    <x v="2"/>
    <x v="2"/>
    <x v="2"/>
    <n v="55"/>
    <n v="1"/>
  </r>
  <r>
    <n v="667"/>
    <x v="25"/>
    <x v="0"/>
    <s v="Hoodie"/>
    <x v="0"/>
    <n v="26"/>
    <s v="Colorado"/>
    <s v="L"/>
    <s v="Turquoise"/>
    <x v="0"/>
    <x v="0"/>
    <s v="Yes"/>
    <x v="1"/>
    <x v="0"/>
    <x v="0"/>
    <x v="48"/>
    <x v="5"/>
    <x v="3"/>
    <x v="2"/>
    <n v="26"/>
    <n v="1"/>
  </r>
  <r>
    <n v="668"/>
    <x v="50"/>
    <x v="0"/>
    <s v="Sunglasses"/>
    <x v="3"/>
    <n v="76"/>
    <s v="Arizona"/>
    <s v="S"/>
    <s v="Blue"/>
    <x v="0"/>
    <x v="5"/>
    <s v="Yes"/>
    <x v="3"/>
    <x v="0"/>
    <x v="0"/>
    <x v="18"/>
    <x v="4"/>
    <x v="3"/>
    <x v="2"/>
    <n v="76"/>
    <n v="1"/>
  </r>
  <r>
    <n v="669"/>
    <x v="34"/>
    <x v="0"/>
    <s v="T-shirt"/>
    <x v="0"/>
    <n v="85"/>
    <s v="Hawaii"/>
    <s v="S"/>
    <s v="Turquoise"/>
    <x v="3"/>
    <x v="3"/>
    <s v="Yes"/>
    <x v="0"/>
    <x v="0"/>
    <x v="0"/>
    <x v="31"/>
    <x v="4"/>
    <x v="5"/>
    <x v="2"/>
    <n v="85"/>
    <n v="1"/>
  </r>
  <r>
    <n v="670"/>
    <x v="49"/>
    <x v="0"/>
    <s v="Jacket"/>
    <x v="2"/>
    <n v="89"/>
    <s v="Illinois"/>
    <s v="M"/>
    <s v="Gray"/>
    <x v="1"/>
    <x v="13"/>
    <s v="Yes"/>
    <x v="1"/>
    <x v="0"/>
    <x v="0"/>
    <x v="24"/>
    <x v="0"/>
    <x v="4"/>
    <x v="2"/>
    <n v="89"/>
    <n v="1"/>
  </r>
  <r>
    <n v="671"/>
    <x v="6"/>
    <x v="0"/>
    <s v="Sweater"/>
    <x v="0"/>
    <n v="41"/>
    <s v="Louisiana"/>
    <s v="XL"/>
    <s v="Purple"/>
    <x v="1"/>
    <x v="6"/>
    <s v="Yes"/>
    <x v="2"/>
    <x v="0"/>
    <x v="0"/>
    <x v="10"/>
    <x v="1"/>
    <x v="4"/>
    <x v="0"/>
    <n v="41"/>
    <n v="1"/>
  </r>
  <r>
    <n v="672"/>
    <x v="21"/>
    <x v="0"/>
    <s v="Jacket"/>
    <x v="2"/>
    <n v="30"/>
    <s v="Iowa"/>
    <s v="L"/>
    <s v="Black"/>
    <x v="0"/>
    <x v="10"/>
    <s v="Yes"/>
    <x v="0"/>
    <x v="0"/>
    <x v="0"/>
    <x v="24"/>
    <x v="1"/>
    <x v="1"/>
    <x v="2"/>
    <n v="30"/>
    <n v="1"/>
  </r>
  <r>
    <n v="673"/>
    <x v="35"/>
    <x v="0"/>
    <s v="Socks"/>
    <x v="0"/>
    <n v="53"/>
    <s v="Washington"/>
    <s v="M"/>
    <s v="Peach"/>
    <x v="0"/>
    <x v="13"/>
    <s v="Yes"/>
    <x v="4"/>
    <x v="0"/>
    <x v="0"/>
    <x v="32"/>
    <x v="1"/>
    <x v="3"/>
    <x v="0"/>
    <n v="53"/>
    <n v="1"/>
  </r>
  <r>
    <n v="674"/>
    <x v="25"/>
    <x v="0"/>
    <s v="Shirt"/>
    <x v="0"/>
    <n v="66"/>
    <s v="Oklahoma"/>
    <s v="M"/>
    <s v="Indigo"/>
    <x v="1"/>
    <x v="19"/>
    <s v="Yes"/>
    <x v="1"/>
    <x v="0"/>
    <x v="0"/>
    <x v="46"/>
    <x v="0"/>
    <x v="4"/>
    <x v="2"/>
    <n v="66"/>
    <n v="1"/>
  </r>
  <r>
    <n v="675"/>
    <x v="39"/>
    <x v="0"/>
    <s v="Jewelry"/>
    <x v="3"/>
    <n v="33"/>
    <s v="Washington"/>
    <s v="XL"/>
    <s v="Beige"/>
    <x v="0"/>
    <x v="10"/>
    <s v="Yes"/>
    <x v="5"/>
    <x v="0"/>
    <x v="0"/>
    <x v="13"/>
    <x v="4"/>
    <x v="2"/>
    <x v="2"/>
    <n v="33"/>
    <n v="1"/>
  </r>
  <r>
    <n v="676"/>
    <x v="14"/>
    <x v="0"/>
    <s v="Sunglasses"/>
    <x v="3"/>
    <n v="86"/>
    <s v="Arkansas"/>
    <s v="M"/>
    <s v="Yellow"/>
    <x v="1"/>
    <x v="5"/>
    <s v="Yes"/>
    <x v="4"/>
    <x v="0"/>
    <x v="0"/>
    <x v="44"/>
    <x v="1"/>
    <x v="2"/>
    <x v="0"/>
    <n v="86"/>
    <n v="1"/>
  </r>
  <r>
    <n v="677"/>
    <x v="48"/>
    <x v="0"/>
    <s v="Pants"/>
    <x v="0"/>
    <n v="60"/>
    <s v="Connecticut"/>
    <s v="M"/>
    <s v="Peach"/>
    <x v="0"/>
    <x v="3"/>
    <s v="Yes"/>
    <x v="4"/>
    <x v="0"/>
    <x v="0"/>
    <x v="25"/>
    <x v="0"/>
    <x v="4"/>
    <x v="2"/>
    <n v="60"/>
    <n v="1"/>
  </r>
  <r>
    <n v="678"/>
    <x v="52"/>
    <x v="0"/>
    <s v="Socks"/>
    <x v="0"/>
    <n v="62"/>
    <s v="Washington"/>
    <s v="S"/>
    <s v="Turquoise"/>
    <x v="2"/>
    <x v="2"/>
    <s v="Yes"/>
    <x v="0"/>
    <x v="0"/>
    <x v="0"/>
    <x v="23"/>
    <x v="3"/>
    <x v="2"/>
    <x v="0"/>
    <n v="62"/>
    <n v="1"/>
  </r>
  <r>
    <n v="679"/>
    <x v="7"/>
    <x v="0"/>
    <s v="Blouse"/>
    <x v="0"/>
    <n v="74"/>
    <s v="Maine"/>
    <s v="M"/>
    <s v="Teal"/>
    <x v="3"/>
    <x v="13"/>
    <s v="Yes"/>
    <x v="5"/>
    <x v="0"/>
    <x v="0"/>
    <x v="29"/>
    <x v="5"/>
    <x v="6"/>
    <x v="2"/>
    <n v="74"/>
    <n v="1"/>
  </r>
  <r>
    <n v="680"/>
    <x v="19"/>
    <x v="0"/>
    <s v="Sandals"/>
    <x v="1"/>
    <n v="95"/>
    <s v="Michigan"/>
    <s v="M"/>
    <s v="Turquoise"/>
    <x v="3"/>
    <x v="23"/>
    <s v="Yes"/>
    <x v="0"/>
    <x v="0"/>
    <x v="0"/>
    <x v="10"/>
    <x v="0"/>
    <x v="0"/>
    <x v="0"/>
    <n v="95"/>
    <n v="1"/>
  </r>
  <r>
    <n v="681"/>
    <x v="44"/>
    <x v="0"/>
    <s v="Sneakers"/>
    <x v="1"/>
    <n v="25"/>
    <s v="Tennessee"/>
    <s v="M"/>
    <s v="Magenta"/>
    <x v="1"/>
    <x v="19"/>
    <s v="Yes"/>
    <x v="0"/>
    <x v="0"/>
    <x v="0"/>
    <x v="35"/>
    <x v="3"/>
    <x v="2"/>
    <x v="0"/>
    <n v="25"/>
    <n v="1"/>
  </r>
  <r>
    <n v="682"/>
    <x v="11"/>
    <x v="0"/>
    <s v="Shirt"/>
    <x v="0"/>
    <n v="59"/>
    <s v="Louisiana"/>
    <s v="XL"/>
    <s v="Purple"/>
    <x v="0"/>
    <x v="22"/>
    <s v="Yes"/>
    <x v="4"/>
    <x v="0"/>
    <x v="0"/>
    <x v="37"/>
    <x v="2"/>
    <x v="6"/>
    <x v="2"/>
    <n v="59"/>
    <n v="1"/>
  </r>
  <r>
    <n v="683"/>
    <x v="51"/>
    <x v="0"/>
    <s v="Jacket"/>
    <x v="2"/>
    <n v="29"/>
    <s v="Missouri"/>
    <s v="M"/>
    <s v="Brown"/>
    <x v="2"/>
    <x v="17"/>
    <s v="Yes"/>
    <x v="3"/>
    <x v="0"/>
    <x v="0"/>
    <x v="3"/>
    <x v="2"/>
    <x v="4"/>
    <x v="1"/>
    <n v="29"/>
    <n v="1"/>
  </r>
  <r>
    <n v="684"/>
    <x v="23"/>
    <x v="0"/>
    <s v="Sandals"/>
    <x v="1"/>
    <n v="36"/>
    <s v="Michigan"/>
    <s v="S"/>
    <s v="Violet"/>
    <x v="0"/>
    <x v="2"/>
    <s v="Yes"/>
    <x v="1"/>
    <x v="0"/>
    <x v="0"/>
    <x v="35"/>
    <x v="4"/>
    <x v="5"/>
    <x v="2"/>
    <n v="36"/>
    <n v="1"/>
  </r>
  <r>
    <n v="685"/>
    <x v="6"/>
    <x v="0"/>
    <s v="Hat"/>
    <x v="3"/>
    <n v="82"/>
    <s v="Alabama"/>
    <s v="M"/>
    <s v="Yellow"/>
    <x v="2"/>
    <x v="10"/>
    <s v="Yes"/>
    <x v="0"/>
    <x v="0"/>
    <x v="0"/>
    <x v="38"/>
    <x v="5"/>
    <x v="5"/>
    <x v="0"/>
    <n v="82"/>
    <n v="1"/>
  </r>
  <r>
    <n v="686"/>
    <x v="27"/>
    <x v="0"/>
    <s v="Blouse"/>
    <x v="0"/>
    <n v="71"/>
    <s v="Massachusetts"/>
    <s v="XL"/>
    <s v="Magenta"/>
    <x v="0"/>
    <x v="1"/>
    <s v="Yes"/>
    <x v="3"/>
    <x v="0"/>
    <x v="0"/>
    <x v="18"/>
    <x v="1"/>
    <x v="0"/>
    <x v="0"/>
    <n v="71"/>
    <n v="1"/>
  </r>
  <r>
    <n v="687"/>
    <x v="27"/>
    <x v="0"/>
    <s v="Sweater"/>
    <x v="0"/>
    <n v="35"/>
    <s v="Indiana"/>
    <s v="L"/>
    <s v="Beige"/>
    <x v="3"/>
    <x v="21"/>
    <s v="Yes"/>
    <x v="4"/>
    <x v="0"/>
    <x v="0"/>
    <x v="42"/>
    <x v="0"/>
    <x v="0"/>
    <x v="0"/>
    <n v="35"/>
    <n v="1"/>
  </r>
  <r>
    <n v="688"/>
    <x v="1"/>
    <x v="0"/>
    <s v="Gloves"/>
    <x v="3"/>
    <n v="38"/>
    <s v="West Virginia"/>
    <s v="XL"/>
    <s v="Turquoise"/>
    <x v="0"/>
    <x v="13"/>
    <s v="Yes"/>
    <x v="1"/>
    <x v="0"/>
    <x v="0"/>
    <x v="15"/>
    <x v="4"/>
    <x v="3"/>
    <x v="1"/>
    <n v="38"/>
    <n v="1"/>
  </r>
  <r>
    <n v="689"/>
    <x v="15"/>
    <x v="0"/>
    <s v="Scarf"/>
    <x v="3"/>
    <n v="59"/>
    <s v="Michigan"/>
    <s v="S"/>
    <s v="Peach"/>
    <x v="2"/>
    <x v="10"/>
    <s v="Yes"/>
    <x v="5"/>
    <x v="0"/>
    <x v="0"/>
    <x v="12"/>
    <x v="0"/>
    <x v="5"/>
    <x v="1"/>
    <n v="59"/>
    <n v="1"/>
  </r>
  <r>
    <n v="690"/>
    <x v="1"/>
    <x v="0"/>
    <s v="Hoodie"/>
    <x v="0"/>
    <n v="91"/>
    <s v="Pennsylvania"/>
    <s v="M"/>
    <s v="Orange"/>
    <x v="2"/>
    <x v="10"/>
    <s v="Yes"/>
    <x v="0"/>
    <x v="0"/>
    <x v="0"/>
    <x v="31"/>
    <x v="2"/>
    <x v="6"/>
    <x v="1"/>
    <n v="91"/>
    <n v="1"/>
  </r>
  <r>
    <n v="691"/>
    <x v="15"/>
    <x v="0"/>
    <s v="Shorts"/>
    <x v="0"/>
    <n v="68"/>
    <s v="Alaska"/>
    <s v="XL"/>
    <s v="Red"/>
    <x v="1"/>
    <x v="6"/>
    <s v="Yes"/>
    <x v="3"/>
    <x v="0"/>
    <x v="0"/>
    <x v="24"/>
    <x v="4"/>
    <x v="1"/>
    <x v="1"/>
    <n v="68"/>
    <n v="1"/>
  </r>
  <r>
    <n v="692"/>
    <x v="52"/>
    <x v="0"/>
    <s v="Backpack"/>
    <x v="3"/>
    <n v="21"/>
    <s v="Massachusetts"/>
    <s v="L"/>
    <s v="Silver"/>
    <x v="2"/>
    <x v="3"/>
    <s v="Yes"/>
    <x v="3"/>
    <x v="0"/>
    <x v="0"/>
    <x v="10"/>
    <x v="3"/>
    <x v="4"/>
    <x v="0"/>
    <n v="21"/>
    <n v="1"/>
  </r>
  <r>
    <n v="693"/>
    <x v="25"/>
    <x v="0"/>
    <s v="Sunglasses"/>
    <x v="3"/>
    <n v="95"/>
    <s v="North Dakota"/>
    <s v="M"/>
    <s v="Cyan"/>
    <x v="1"/>
    <x v="17"/>
    <s v="Yes"/>
    <x v="4"/>
    <x v="0"/>
    <x v="0"/>
    <x v="19"/>
    <x v="5"/>
    <x v="6"/>
    <x v="2"/>
    <n v="95"/>
    <n v="1"/>
  </r>
  <r>
    <n v="694"/>
    <x v="5"/>
    <x v="0"/>
    <s v="Shorts"/>
    <x v="0"/>
    <n v="52"/>
    <s v="Vermont"/>
    <s v="L"/>
    <s v="Turquoise"/>
    <x v="1"/>
    <x v="0"/>
    <s v="Yes"/>
    <x v="1"/>
    <x v="0"/>
    <x v="0"/>
    <x v="48"/>
    <x v="1"/>
    <x v="6"/>
    <x v="2"/>
    <n v="52"/>
    <n v="1"/>
  </r>
  <r>
    <n v="695"/>
    <x v="38"/>
    <x v="0"/>
    <s v="Dress"/>
    <x v="0"/>
    <n v="21"/>
    <s v="Kentucky"/>
    <s v="S"/>
    <s v="Charcoal"/>
    <x v="3"/>
    <x v="1"/>
    <s v="Yes"/>
    <x v="4"/>
    <x v="0"/>
    <x v="0"/>
    <x v="25"/>
    <x v="0"/>
    <x v="6"/>
    <x v="2"/>
    <n v="21"/>
    <n v="1"/>
  </r>
  <r>
    <n v="696"/>
    <x v="11"/>
    <x v="0"/>
    <s v="Shorts"/>
    <x v="0"/>
    <n v="67"/>
    <s v="Nevada"/>
    <s v="XL"/>
    <s v="Peach"/>
    <x v="2"/>
    <x v="18"/>
    <s v="Yes"/>
    <x v="2"/>
    <x v="0"/>
    <x v="0"/>
    <x v="28"/>
    <x v="5"/>
    <x v="6"/>
    <x v="2"/>
    <n v="67"/>
    <n v="1"/>
  </r>
  <r>
    <n v="697"/>
    <x v="42"/>
    <x v="0"/>
    <s v="Belt"/>
    <x v="3"/>
    <n v="42"/>
    <s v="Utah"/>
    <s v="L"/>
    <s v="Green"/>
    <x v="3"/>
    <x v="11"/>
    <s v="Yes"/>
    <x v="3"/>
    <x v="0"/>
    <x v="0"/>
    <x v="3"/>
    <x v="1"/>
    <x v="5"/>
    <x v="2"/>
    <n v="42"/>
    <n v="1"/>
  </r>
  <r>
    <n v="698"/>
    <x v="12"/>
    <x v="0"/>
    <s v="Scarf"/>
    <x v="3"/>
    <n v="63"/>
    <s v="North Dakota"/>
    <s v="XL"/>
    <s v="Brown"/>
    <x v="2"/>
    <x v="12"/>
    <s v="Yes"/>
    <x v="1"/>
    <x v="0"/>
    <x v="0"/>
    <x v="19"/>
    <x v="5"/>
    <x v="3"/>
    <x v="0"/>
    <n v="63"/>
    <n v="1"/>
  </r>
  <r>
    <n v="699"/>
    <x v="0"/>
    <x v="0"/>
    <s v="Boots"/>
    <x v="1"/>
    <n v="41"/>
    <s v="Iowa"/>
    <s v="M"/>
    <s v="Yellow"/>
    <x v="0"/>
    <x v="22"/>
    <s v="Yes"/>
    <x v="3"/>
    <x v="0"/>
    <x v="0"/>
    <x v="19"/>
    <x v="5"/>
    <x v="1"/>
    <x v="0"/>
    <n v="41"/>
    <n v="1"/>
  </r>
  <r>
    <n v="700"/>
    <x v="2"/>
    <x v="0"/>
    <s v="Handbag"/>
    <x v="3"/>
    <n v="46"/>
    <s v="Connecticut"/>
    <s v="M"/>
    <s v="Charcoal"/>
    <x v="3"/>
    <x v="5"/>
    <s v="Yes"/>
    <x v="4"/>
    <x v="0"/>
    <x v="0"/>
    <x v="36"/>
    <x v="3"/>
    <x v="1"/>
    <x v="2"/>
    <n v="46"/>
    <n v="1"/>
  </r>
  <r>
    <n v="701"/>
    <x v="9"/>
    <x v="0"/>
    <s v="Pants"/>
    <x v="0"/>
    <n v="79"/>
    <s v="Wisconsin"/>
    <s v="L"/>
    <s v="Olive"/>
    <x v="0"/>
    <x v="7"/>
    <s v="Yes"/>
    <x v="3"/>
    <x v="0"/>
    <x v="0"/>
    <x v="36"/>
    <x v="3"/>
    <x v="5"/>
    <x v="0"/>
    <n v="79"/>
    <n v="1"/>
  </r>
  <r>
    <n v="702"/>
    <x v="47"/>
    <x v="0"/>
    <s v="Boots"/>
    <x v="1"/>
    <n v="90"/>
    <s v="Idaho"/>
    <s v="L"/>
    <s v="Red"/>
    <x v="3"/>
    <x v="13"/>
    <s v="Yes"/>
    <x v="2"/>
    <x v="0"/>
    <x v="0"/>
    <x v="36"/>
    <x v="5"/>
    <x v="6"/>
    <x v="0"/>
    <n v="90"/>
    <n v="1"/>
  </r>
  <r>
    <n v="703"/>
    <x v="20"/>
    <x v="0"/>
    <s v="Shirt"/>
    <x v="0"/>
    <n v="71"/>
    <s v="Montana"/>
    <s v="M"/>
    <s v="White"/>
    <x v="0"/>
    <x v="23"/>
    <s v="Yes"/>
    <x v="5"/>
    <x v="0"/>
    <x v="0"/>
    <x v="43"/>
    <x v="1"/>
    <x v="1"/>
    <x v="1"/>
    <n v="71"/>
    <n v="1"/>
  </r>
  <r>
    <n v="704"/>
    <x v="6"/>
    <x v="0"/>
    <s v="Dress"/>
    <x v="0"/>
    <n v="87"/>
    <s v="Connecticut"/>
    <s v="L"/>
    <s v="Pink"/>
    <x v="2"/>
    <x v="21"/>
    <s v="Yes"/>
    <x v="3"/>
    <x v="0"/>
    <x v="0"/>
    <x v="33"/>
    <x v="0"/>
    <x v="1"/>
    <x v="0"/>
    <n v="87"/>
    <n v="1"/>
  </r>
  <r>
    <n v="705"/>
    <x v="50"/>
    <x v="0"/>
    <s v="Hoodie"/>
    <x v="0"/>
    <n v="66"/>
    <s v="Idaho"/>
    <s v="S"/>
    <s v="Black"/>
    <x v="1"/>
    <x v="4"/>
    <s v="Yes"/>
    <x v="0"/>
    <x v="0"/>
    <x v="0"/>
    <x v="27"/>
    <x v="3"/>
    <x v="2"/>
    <x v="2"/>
    <n v="66"/>
    <n v="1"/>
  </r>
  <r>
    <n v="706"/>
    <x v="15"/>
    <x v="0"/>
    <s v="Pants"/>
    <x v="0"/>
    <n v="90"/>
    <s v="Arkansas"/>
    <s v="XL"/>
    <s v="Indigo"/>
    <x v="2"/>
    <x v="9"/>
    <s v="Yes"/>
    <x v="1"/>
    <x v="0"/>
    <x v="0"/>
    <x v="3"/>
    <x v="1"/>
    <x v="3"/>
    <x v="1"/>
    <n v="90"/>
    <n v="1"/>
  </r>
  <r>
    <n v="707"/>
    <x v="5"/>
    <x v="0"/>
    <s v="Jeans"/>
    <x v="0"/>
    <n v="47"/>
    <s v="Iowa"/>
    <s v="L"/>
    <s v="Turquoise"/>
    <x v="2"/>
    <x v="6"/>
    <s v="Yes"/>
    <x v="0"/>
    <x v="0"/>
    <x v="0"/>
    <x v="46"/>
    <x v="5"/>
    <x v="1"/>
    <x v="2"/>
    <n v="47"/>
    <n v="1"/>
  </r>
  <r>
    <n v="708"/>
    <x v="35"/>
    <x v="0"/>
    <s v="Shirt"/>
    <x v="0"/>
    <n v="38"/>
    <s v="Louisiana"/>
    <s v="L"/>
    <s v="Purple"/>
    <x v="1"/>
    <x v="18"/>
    <s v="Yes"/>
    <x v="2"/>
    <x v="0"/>
    <x v="0"/>
    <x v="33"/>
    <x v="0"/>
    <x v="2"/>
    <x v="0"/>
    <n v="38"/>
    <n v="1"/>
  </r>
  <r>
    <n v="709"/>
    <x v="43"/>
    <x v="0"/>
    <s v="Backpack"/>
    <x v="3"/>
    <n v="50"/>
    <s v="Kentucky"/>
    <s v="L"/>
    <s v="Beige"/>
    <x v="2"/>
    <x v="23"/>
    <s v="Yes"/>
    <x v="5"/>
    <x v="0"/>
    <x v="0"/>
    <x v="5"/>
    <x v="1"/>
    <x v="0"/>
    <x v="2"/>
    <n v="50"/>
    <n v="1"/>
  </r>
  <r>
    <n v="710"/>
    <x v="34"/>
    <x v="0"/>
    <s v="Jacket"/>
    <x v="2"/>
    <n v="79"/>
    <s v="Massachusetts"/>
    <s v="L"/>
    <s v="Charcoal"/>
    <x v="2"/>
    <x v="12"/>
    <s v="Yes"/>
    <x v="3"/>
    <x v="0"/>
    <x v="0"/>
    <x v="2"/>
    <x v="5"/>
    <x v="5"/>
    <x v="2"/>
    <n v="79"/>
    <n v="1"/>
  </r>
  <r>
    <n v="711"/>
    <x v="40"/>
    <x v="0"/>
    <s v="Scarf"/>
    <x v="3"/>
    <n v="91"/>
    <s v="Virginia"/>
    <s v="L"/>
    <s v="Turquoise"/>
    <x v="1"/>
    <x v="7"/>
    <s v="Yes"/>
    <x v="3"/>
    <x v="0"/>
    <x v="0"/>
    <x v="8"/>
    <x v="3"/>
    <x v="0"/>
    <x v="1"/>
    <n v="91"/>
    <n v="1"/>
  </r>
  <r>
    <n v="712"/>
    <x v="14"/>
    <x v="0"/>
    <s v="Boots"/>
    <x v="1"/>
    <n v="60"/>
    <s v="New Hampshire"/>
    <s v="M"/>
    <s v="Maroon"/>
    <x v="1"/>
    <x v="1"/>
    <s v="Yes"/>
    <x v="4"/>
    <x v="0"/>
    <x v="0"/>
    <x v="21"/>
    <x v="4"/>
    <x v="4"/>
    <x v="0"/>
    <n v="60"/>
    <n v="1"/>
  </r>
  <r>
    <n v="713"/>
    <x v="32"/>
    <x v="0"/>
    <s v="Blouse"/>
    <x v="0"/>
    <n v="81"/>
    <s v="New Hampshire"/>
    <s v="XL"/>
    <s v="Black"/>
    <x v="2"/>
    <x v="22"/>
    <s v="Yes"/>
    <x v="2"/>
    <x v="0"/>
    <x v="0"/>
    <x v="13"/>
    <x v="4"/>
    <x v="3"/>
    <x v="2"/>
    <n v="81"/>
    <n v="1"/>
  </r>
  <r>
    <n v="714"/>
    <x v="43"/>
    <x v="0"/>
    <s v="Hoodie"/>
    <x v="0"/>
    <n v="90"/>
    <s v="Oregon"/>
    <s v="M"/>
    <s v="Lavender"/>
    <x v="2"/>
    <x v="5"/>
    <s v="Yes"/>
    <x v="0"/>
    <x v="0"/>
    <x v="0"/>
    <x v="30"/>
    <x v="4"/>
    <x v="4"/>
    <x v="2"/>
    <n v="90"/>
    <n v="1"/>
  </r>
  <r>
    <n v="715"/>
    <x v="8"/>
    <x v="0"/>
    <s v="Jacket"/>
    <x v="2"/>
    <n v="70"/>
    <s v="South Dakota"/>
    <s v="M"/>
    <s v="Magenta"/>
    <x v="3"/>
    <x v="14"/>
    <s v="Yes"/>
    <x v="5"/>
    <x v="0"/>
    <x v="0"/>
    <x v="19"/>
    <x v="5"/>
    <x v="0"/>
    <x v="2"/>
    <n v="70"/>
    <n v="1"/>
  </r>
  <r>
    <n v="716"/>
    <x v="23"/>
    <x v="0"/>
    <s v="Jeans"/>
    <x v="0"/>
    <n v="63"/>
    <s v="Delaware"/>
    <s v="L"/>
    <s v="Green"/>
    <x v="1"/>
    <x v="5"/>
    <s v="Yes"/>
    <x v="0"/>
    <x v="0"/>
    <x v="0"/>
    <x v="10"/>
    <x v="5"/>
    <x v="3"/>
    <x v="2"/>
    <n v="63"/>
    <n v="1"/>
  </r>
  <r>
    <n v="717"/>
    <x v="11"/>
    <x v="0"/>
    <s v="Jewelry"/>
    <x v="3"/>
    <n v="29"/>
    <s v="Missouri"/>
    <s v="M"/>
    <s v="Olive"/>
    <x v="1"/>
    <x v="15"/>
    <s v="Yes"/>
    <x v="0"/>
    <x v="0"/>
    <x v="0"/>
    <x v="44"/>
    <x v="0"/>
    <x v="4"/>
    <x v="2"/>
    <n v="29"/>
    <n v="1"/>
  </r>
  <r>
    <n v="718"/>
    <x v="3"/>
    <x v="0"/>
    <s v="Socks"/>
    <x v="0"/>
    <n v="90"/>
    <s v="Alaska"/>
    <s v="L"/>
    <s v="Green"/>
    <x v="1"/>
    <x v="19"/>
    <s v="Yes"/>
    <x v="0"/>
    <x v="0"/>
    <x v="0"/>
    <x v="22"/>
    <x v="0"/>
    <x v="6"/>
    <x v="1"/>
    <n v="90"/>
    <n v="1"/>
  </r>
  <r>
    <n v="719"/>
    <x v="40"/>
    <x v="0"/>
    <s v="Shirt"/>
    <x v="0"/>
    <n v="22"/>
    <s v="Florida"/>
    <s v="M"/>
    <s v="Peach"/>
    <x v="2"/>
    <x v="12"/>
    <s v="Yes"/>
    <x v="3"/>
    <x v="0"/>
    <x v="0"/>
    <x v="29"/>
    <x v="4"/>
    <x v="2"/>
    <x v="1"/>
    <n v="22"/>
    <n v="1"/>
  </r>
  <r>
    <n v="720"/>
    <x v="6"/>
    <x v="0"/>
    <s v="Shorts"/>
    <x v="0"/>
    <n v="22"/>
    <s v="Mississippi"/>
    <s v="L"/>
    <s v="Turquoise"/>
    <x v="2"/>
    <x v="13"/>
    <s v="Yes"/>
    <x v="2"/>
    <x v="0"/>
    <x v="0"/>
    <x v="38"/>
    <x v="0"/>
    <x v="4"/>
    <x v="0"/>
    <n v="22"/>
    <n v="1"/>
  </r>
  <r>
    <n v="721"/>
    <x v="23"/>
    <x v="0"/>
    <s v="Jewelry"/>
    <x v="3"/>
    <n v="62"/>
    <s v="New Mexico"/>
    <s v="L"/>
    <s v="Orange"/>
    <x v="3"/>
    <x v="23"/>
    <s v="Yes"/>
    <x v="1"/>
    <x v="0"/>
    <x v="0"/>
    <x v="5"/>
    <x v="5"/>
    <x v="1"/>
    <x v="2"/>
    <n v="62"/>
    <n v="1"/>
  </r>
  <r>
    <n v="722"/>
    <x v="49"/>
    <x v="0"/>
    <s v="Blouse"/>
    <x v="0"/>
    <n v="57"/>
    <s v="California"/>
    <s v="L"/>
    <s v="Silver"/>
    <x v="2"/>
    <x v="14"/>
    <s v="Yes"/>
    <x v="2"/>
    <x v="0"/>
    <x v="0"/>
    <x v="23"/>
    <x v="5"/>
    <x v="6"/>
    <x v="2"/>
    <n v="57"/>
    <n v="1"/>
  </r>
  <r>
    <n v="723"/>
    <x v="7"/>
    <x v="0"/>
    <s v="Sweater"/>
    <x v="0"/>
    <n v="32"/>
    <s v="Wyoming"/>
    <s v="S"/>
    <s v="Blue"/>
    <x v="2"/>
    <x v="24"/>
    <s v="Yes"/>
    <x v="5"/>
    <x v="0"/>
    <x v="0"/>
    <x v="16"/>
    <x v="1"/>
    <x v="4"/>
    <x v="2"/>
    <n v="32"/>
    <n v="1"/>
  </r>
  <r>
    <n v="724"/>
    <x v="25"/>
    <x v="0"/>
    <s v="Jewelry"/>
    <x v="3"/>
    <n v="53"/>
    <s v="Missouri"/>
    <s v="L"/>
    <s v="Cyan"/>
    <x v="3"/>
    <x v="1"/>
    <s v="Yes"/>
    <x v="0"/>
    <x v="0"/>
    <x v="0"/>
    <x v="34"/>
    <x v="3"/>
    <x v="5"/>
    <x v="2"/>
    <n v="53"/>
    <n v="1"/>
  </r>
  <r>
    <n v="725"/>
    <x v="43"/>
    <x v="0"/>
    <s v="T-shirt"/>
    <x v="0"/>
    <n v="79"/>
    <s v="New Hampshire"/>
    <s v="XL"/>
    <s v="Green"/>
    <x v="3"/>
    <x v="10"/>
    <s v="Yes"/>
    <x v="5"/>
    <x v="0"/>
    <x v="0"/>
    <x v="13"/>
    <x v="0"/>
    <x v="6"/>
    <x v="2"/>
    <n v="79"/>
    <n v="1"/>
  </r>
  <r>
    <n v="726"/>
    <x v="12"/>
    <x v="0"/>
    <s v="Hat"/>
    <x v="3"/>
    <n v="61"/>
    <s v="Texas"/>
    <s v="L"/>
    <s v="Silver"/>
    <x v="0"/>
    <x v="0"/>
    <s v="Yes"/>
    <x v="3"/>
    <x v="0"/>
    <x v="0"/>
    <x v="42"/>
    <x v="5"/>
    <x v="0"/>
    <x v="0"/>
    <n v="61"/>
    <n v="1"/>
  </r>
  <r>
    <n v="727"/>
    <x v="45"/>
    <x v="0"/>
    <s v="Shorts"/>
    <x v="0"/>
    <n v="78"/>
    <s v="North Dakota"/>
    <s v="L"/>
    <s v="Yellow"/>
    <x v="2"/>
    <x v="15"/>
    <s v="Yes"/>
    <x v="2"/>
    <x v="0"/>
    <x v="0"/>
    <x v="41"/>
    <x v="4"/>
    <x v="6"/>
    <x v="2"/>
    <n v="78"/>
    <n v="1"/>
  </r>
  <r>
    <n v="728"/>
    <x v="46"/>
    <x v="0"/>
    <s v="Sweater"/>
    <x v="0"/>
    <n v="97"/>
    <s v="Arkansas"/>
    <s v="S"/>
    <s v="Gray"/>
    <x v="0"/>
    <x v="6"/>
    <s v="Yes"/>
    <x v="2"/>
    <x v="0"/>
    <x v="0"/>
    <x v="10"/>
    <x v="0"/>
    <x v="6"/>
    <x v="0"/>
    <n v="97"/>
    <n v="1"/>
  </r>
  <r>
    <n v="729"/>
    <x v="26"/>
    <x v="0"/>
    <s v="Jeans"/>
    <x v="0"/>
    <n v="78"/>
    <s v="Nebraska"/>
    <s v="M"/>
    <s v="Pink"/>
    <x v="0"/>
    <x v="18"/>
    <s v="Yes"/>
    <x v="2"/>
    <x v="0"/>
    <x v="0"/>
    <x v="45"/>
    <x v="3"/>
    <x v="6"/>
    <x v="2"/>
    <n v="78"/>
    <n v="1"/>
  </r>
  <r>
    <n v="730"/>
    <x v="38"/>
    <x v="0"/>
    <s v="Sunglasses"/>
    <x v="3"/>
    <n v="56"/>
    <s v="Minnesota"/>
    <s v="L"/>
    <s v="Beige"/>
    <x v="2"/>
    <x v="4"/>
    <s v="Yes"/>
    <x v="0"/>
    <x v="0"/>
    <x v="0"/>
    <x v="15"/>
    <x v="3"/>
    <x v="6"/>
    <x v="2"/>
    <n v="56"/>
    <n v="1"/>
  </r>
  <r>
    <n v="731"/>
    <x v="39"/>
    <x v="0"/>
    <s v="Boots"/>
    <x v="1"/>
    <n v="25"/>
    <s v="Massachusetts"/>
    <s v="M"/>
    <s v="Indigo"/>
    <x v="2"/>
    <x v="20"/>
    <s v="Yes"/>
    <x v="3"/>
    <x v="0"/>
    <x v="0"/>
    <x v="40"/>
    <x v="0"/>
    <x v="0"/>
    <x v="2"/>
    <n v="25"/>
    <n v="1"/>
  </r>
  <r>
    <n v="732"/>
    <x v="49"/>
    <x v="0"/>
    <s v="Coat"/>
    <x v="2"/>
    <n v="28"/>
    <s v="Arkansas"/>
    <s v="M"/>
    <s v="Red"/>
    <x v="1"/>
    <x v="1"/>
    <s v="Yes"/>
    <x v="1"/>
    <x v="0"/>
    <x v="0"/>
    <x v="48"/>
    <x v="3"/>
    <x v="0"/>
    <x v="2"/>
    <n v="28"/>
    <n v="1"/>
  </r>
  <r>
    <n v="733"/>
    <x v="50"/>
    <x v="0"/>
    <s v="Shirt"/>
    <x v="0"/>
    <n v="57"/>
    <s v="New Hampshire"/>
    <s v="L"/>
    <s v="Blue"/>
    <x v="1"/>
    <x v="11"/>
    <s v="Yes"/>
    <x v="0"/>
    <x v="0"/>
    <x v="0"/>
    <x v="40"/>
    <x v="1"/>
    <x v="4"/>
    <x v="2"/>
    <n v="57"/>
    <n v="1"/>
  </r>
  <r>
    <n v="734"/>
    <x v="4"/>
    <x v="0"/>
    <s v="Dress"/>
    <x v="0"/>
    <n v="36"/>
    <s v="Rhode Island"/>
    <s v="L"/>
    <s v="Cyan"/>
    <x v="3"/>
    <x v="2"/>
    <s v="Yes"/>
    <x v="4"/>
    <x v="0"/>
    <x v="0"/>
    <x v="41"/>
    <x v="5"/>
    <x v="4"/>
    <x v="2"/>
    <n v="36"/>
    <n v="1"/>
  </r>
  <r>
    <n v="735"/>
    <x v="13"/>
    <x v="0"/>
    <s v="Shirt"/>
    <x v="0"/>
    <n v="69"/>
    <s v="New Jersey"/>
    <s v="S"/>
    <s v="Violet"/>
    <x v="0"/>
    <x v="0"/>
    <s v="Yes"/>
    <x v="0"/>
    <x v="0"/>
    <x v="0"/>
    <x v="30"/>
    <x v="4"/>
    <x v="6"/>
    <x v="0"/>
    <n v="69"/>
    <n v="1"/>
  </r>
  <r>
    <n v="736"/>
    <x v="12"/>
    <x v="0"/>
    <s v="Sunglasses"/>
    <x v="3"/>
    <n v="48"/>
    <s v="Montana"/>
    <s v="M"/>
    <s v="Orange"/>
    <x v="3"/>
    <x v="15"/>
    <s v="Yes"/>
    <x v="4"/>
    <x v="0"/>
    <x v="0"/>
    <x v="26"/>
    <x v="1"/>
    <x v="4"/>
    <x v="0"/>
    <n v="48"/>
    <n v="1"/>
  </r>
  <r>
    <n v="737"/>
    <x v="20"/>
    <x v="0"/>
    <s v="Dress"/>
    <x v="0"/>
    <n v="58"/>
    <s v="Colorado"/>
    <s v="L"/>
    <s v="Maroon"/>
    <x v="1"/>
    <x v="3"/>
    <s v="Yes"/>
    <x v="4"/>
    <x v="0"/>
    <x v="0"/>
    <x v="18"/>
    <x v="2"/>
    <x v="6"/>
    <x v="1"/>
    <n v="58"/>
    <n v="1"/>
  </r>
  <r>
    <n v="738"/>
    <x v="36"/>
    <x v="0"/>
    <s v="Sunglasses"/>
    <x v="3"/>
    <n v="24"/>
    <s v="Nebraska"/>
    <s v="M"/>
    <s v="Teal"/>
    <x v="1"/>
    <x v="15"/>
    <s v="Yes"/>
    <x v="5"/>
    <x v="0"/>
    <x v="0"/>
    <x v="40"/>
    <x v="3"/>
    <x v="2"/>
    <x v="2"/>
    <n v="24"/>
    <n v="1"/>
  </r>
  <r>
    <n v="739"/>
    <x v="19"/>
    <x v="0"/>
    <s v="Sunglasses"/>
    <x v="3"/>
    <n v="31"/>
    <s v="Minnesota"/>
    <s v="L"/>
    <s v="Orange"/>
    <x v="0"/>
    <x v="1"/>
    <s v="Yes"/>
    <x v="4"/>
    <x v="0"/>
    <x v="0"/>
    <x v="46"/>
    <x v="0"/>
    <x v="3"/>
    <x v="0"/>
    <n v="31"/>
    <n v="1"/>
  </r>
  <r>
    <n v="740"/>
    <x v="14"/>
    <x v="0"/>
    <s v="Shorts"/>
    <x v="0"/>
    <n v="29"/>
    <s v="Minnesota"/>
    <s v="S"/>
    <s v="Purple"/>
    <x v="2"/>
    <x v="1"/>
    <s v="Yes"/>
    <x v="1"/>
    <x v="0"/>
    <x v="0"/>
    <x v="8"/>
    <x v="0"/>
    <x v="4"/>
    <x v="0"/>
    <n v="29"/>
    <n v="1"/>
  </r>
  <r>
    <n v="741"/>
    <x v="8"/>
    <x v="0"/>
    <s v="Jeans"/>
    <x v="0"/>
    <n v="69"/>
    <s v="South Dakota"/>
    <s v="M"/>
    <s v="Orange"/>
    <x v="2"/>
    <x v="11"/>
    <s v="Yes"/>
    <x v="2"/>
    <x v="0"/>
    <x v="0"/>
    <x v="17"/>
    <x v="2"/>
    <x v="0"/>
    <x v="2"/>
    <n v="69"/>
    <n v="1"/>
  </r>
  <r>
    <n v="742"/>
    <x v="40"/>
    <x v="0"/>
    <s v="T-shirt"/>
    <x v="0"/>
    <n v="79"/>
    <s v="West Virginia"/>
    <s v="XL"/>
    <s v="Yellow"/>
    <x v="2"/>
    <x v="10"/>
    <s v="Yes"/>
    <x v="1"/>
    <x v="0"/>
    <x v="0"/>
    <x v="2"/>
    <x v="4"/>
    <x v="6"/>
    <x v="1"/>
    <n v="79"/>
    <n v="1"/>
  </r>
  <r>
    <n v="743"/>
    <x v="14"/>
    <x v="0"/>
    <s v="Pants"/>
    <x v="0"/>
    <n v="39"/>
    <s v="Nevada"/>
    <s v="M"/>
    <s v="Charcoal"/>
    <x v="2"/>
    <x v="0"/>
    <s v="Yes"/>
    <x v="0"/>
    <x v="0"/>
    <x v="0"/>
    <x v="33"/>
    <x v="5"/>
    <x v="3"/>
    <x v="0"/>
    <n v="39"/>
    <n v="1"/>
  </r>
  <r>
    <n v="744"/>
    <x v="3"/>
    <x v="0"/>
    <s v="Sunglasses"/>
    <x v="3"/>
    <n v="84"/>
    <s v="North Carolina"/>
    <s v="L"/>
    <s v="Gray"/>
    <x v="3"/>
    <x v="8"/>
    <s v="Yes"/>
    <x v="1"/>
    <x v="0"/>
    <x v="0"/>
    <x v="13"/>
    <x v="1"/>
    <x v="1"/>
    <x v="1"/>
    <n v="84"/>
    <n v="1"/>
  </r>
  <r>
    <n v="745"/>
    <x v="29"/>
    <x v="0"/>
    <s v="Boots"/>
    <x v="1"/>
    <n v="66"/>
    <s v="Illinois"/>
    <s v="S"/>
    <s v="Charcoal"/>
    <x v="1"/>
    <x v="7"/>
    <s v="Yes"/>
    <x v="2"/>
    <x v="0"/>
    <x v="0"/>
    <x v="38"/>
    <x v="5"/>
    <x v="4"/>
    <x v="0"/>
    <n v="66"/>
    <n v="1"/>
  </r>
  <r>
    <n v="746"/>
    <x v="5"/>
    <x v="0"/>
    <s v="T-shirt"/>
    <x v="0"/>
    <n v="92"/>
    <s v="Michigan"/>
    <s v="L"/>
    <s v="Orange"/>
    <x v="3"/>
    <x v="10"/>
    <s v="Yes"/>
    <x v="3"/>
    <x v="0"/>
    <x v="0"/>
    <x v="7"/>
    <x v="0"/>
    <x v="5"/>
    <x v="2"/>
    <n v="92"/>
    <n v="1"/>
  </r>
  <r>
    <n v="747"/>
    <x v="37"/>
    <x v="0"/>
    <s v="Sandals"/>
    <x v="1"/>
    <n v="45"/>
    <s v="Michigan"/>
    <s v="M"/>
    <s v="Red"/>
    <x v="0"/>
    <x v="25"/>
    <s v="Yes"/>
    <x v="1"/>
    <x v="0"/>
    <x v="0"/>
    <x v="39"/>
    <x v="2"/>
    <x v="2"/>
    <x v="2"/>
    <n v="45"/>
    <n v="1"/>
  </r>
  <r>
    <n v="748"/>
    <x v="47"/>
    <x v="0"/>
    <s v="Shorts"/>
    <x v="0"/>
    <n v="74"/>
    <s v="Oklahoma"/>
    <s v="L"/>
    <s v="Gold"/>
    <x v="1"/>
    <x v="14"/>
    <s v="Yes"/>
    <x v="2"/>
    <x v="0"/>
    <x v="0"/>
    <x v="21"/>
    <x v="4"/>
    <x v="1"/>
    <x v="0"/>
    <n v="74"/>
    <n v="1"/>
  </r>
  <r>
    <n v="749"/>
    <x v="25"/>
    <x v="0"/>
    <s v="Hat"/>
    <x v="3"/>
    <n v="39"/>
    <s v="South Dakota"/>
    <s v="L"/>
    <s v="Brown"/>
    <x v="3"/>
    <x v="20"/>
    <s v="Yes"/>
    <x v="1"/>
    <x v="0"/>
    <x v="0"/>
    <x v="6"/>
    <x v="4"/>
    <x v="3"/>
    <x v="2"/>
    <n v="39"/>
    <n v="1"/>
  </r>
  <r>
    <n v="750"/>
    <x v="19"/>
    <x v="0"/>
    <s v="Scarf"/>
    <x v="3"/>
    <n v="71"/>
    <s v="Oklahoma"/>
    <s v="M"/>
    <s v="Olive"/>
    <x v="0"/>
    <x v="18"/>
    <s v="Yes"/>
    <x v="3"/>
    <x v="0"/>
    <x v="0"/>
    <x v="47"/>
    <x v="5"/>
    <x v="3"/>
    <x v="0"/>
    <n v="71"/>
    <n v="1"/>
  </r>
  <r>
    <n v="751"/>
    <x v="15"/>
    <x v="0"/>
    <s v="T-shirt"/>
    <x v="0"/>
    <n v="95"/>
    <s v="Maryland"/>
    <s v="L"/>
    <s v="Violet"/>
    <x v="3"/>
    <x v="23"/>
    <s v="Yes"/>
    <x v="1"/>
    <x v="0"/>
    <x v="0"/>
    <x v="36"/>
    <x v="0"/>
    <x v="2"/>
    <x v="1"/>
    <n v="95"/>
    <n v="1"/>
  </r>
  <r>
    <n v="752"/>
    <x v="13"/>
    <x v="0"/>
    <s v="Gloves"/>
    <x v="3"/>
    <n v="72"/>
    <s v="Ohio"/>
    <s v="L"/>
    <s v="Indigo"/>
    <x v="3"/>
    <x v="6"/>
    <s v="Yes"/>
    <x v="1"/>
    <x v="0"/>
    <x v="0"/>
    <x v="43"/>
    <x v="2"/>
    <x v="5"/>
    <x v="0"/>
    <n v="72"/>
    <n v="1"/>
  </r>
  <r>
    <n v="753"/>
    <x v="31"/>
    <x v="0"/>
    <s v="Scarf"/>
    <x v="3"/>
    <n v="85"/>
    <s v="Ohio"/>
    <s v="L"/>
    <s v="Yellow"/>
    <x v="3"/>
    <x v="19"/>
    <s v="Yes"/>
    <x v="4"/>
    <x v="0"/>
    <x v="0"/>
    <x v="14"/>
    <x v="3"/>
    <x v="6"/>
    <x v="2"/>
    <n v="85"/>
    <n v="1"/>
  </r>
  <r>
    <n v="754"/>
    <x v="36"/>
    <x v="0"/>
    <s v="Boots"/>
    <x v="1"/>
    <n v="54"/>
    <s v="Massachusetts"/>
    <s v="M"/>
    <s v="Teal"/>
    <x v="3"/>
    <x v="23"/>
    <s v="Yes"/>
    <x v="5"/>
    <x v="0"/>
    <x v="0"/>
    <x v="46"/>
    <x v="0"/>
    <x v="3"/>
    <x v="2"/>
    <n v="54"/>
    <n v="1"/>
  </r>
  <r>
    <n v="755"/>
    <x v="24"/>
    <x v="0"/>
    <s v="Gloves"/>
    <x v="3"/>
    <n v="41"/>
    <s v="North Carolina"/>
    <s v="L"/>
    <s v="Pink"/>
    <x v="1"/>
    <x v="3"/>
    <s v="Yes"/>
    <x v="5"/>
    <x v="0"/>
    <x v="0"/>
    <x v="35"/>
    <x v="5"/>
    <x v="3"/>
    <x v="2"/>
    <n v="41"/>
    <n v="1"/>
  </r>
  <r>
    <n v="756"/>
    <x v="17"/>
    <x v="0"/>
    <s v="Coat"/>
    <x v="2"/>
    <n v="24"/>
    <s v="Florida"/>
    <s v="M"/>
    <s v="Violet"/>
    <x v="1"/>
    <x v="13"/>
    <s v="Yes"/>
    <x v="1"/>
    <x v="0"/>
    <x v="0"/>
    <x v="17"/>
    <x v="3"/>
    <x v="1"/>
    <x v="0"/>
    <n v="24"/>
    <n v="1"/>
  </r>
  <r>
    <n v="757"/>
    <x v="46"/>
    <x v="0"/>
    <s v="Belt"/>
    <x v="3"/>
    <n v="99"/>
    <s v="Montana"/>
    <s v="S"/>
    <s v="Orange"/>
    <x v="2"/>
    <x v="6"/>
    <s v="Yes"/>
    <x v="3"/>
    <x v="0"/>
    <x v="0"/>
    <x v="37"/>
    <x v="1"/>
    <x v="0"/>
    <x v="0"/>
    <n v="99"/>
    <n v="1"/>
  </r>
  <r>
    <n v="758"/>
    <x v="38"/>
    <x v="0"/>
    <s v="Hoodie"/>
    <x v="0"/>
    <n v="32"/>
    <s v="Minnesota"/>
    <s v="M"/>
    <s v="Red"/>
    <x v="3"/>
    <x v="22"/>
    <s v="Yes"/>
    <x v="5"/>
    <x v="0"/>
    <x v="0"/>
    <x v="27"/>
    <x v="5"/>
    <x v="3"/>
    <x v="2"/>
    <n v="32"/>
    <n v="1"/>
  </r>
  <r>
    <n v="759"/>
    <x v="17"/>
    <x v="0"/>
    <s v="Shoes"/>
    <x v="1"/>
    <n v="71"/>
    <s v="Massachusetts"/>
    <s v="L"/>
    <s v="Peach"/>
    <x v="2"/>
    <x v="12"/>
    <s v="Yes"/>
    <x v="4"/>
    <x v="0"/>
    <x v="0"/>
    <x v="30"/>
    <x v="4"/>
    <x v="6"/>
    <x v="0"/>
    <n v="71"/>
    <n v="1"/>
  </r>
  <r>
    <n v="760"/>
    <x v="47"/>
    <x v="0"/>
    <s v="Dress"/>
    <x v="0"/>
    <n v="49"/>
    <s v="Rhode Island"/>
    <s v="XL"/>
    <s v="Green"/>
    <x v="0"/>
    <x v="5"/>
    <s v="Yes"/>
    <x v="2"/>
    <x v="0"/>
    <x v="0"/>
    <x v="29"/>
    <x v="2"/>
    <x v="0"/>
    <x v="0"/>
    <n v="49"/>
    <n v="1"/>
  </r>
  <r>
    <n v="761"/>
    <x v="23"/>
    <x v="0"/>
    <s v="Gloves"/>
    <x v="3"/>
    <n v="50"/>
    <s v="Minnesota"/>
    <s v="XL"/>
    <s v="Violet"/>
    <x v="3"/>
    <x v="23"/>
    <s v="Yes"/>
    <x v="1"/>
    <x v="0"/>
    <x v="0"/>
    <x v="49"/>
    <x v="1"/>
    <x v="2"/>
    <x v="2"/>
    <n v="50"/>
    <n v="1"/>
  </r>
  <r>
    <n v="762"/>
    <x v="9"/>
    <x v="0"/>
    <s v="Jewelry"/>
    <x v="3"/>
    <n v="91"/>
    <s v="Nevada"/>
    <s v="L"/>
    <s v="Yellow"/>
    <x v="3"/>
    <x v="19"/>
    <s v="Yes"/>
    <x v="0"/>
    <x v="0"/>
    <x v="0"/>
    <x v="8"/>
    <x v="4"/>
    <x v="1"/>
    <x v="0"/>
    <n v="91"/>
    <n v="1"/>
  </r>
  <r>
    <n v="763"/>
    <x v="4"/>
    <x v="0"/>
    <s v="Belt"/>
    <x v="3"/>
    <n v="46"/>
    <s v="New Mexico"/>
    <s v="M"/>
    <s v="Pink"/>
    <x v="3"/>
    <x v="20"/>
    <s v="Yes"/>
    <x v="3"/>
    <x v="0"/>
    <x v="0"/>
    <x v="34"/>
    <x v="5"/>
    <x v="0"/>
    <x v="2"/>
    <n v="46"/>
    <n v="1"/>
  </r>
  <r>
    <n v="764"/>
    <x v="12"/>
    <x v="0"/>
    <s v="Sweater"/>
    <x v="0"/>
    <n v="50"/>
    <s v="North Carolina"/>
    <s v="M"/>
    <s v="Brown"/>
    <x v="1"/>
    <x v="3"/>
    <s v="Yes"/>
    <x v="4"/>
    <x v="0"/>
    <x v="0"/>
    <x v="49"/>
    <x v="2"/>
    <x v="5"/>
    <x v="0"/>
    <n v="50"/>
    <n v="1"/>
  </r>
  <r>
    <n v="765"/>
    <x v="0"/>
    <x v="0"/>
    <s v="Skirt"/>
    <x v="0"/>
    <n v="39"/>
    <s v="Virginia"/>
    <s v="XL"/>
    <s v="Silver"/>
    <x v="3"/>
    <x v="19"/>
    <s v="Yes"/>
    <x v="1"/>
    <x v="0"/>
    <x v="0"/>
    <x v="49"/>
    <x v="5"/>
    <x v="3"/>
    <x v="0"/>
    <n v="39"/>
    <n v="1"/>
  </r>
  <r>
    <n v="766"/>
    <x v="22"/>
    <x v="0"/>
    <s v="Sneakers"/>
    <x v="1"/>
    <n v="99"/>
    <s v="Alaska"/>
    <s v="M"/>
    <s v="Pink"/>
    <x v="2"/>
    <x v="21"/>
    <s v="Yes"/>
    <x v="5"/>
    <x v="0"/>
    <x v="0"/>
    <x v="21"/>
    <x v="1"/>
    <x v="3"/>
    <x v="0"/>
    <n v="99"/>
    <n v="1"/>
  </r>
  <r>
    <n v="767"/>
    <x v="9"/>
    <x v="0"/>
    <s v="Gloves"/>
    <x v="3"/>
    <n v="48"/>
    <s v="Nevada"/>
    <s v="M"/>
    <s v="Cyan"/>
    <x v="0"/>
    <x v="15"/>
    <s v="Yes"/>
    <x v="2"/>
    <x v="0"/>
    <x v="0"/>
    <x v="21"/>
    <x v="3"/>
    <x v="5"/>
    <x v="0"/>
    <n v="48"/>
    <n v="1"/>
  </r>
  <r>
    <n v="768"/>
    <x v="7"/>
    <x v="0"/>
    <s v="Coat"/>
    <x v="2"/>
    <n v="77"/>
    <s v="Pennsylvania"/>
    <s v="M"/>
    <s v="Brown"/>
    <x v="3"/>
    <x v="25"/>
    <s v="Yes"/>
    <x v="2"/>
    <x v="0"/>
    <x v="0"/>
    <x v="47"/>
    <x v="1"/>
    <x v="2"/>
    <x v="2"/>
    <n v="77"/>
    <n v="1"/>
  </r>
  <r>
    <n v="769"/>
    <x v="14"/>
    <x v="0"/>
    <s v="Backpack"/>
    <x v="3"/>
    <n v="95"/>
    <s v="Illinois"/>
    <s v="XL"/>
    <s v="Red"/>
    <x v="1"/>
    <x v="5"/>
    <s v="Yes"/>
    <x v="0"/>
    <x v="0"/>
    <x v="0"/>
    <x v="24"/>
    <x v="0"/>
    <x v="1"/>
    <x v="0"/>
    <n v="95"/>
    <n v="1"/>
  </r>
  <r>
    <n v="770"/>
    <x v="16"/>
    <x v="0"/>
    <s v="Socks"/>
    <x v="0"/>
    <n v="100"/>
    <s v="Delaware"/>
    <s v="M"/>
    <s v="Silver"/>
    <x v="1"/>
    <x v="24"/>
    <s v="Yes"/>
    <x v="5"/>
    <x v="0"/>
    <x v="0"/>
    <x v="6"/>
    <x v="3"/>
    <x v="5"/>
    <x v="0"/>
    <n v="100"/>
    <n v="1"/>
  </r>
  <r>
    <n v="771"/>
    <x v="1"/>
    <x v="0"/>
    <s v="Sneakers"/>
    <x v="1"/>
    <n v="54"/>
    <s v="Vermont"/>
    <s v="M"/>
    <s v="Gray"/>
    <x v="1"/>
    <x v="13"/>
    <s v="Yes"/>
    <x v="0"/>
    <x v="0"/>
    <x v="0"/>
    <x v="6"/>
    <x v="2"/>
    <x v="2"/>
    <x v="1"/>
    <n v="54"/>
    <n v="1"/>
  </r>
  <r>
    <n v="772"/>
    <x v="40"/>
    <x v="0"/>
    <s v="Sweater"/>
    <x v="0"/>
    <n v="68"/>
    <s v="Hawaii"/>
    <s v="L"/>
    <s v="Cyan"/>
    <x v="3"/>
    <x v="5"/>
    <s v="Yes"/>
    <x v="2"/>
    <x v="0"/>
    <x v="0"/>
    <x v="11"/>
    <x v="4"/>
    <x v="0"/>
    <x v="1"/>
    <n v="68"/>
    <n v="1"/>
  </r>
  <r>
    <n v="773"/>
    <x v="20"/>
    <x v="0"/>
    <s v="Jeans"/>
    <x v="0"/>
    <n v="22"/>
    <s v="Illinois"/>
    <s v="L"/>
    <s v="Teal"/>
    <x v="3"/>
    <x v="15"/>
    <s v="Yes"/>
    <x v="1"/>
    <x v="0"/>
    <x v="0"/>
    <x v="19"/>
    <x v="5"/>
    <x v="4"/>
    <x v="1"/>
    <n v="22"/>
    <n v="1"/>
  </r>
  <r>
    <n v="774"/>
    <x v="26"/>
    <x v="0"/>
    <s v="Hat"/>
    <x v="3"/>
    <n v="84"/>
    <s v="California"/>
    <s v="L"/>
    <s v="Indigo"/>
    <x v="0"/>
    <x v="5"/>
    <s v="Yes"/>
    <x v="0"/>
    <x v="0"/>
    <x v="0"/>
    <x v="0"/>
    <x v="5"/>
    <x v="4"/>
    <x v="2"/>
    <n v="84"/>
    <n v="1"/>
  </r>
  <r>
    <n v="775"/>
    <x v="32"/>
    <x v="0"/>
    <s v="Hat"/>
    <x v="3"/>
    <n v="46"/>
    <s v="Nevada"/>
    <s v="M"/>
    <s v="Yellow"/>
    <x v="2"/>
    <x v="1"/>
    <s v="Yes"/>
    <x v="3"/>
    <x v="0"/>
    <x v="0"/>
    <x v="47"/>
    <x v="2"/>
    <x v="3"/>
    <x v="2"/>
    <n v="46"/>
    <n v="1"/>
  </r>
  <r>
    <n v="776"/>
    <x v="34"/>
    <x v="0"/>
    <s v="Handbag"/>
    <x v="3"/>
    <n v="53"/>
    <s v="Kentucky"/>
    <s v="S"/>
    <s v="Gold"/>
    <x v="0"/>
    <x v="21"/>
    <s v="Yes"/>
    <x v="5"/>
    <x v="0"/>
    <x v="0"/>
    <x v="6"/>
    <x v="3"/>
    <x v="5"/>
    <x v="2"/>
    <n v="53"/>
    <n v="1"/>
  </r>
  <r>
    <n v="777"/>
    <x v="34"/>
    <x v="0"/>
    <s v="Shirt"/>
    <x v="0"/>
    <n v="60"/>
    <s v="Alabama"/>
    <s v="M"/>
    <s v="Maroon"/>
    <x v="1"/>
    <x v="16"/>
    <s v="Yes"/>
    <x v="3"/>
    <x v="0"/>
    <x v="0"/>
    <x v="6"/>
    <x v="0"/>
    <x v="6"/>
    <x v="2"/>
    <n v="60"/>
    <n v="1"/>
  </r>
  <r>
    <n v="778"/>
    <x v="0"/>
    <x v="0"/>
    <s v="Socks"/>
    <x v="0"/>
    <n v="32"/>
    <s v="Wyoming"/>
    <s v="XL"/>
    <s v="Silver"/>
    <x v="1"/>
    <x v="25"/>
    <s v="Yes"/>
    <x v="0"/>
    <x v="0"/>
    <x v="0"/>
    <x v="10"/>
    <x v="0"/>
    <x v="1"/>
    <x v="0"/>
    <n v="32"/>
    <n v="1"/>
  </r>
  <r>
    <n v="779"/>
    <x v="26"/>
    <x v="0"/>
    <s v="Socks"/>
    <x v="0"/>
    <n v="50"/>
    <s v="Massachusetts"/>
    <s v="M"/>
    <s v="Yellow"/>
    <x v="2"/>
    <x v="3"/>
    <s v="Yes"/>
    <x v="5"/>
    <x v="0"/>
    <x v="0"/>
    <x v="2"/>
    <x v="5"/>
    <x v="2"/>
    <x v="2"/>
    <n v="50"/>
    <n v="1"/>
  </r>
  <r>
    <n v="780"/>
    <x v="52"/>
    <x v="0"/>
    <s v="Dress"/>
    <x v="0"/>
    <n v="94"/>
    <s v="Utah"/>
    <s v="M"/>
    <s v="Blue"/>
    <x v="1"/>
    <x v="12"/>
    <s v="Yes"/>
    <x v="0"/>
    <x v="0"/>
    <x v="0"/>
    <x v="25"/>
    <x v="1"/>
    <x v="2"/>
    <x v="0"/>
    <n v="94"/>
    <n v="1"/>
  </r>
  <r>
    <n v="781"/>
    <x v="50"/>
    <x v="0"/>
    <s v="Shoes"/>
    <x v="1"/>
    <n v="26"/>
    <s v="New York"/>
    <s v="M"/>
    <s v="Turquoise"/>
    <x v="1"/>
    <x v="15"/>
    <s v="Yes"/>
    <x v="1"/>
    <x v="0"/>
    <x v="0"/>
    <x v="25"/>
    <x v="1"/>
    <x v="3"/>
    <x v="2"/>
    <n v="26"/>
    <n v="1"/>
  </r>
  <r>
    <n v="782"/>
    <x v="11"/>
    <x v="0"/>
    <s v="Scarf"/>
    <x v="3"/>
    <n v="44"/>
    <s v="Vermont"/>
    <s v="L"/>
    <s v="Indigo"/>
    <x v="0"/>
    <x v="21"/>
    <s v="Yes"/>
    <x v="5"/>
    <x v="0"/>
    <x v="0"/>
    <x v="45"/>
    <x v="2"/>
    <x v="0"/>
    <x v="2"/>
    <n v="44"/>
    <n v="1"/>
  </r>
  <r>
    <n v="783"/>
    <x v="48"/>
    <x v="0"/>
    <s v="Hoodie"/>
    <x v="0"/>
    <n v="57"/>
    <s v="Hawaii"/>
    <s v="M"/>
    <s v="Green"/>
    <x v="2"/>
    <x v="9"/>
    <s v="Yes"/>
    <x v="3"/>
    <x v="0"/>
    <x v="0"/>
    <x v="28"/>
    <x v="1"/>
    <x v="1"/>
    <x v="2"/>
    <n v="57"/>
    <n v="1"/>
  </r>
  <r>
    <n v="784"/>
    <x v="6"/>
    <x v="0"/>
    <s v="T-shirt"/>
    <x v="0"/>
    <n v="65"/>
    <s v="Louisiana"/>
    <s v="L"/>
    <s v="Purple"/>
    <x v="0"/>
    <x v="9"/>
    <s v="Yes"/>
    <x v="2"/>
    <x v="0"/>
    <x v="0"/>
    <x v="25"/>
    <x v="3"/>
    <x v="0"/>
    <x v="0"/>
    <n v="65"/>
    <n v="1"/>
  </r>
  <r>
    <n v="785"/>
    <x v="18"/>
    <x v="0"/>
    <s v="Jeans"/>
    <x v="0"/>
    <n v="72"/>
    <s v="Alabama"/>
    <s v="M"/>
    <s v="Peach"/>
    <x v="0"/>
    <x v="4"/>
    <s v="Yes"/>
    <x v="5"/>
    <x v="0"/>
    <x v="0"/>
    <x v="23"/>
    <x v="4"/>
    <x v="6"/>
    <x v="2"/>
    <n v="72"/>
    <n v="1"/>
  </r>
  <r>
    <n v="786"/>
    <x v="5"/>
    <x v="0"/>
    <s v="Shorts"/>
    <x v="0"/>
    <n v="62"/>
    <s v="Louisiana"/>
    <s v="S"/>
    <s v="Purple"/>
    <x v="1"/>
    <x v="17"/>
    <s v="Yes"/>
    <x v="2"/>
    <x v="0"/>
    <x v="0"/>
    <x v="10"/>
    <x v="3"/>
    <x v="0"/>
    <x v="2"/>
    <n v="62"/>
    <n v="1"/>
  </r>
  <r>
    <n v="787"/>
    <x v="27"/>
    <x v="0"/>
    <s v="Hat"/>
    <x v="3"/>
    <n v="21"/>
    <s v="Indiana"/>
    <s v="S"/>
    <s v="Teal"/>
    <x v="0"/>
    <x v="6"/>
    <s v="Yes"/>
    <x v="0"/>
    <x v="0"/>
    <x v="0"/>
    <x v="20"/>
    <x v="4"/>
    <x v="6"/>
    <x v="0"/>
    <n v="21"/>
    <n v="1"/>
  </r>
  <r>
    <n v="788"/>
    <x v="10"/>
    <x v="0"/>
    <s v="Handbag"/>
    <x v="3"/>
    <n v="85"/>
    <s v="Michigan"/>
    <s v="S"/>
    <s v="Green"/>
    <x v="1"/>
    <x v="18"/>
    <s v="Yes"/>
    <x v="1"/>
    <x v="0"/>
    <x v="0"/>
    <x v="29"/>
    <x v="0"/>
    <x v="1"/>
    <x v="0"/>
    <n v="85"/>
    <n v="1"/>
  </r>
  <r>
    <n v="789"/>
    <x v="2"/>
    <x v="0"/>
    <s v="Pants"/>
    <x v="0"/>
    <n v="51"/>
    <s v="Rhode Island"/>
    <s v="XL"/>
    <s v="Yellow"/>
    <x v="2"/>
    <x v="22"/>
    <s v="Yes"/>
    <x v="5"/>
    <x v="0"/>
    <x v="0"/>
    <x v="27"/>
    <x v="4"/>
    <x v="3"/>
    <x v="2"/>
    <n v="51"/>
    <n v="1"/>
  </r>
  <r>
    <n v="790"/>
    <x v="23"/>
    <x v="0"/>
    <s v="Handbag"/>
    <x v="3"/>
    <n v="84"/>
    <s v="Idaho"/>
    <s v="S"/>
    <s v="Purple"/>
    <x v="3"/>
    <x v="2"/>
    <s v="Yes"/>
    <x v="3"/>
    <x v="0"/>
    <x v="0"/>
    <x v="7"/>
    <x v="2"/>
    <x v="4"/>
    <x v="2"/>
    <n v="84"/>
    <n v="1"/>
  </r>
  <r>
    <n v="791"/>
    <x v="40"/>
    <x v="0"/>
    <s v="Sweater"/>
    <x v="0"/>
    <n v="37"/>
    <s v="Louisiana"/>
    <s v="M"/>
    <s v="Indigo"/>
    <x v="2"/>
    <x v="8"/>
    <s v="Yes"/>
    <x v="5"/>
    <x v="0"/>
    <x v="0"/>
    <x v="45"/>
    <x v="4"/>
    <x v="3"/>
    <x v="1"/>
    <n v="37"/>
    <n v="1"/>
  </r>
  <r>
    <n v="792"/>
    <x v="2"/>
    <x v="0"/>
    <s v="Scarf"/>
    <x v="3"/>
    <n v="44"/>
    <s v="North Carolina"/>
    <s v="S"/>
    <s v="Magenta"/>
    <x v="2"/>
    <x v="0"/>
    <s v="Yes"/>
    <x v="4"/>
    <x v="0"/>
    <x v="0"/>
    <x v="31"/>
    <x v="3"/>
    <x v="0"/>
    <x v="2"/>
    <n v="44"/>
    <n v="1"/>
  </r>
  <r>
    <n v="793"/>
    <x v="50"/>
    <x v="0"/>
    <s v="Sneakers"/>
    <x v="1"/>
    <n v="45"/>
    <s v="New Jersey"/>
    <s v="M"/>
    <s v="Violet"/>
    <x v="1"/>
    <x v="19"/>
    <s v="Yes"/>
    <x v="2"/>
    <x v="0"/>
    <x v="0"/>
    <x v="24"/>
    <x v="0"/>
    <x v="1"/>
    <x v="2"/>
    <n v="45"/>
    <n v="1"/>
  </r>
  <r>
    <n v="794"/>
    <x v="41"/>
    <x v="0"/>
    <s v="Pants"/>
    <x v="0"/>
    <n v="35"/>
    <s v="Alabama"/>
    <s v="L"/>
    <s v="Maroon"/>
    <x v="2"/>
    <x v="22"/>
    <s v="Yes"/>
    <x v="1"/>
    <x v="0"/>
    <x v="0"/>
    <x v="20"/>
    <x v="2"/>
    <x v="5"/>
    <x v="1"/>
    <n v="35"/>
    <n v="1"/>
  </r>
  <r>
    <n v="795"/>
    <x v="28"/>
    <x v="0"/>
    <s v="Backpack"/>
    <x v="3"/>
    <n v="50"/>
    <s v="Kentucky"/>
    <s v="XL"/>
    <s v="Yellow"/>
    <x v="0"/>
    <x v="19"/>
    <s v="Yes"/>
    <x v="5"/>
    <x v="0"/>
    <x v="0"/>
    <x v="9"/>
    <x v="5"/>
    <x v="0"/>
    <x v="0"/>
    <n v="50"/>
    <n v="1"/>
  </r>
  <r>
    <n v="796"/>
    <x v="31"/>
    <x v="0"/>
    <s v="Sandals"/>
    <x v="1"/>
    <n v="26"/>
    <s v="New York"/>
    <s v="M"/>
    <s v="Beige"/>
    <x v="2"/>
    <x v="12"/>
    <s v="Yes"/>
    <x v="5"/>
    <x v="0"/>
    <x v="0"/>
    <x v="11"/>
    <x v="0"/>
    <x v="2"/>
    <x v="2"/>
    <n v="26"/>
    <n v="1"/>
  </r>
  <r>
    <n v="797"/>
    <x v="32"/>
    <x v="0"/>
    <s v="Socks"/>
    <x v="0"/>
    <n v="78"/>
    <s v="Arizona"/>
    <s v="XL"/>
    <s v="Black"/>
    <x v="3"/>
    <x v="17"/>
    <s v="Yes"/>
    <x v="4"/>
    <x v="0"/>
    <x v="0"/>
    <x v="34"/>
    <x v="2"/>
    <x v="2"/>
    <x v="2"/>
    <n v="78"/>
    <n v="1"/>
  </r>
  <r>
    <n v="798"/>
    <x v="32"/>
    <x v="0"/>
    <s v="Coat"/>
    <x v="2"/>
    <n v="82"/>
    <s v="Maryland"/>
    <s v="M"/>
    <s v="Violet"/>
    <x v="3"/>
    <x v="17"/>
    <s v="Yes"/>
    <x v="4"/>
    <x v="0"/>
    <x v="0"/>
    <x v="25"/>
    <x v="5"/>
    <x v="1"/>
    <x v="2"/>
    <n v="82"/>
    <n v="1"/>
  </r>
  <r>
    <n v="799"/>
    <x v="26"/>
    <x v="0"/>
    <s v="Socks"/>
    <x v="0"/>
    <n v="39"/>
    <s v="Alaska"/>
    <s v="M"/>
    <s v="Violet"/>
    <x v="1"/>
    <x v="22"/>
    <s v="Yes"/>
    <x v="4"/>
    <x v="0"/>
    <x v="0"/>
    <x v="26"/>
    <x v="3"/>
    <x v="6"/>
    <x v="2"/>
    <n v="39"/>
    <n v="1"/>
  </r>
  <r>
    <n v="800"/>
    <x v="0"/>
    <x v="0"/>
    <s v="Belt"/>
    <x v="3"/>
    <n v="55"/>
    <s v="Nevada"/>
    <s v="L"/>
    <s v="Brown"/>
    <x v="2"/>
    <x v="13"/>
    <s v="Yes"/>
    <x v="1"/>
    <x v="0"/>
    <x v="0"/>
    <x v="4"/>
    <x v="3"/>
    <x v="2"/>
    <x v="0"/>
    <n v="55"/>
    <n v="1"/>
  </r>
  <r>
    <n v="801"/>
    <x v="45"/>
    <x v="0"/>
    <s v="Socks"/>
    <x v="0"/>
    <n v="20"/>
    <s v="Utah"/>
    <s v="S"/>
    <s v="Gold"/>
    <x v="2"/>
    <x v="5"/>
    <s v="Yes"/>
    <x v="1"/>
    <x v="0"/>
    <x v="0"/>
    <x v="41"/>
    <x v="1"/>
    <x v="6"/>
    <x v="2"/>
    <n v="20"/>
    <n v="1"/>
  </r>
  <r>
    <n v="802"/>
    <x v="15"/>
    <x v="0"/>
    <s v="Belt"/>
    <x v="3"/>
    <n v="29"/>
    <s v="New Mexico"/>
    <s v="L"/>
    <s v="Blue"/>
    <x v="3"/>
    <x v="8"/>
    <s v="Yes"/>
    <x v="0"/>
    <x v="0"/>
    <x v="0"/>
    <x v="45"/>
    <x v="2"/>
    <x v="0"/>
    <x v="1"/>
    <n v="29"/>
    <n v="1"/>
  </r>
  <r>
    <n v="803"/>
    <x v="21"/>
    <x v="0"/>
    <s v="Pants"/>
    <x v="0"/>
    <n v="41"/>
    <s v="Delaware"/>
    <s v="M"/>
    <s v="Teal"/>
    <x v="0"/>
    <x v="1"/>
    <s v="Yes"/>
    <x v="2"/>
    <x v="0"/>
    <x v="0"/>
    <x v="1"/>
    <x v="4"/>
    <x v="1"/>
    <x v="2"/>
    <n v="41"/>
    <n v="1"/>
  </r>
  <r>
    <n v="804"/>
    <x v="45"/>
    <x v="0"/>
    <s v="Shorts"/>
    <x v="0"/>
    <n v="38"/>
    <s v="Connecticut"/>
    <s v="L"/>
    <s v="Silver"/>
    <x v="0"/>
    <x v="11"/>
    <s v="Yes"/>
    <x v="0"/>
    <x v="0"/>
    <x v="0"/>
    <x v="48"/>
    <x v="0"/>
    <x v="6"/>
    <x v="2"/>
    <n v="38"/>
    <n v="1"/>
  </r>
  <r>
    <n v="805"/>
    <x v="49"/>
    <x v="0"/>
    <s v="Boots"/>
    <x v="1"/>
    <n v="47"/>
    <s v="Mississippi"/>
    <s v="M"/>
    <s v="Maroon"/>
    <x v="2"/>
    <x v="5"/>
    <s v="Yes"/>
    <x v="5"/>
    <x v="0"/>
    <x v="0"/>
    <x v="40"/>
    <x v="0"/>
    <x v="3"/>
    <x v="2"/>
    <n v="47"/>
    <n v="1"/>
  </r>
  <r>
    <n v="806"/>
    <x v="38"/>
    <x v="0"/>
    <s v="Dress"/>
    <x v="0"/>
    <n v="30"/>
    <s v="Connecticut"/>
    <s v="L"/>
    <s v="White"/>
    <x v="2"/>
    <x v="18"/>
    <s v="Yes"/>
    <x v="2"/>
    <x v="0"/>
    <x v="0"/>
    <x v="19"/>
    <x v="5"/>
    <x v="5"/>
    <x v="2"/>
    <n v="30"/>
    <n v="1"/>
  </r>
  <r>
    <n v="807"/>
    <x v="19"/>
    <x v="0"/>
    <s v="Jeans"/>
    <x v="0"/>
    <n v="56"/>
    <s v="Florida"/>
    <s v="L"/>
    <s v="Charcoal"/>
    <x v="2"/>
    <x v="2"/>
    <s v="Yes"/>
    <x v="3"/>
    <x v="0"/>
    <x v="0"/>
    <x v="15"/>
    <x v="3"/>
    <x v="3"/>
    <x v="0"/>
    <n v="56"/>
    <n v="1"/>
  </r>
  <r>
    <n v="808"/>
    <x v="7"/>
    <x v="0"/>
    <s v="T-shirt"/>
    <x v="0"/>
    <n v="89"/>
    <s v="New York"/>
    <s v="S"/>
    <s v="Brown"/>
    <x v="0"/>
    <x v="13"/>
    <s v="Yes"/>
    <x v="0"/>
    <x v="0"/>
    <x v="0"/>
    <x v="28"/>
    <x v="2"/>
    <x v="1"/>
    <x v="2"/>
    <n v="89"/>
    <n v="1"/>
  </r>
  <r>
    <n v="809"/>
    <x v="5"/>
    <x v="0"/>
    <s v="Shoes"/>
    <x v="1"/>
    <n v="96"/>
    <s v="Wisconsin"/>
    <s v="L"/>
    <s v="Lavender"/>
    <x v="3"/>
    <x v="12"/>
    <s v="Yes"/>
    <x v="2"/>
    <x v="0"/>
    <x v="0"/>
    <x v="25"/>
    <x v="1"/>
    <x v="6"/>
    <x v="2"/>
    <n v="96"/>
    <n v="1"/>
  </r>
  <r>
    <n v="810"/>
    <x v="39"/>
    <x v="0"/>
    <s v="Boots"/>
    <x v="1"/>
    <n v="81"/>
    <s v="South Carolina"/>
    <s v="M"/>
    <s v="Violet"/>
    <x v="3"/>
    <x v="8"/>
    <s v="Yes"/>
    <x v="2"/>
    <x v="0"/>
    <x v="0"/>
    <x v="48"/>
    <x v="3"/>
    <x v="4"/>
    <x v="2"/>
    <n v="81"/>
    <n v="1"/>
  </r>
  <r>
    <n v="811"/>
    <x v="16"/>
    <x v="0"/>
    <s v="Scarf"/>
    <x v="3"/>
    <n v="83"/>
    <s v="South Dakota"/>
    <s v="S"/>
    <s v="Lavender"/>
    <x v="3"/>
    <x v="8"/>
    <s v="Yes"/>
    <x v="5"/>
    <x v="0"/>
    <x v="0"/>
    <x v="18"/>
    <x v="5"/>
    <x v="4"/>
    <x v="0"/>
    <n v="83"/>
    <n v="1"/>
  </r>
  <r>
    <n v="812"/>
    <x v="20"/>
    <x v="0"/>
    <s v="Sneakers"/>
    <x v="1"/>
    <n v="35"/>
    <s v="Illinois"/>
    <s v="M"/>
    <s v="Green"/>
    <x v="0"/>
    <x v="2"/>
    <s v="Yes"/>
    <x v="1"/>
    <x v="0"/>
    <x v="0"/>
    <x v="13"/>
    <x v="0"/>
    <x v="3"/>
    <x v="1"/>
    <n v="35"/>
    <n v="1"/>
  </r>
  <r>
    <n v="813"/>
    <x v="14"/>
    <x v="0"/>
    <s v="Boots"/>
    <x v="1"/>
    <n v="56"/>
    <s v="Alaska"/>
    <s v="M"/>
    <s v="Olive"/>
    <x v="2"/>
    <x v="4"/>
    <s v="Yes"/>
    <x v="3"/>
    <x v="0"/>
    <x v="0"/>
    <x v="18"/>
    <x v="2"/>
    <x v="1"/>
    <x v="0"/>
    <n v="56"/>
    <n v="1"/>
  </r>
  <r>
    <n v="814"/>
    <x v="22"/>
    <x v="0"/>
    <s v="Handbag"/>
    <x v="3"/>
    <n v="45"/>
    <s v="Montana"/>
    <s v="S"/>
    <s v="Olive"/>
    <x v="2"/>
    <x v="3"/>
    <s v="Yes"/>
    <x v="5"/>
    <x v="0"/>
    <x v="0"/>
    <x v="0"/>
    <x v="5"/>
    <x v="2"/>
    <x v="0"/>
    <n v="45"/>
    <n v="1"/>
  </r>
  <r>
    <n v="815"/>
    <x v="18"/>
    <x v="0"/>
    <s v="Shirt"/>
    <x v="0"/>
    <n v="62"/>
    <s v="Minnesota"/>
    <s v="M"/>
    <s v="Pink"/>
    <x v="0"/>
    <x v="22"/>
    <s v="Yes"/>
    <x v="0"/>
    <x v="0"/>
    <x v="0"/>
    <x v="6"/>
    <x v="3"/>
    <x v="5"/>
    <x v="2"/>
    <n v="62"/>
    <n v="1"/>
  </r>
  <r>
    <n v="816"/>
    <x v="11"/>
    <x v="0"/>
    <s v="Hat"/>
    <x v="3"/>
    <n v="84"/>
    <s v="West Virginia"/>
    <s v="L"/>
    <s v="Teal"/>
    <x v="1"/>
    <x v="21"/>
    <s v="Yes"/>
    <x v="2"/>
    <x v="0"/>
    <x v="0"/>
    <x v="46"/>
    <x v="0"/>
    <x v="4"/>
    <x v="2"/>
    <n v="84"/>
    <n v="1"/>
  </r>
  <r>
    <n v="817"/>
    <x v="8"/>
    <x v="0"/>
    <s v="Sweater"/>
    <x v="0"/>
    <n v="24"/>
    <s v="Illinois"/>
    <s v="L"/>
    <s v="Cyan"/>
    <x v="2"/>
    <x v="20"/>
    <s v="Yes"/>
    <x v="5"/>
    <x v="0"/>
    <x v="0"/>
    <x v="37"/>
    <x v="5"/>
    <x v="5"/>
    <x v="2"/>
    <n v="24"/>
    <n v="1"/>
  </r>
  <r>
    <n v="818"/>
    <x v="15"/>
    <x v="0"/>
    <s v="Handbag"/>
    <x v="3"/>
    <n v="21"/>
    <s v="Nevada"/>
    <s v="S"/>
    <s v="Gray"/>
    <x v="1"/>
    <x v="10"/>
    <s v="Yes"/>
    <x v="5"/>
    <x v="0"/>
    <x v="0"/>
    <x v="48"/>
    <x v="3"/>
    <x v="0"/>
    <x v="1"/>
    <n v="21"/>
    <n v="1"/>
  </r>
  <r>
    <n v="819"/>
    <x v="35"/>
    <x v="0"/>
    <s v="Shirt"/>
    <x v="0"/>
    <n v="91"/>
    <s v="Idaho"/>
    <s v="M"/>
    <s v="Peach"/>
    <x v="0"/>
    <x v="8"/>
    <s v="Yes"/>
    <x v="5"/>
    <x v="0"/>
    <x v="0"/>
    <x v="11"/>
    <x v="5"/>
    <x v="5"/>
    <x v="0"/>
    <n v="91"/>
    <n v="1"/>
  </r>
  <r>
    <n v="820"/>
    <x v="0"/>
    <x v="0"/>
    <s v="Sunglasses"/>
    <x v="3"/>
    <n v="36"/>
    <s v="Colorado"/>
    <s v="S"/>
    <s v="Teal"/>
    <x v="0"/>
    <x v="6"/>
    <s v="Yes"/>
    <x v="2"/>
    <x v="0"/>
    <x v="0"/>
    <x v="40"/>
    <x v="5"/>
    <x v="3"/>
    <x v="0"/>
    <n v="36"/>
    <n v="1"/>
  </r>
  <r>
    <n v="821"/>
    <x v="19"/>
    <x v="0"/>
    <s v="Sneakers"/>
    <x v="1"/>
    <n v="39"/>
    <s v="Louisiana"/>
    <s v="M"/>
    <s v="Turquoise"/>
    <x v="1"/>
    <x v="25"/>
    <s v="Yes"/>
    <x v="4"/>
    <x v="0"/>
    <x v="0"/>
    <x v="46"/>
    <x v="5"/>
    <x v="5"/>
    <x v="0"/>
    <n v="39"/>
    <n v="1"/>
  </r>
  <r>
    <n v="822"/>
    <x v="46"/>
    <x v="0"/>
    <s v="Hoodie"/>
    <x v="0"/>
    <n v="39"/>
    <s v="Vermont"/>
    <s v="M"/>
    <s v="Green"/>
    <x v="1"/>
    <x v="20"/>
    <s v="Yes"/>
    <x v="3"/>
    <x v="0"/>
    <x v="0"/>
    <x v="4"/>
    <x v="2"/>
    <x v="4"/>
    <x v="0"/>
    <n v="39"/>
    <n v="1"/>
  </r>
  <r>
    <n v="823"/>
    <x v="25"/>
    <x v="0"/>
    <s v="Shirt"/>
    <x v="0"/>
    <n v="59"/>
    <s v="Mississippi"/>
    <s v="L"/>
    <s v="Magenta"/>
    <x v="0"/>
    <x v="23"/>
    <s v="Yes"/>
    <x v="3"/>
    <x v="0"/>
    <x v="0"/>
    <x v="2"/>
    <x v="4"/>
    <x v="2"/>
    <x v="2"/>
    <n v="59"/>
    <n v="1"/>
  </r>
  <r>
    <n v="824"/>
    <x v="47"/>
    <x v="0"/>
    <s v="Sunglasses"/>
    <x v="3"/>
    <n v="27"/>
    <s v="Georgia"/>
    <s v="M"/>
    <s v="Green"/>
    <x v="0"/>
    <x v="25"/>
    <s v="Yes"/>
    <x v="1"/>
    <x v="0"/>
    <x v="0"/>
    <x v="47"/>
    <x v="2"/>
    <x v="3"/>
    <x v="0"/>
    <n v="27"/>
    <n v="1"/>
  </r>
  <r>
    <n v="825"/>
    <x v="12"/>
    <x v="0"/>
    <s v="Blouse"/>
    <x v="0"/>
    <n v="94"/>
    <s v="Georgia"/>
    <s v="M"/>
    <s v="White"/>
    <x v="1"/>
    <x v="21"/>
    <s v="Yes"/>
    <x v="5"/>
    <x v="0"/>
    <x v="0"/>
    <x v="26"/>
    <x v="1"/>
    <x v="3"/>
    <x v="0"/>
    <n v="94"/>
    <n v="1"/>
  </r>
  <r>
    <n v="826"/>
    <x v="7"/>
    <x v="0"/>
    <s v="Belt"/>
    <x v="3"/>
    <n v="94"/>
    <s v="Nebraska"/>
    <s v="XL"/>
    <s v="Brown"/>
    <x v="3"/>
    <x v="15"/>
    <s v="Yes"/>
    <x v="2"/>
    <x v="0"/>
    <x v="0"/>
    <x v="14"/>
    <x v="1"/>
    <x v="5"/>
    <x v="2"/>
    <n v="94"/>
    <n v="1"/>
  </r>
  <r>
    <n v="827"/>
    <x v="22"/>
    <x v="0"/>
    <s v="Dress"/>
    <x v="0"/>
    <n v="94"/>
    <s v="Massachusetts"/>
    <s v="M"/>
    <s v="Purple"/>
    <x v="0"/>
    <x v="15"/>
    <s v="Yes"/>
    <x v="3"/>
    <x v="0"/>
    <x v="0"/>
    <x v="13"/>
    <x v="3"/>
    <x v="1"/>
    <x v="0"/>
    <n v="94"/>
    <n v="1"/>
  </r>
  <r>
    <n v="828"/>
    <x v="18"/>
    <x v="0"/>
    <s v="Shoes"/>
    <x v="1"/>
    <n v="51"/>
    <s v="Colorado"/>
    <s v="S"/>
    <s v="Green"/>
    <x v="3"/>
    <x v="7"/>
    <s v="Yes"/>
    <x v="1"/>
    <x v="0"/>
    <x v="0"/>
    <x v="42"/>
    <x v="4"/>
    <x v="0"/>
    <x v="2"/>
    <n v="51"/>
    <n v="1"/>
  </r>
  <r>
    <n v="829"/>
    <x v="41"/>
    <x v="0"/>
    <s v="Socks"/>
    <x v="0"/>
    <n v="62"/>
    <s v="Nevada"/>
    <s v="M"/>
    <s v="Peach"/>
    <x v="3"/>
    <x v="18"/>
    <s v="Yes"/>
    <x v="4"/>
    <x v="0"/>
    <x v="0"/>
    <x v="46"/>
    <x v="3"/>
    <x v="4"/>
    <x v="1"/>
    <n v="62"/>
    <n v="1"/>
  </r>
  <r>
    <n v="830"/>
    <x v="32"/>
    <x v="0"/>
    <s v="Socks"/>
    <x v="0"/>
    <n v="57"/>
    <s v="Idaho"/>
    <s v="S"/>
    <s v="Silver"/>
    <x v="1"/>
    <x v="0"/>
    <s v="Yes"/>
    <x v="4"/>
    <x v="0"/>
    <x v="0"/>
    <x v="0"/>
    <x v="2"/>
    <x v="0"/>
    <x v="2"/>
    <n v="57"/>
    <n v="1"/>
  </r>
  <r>
    <n v="831"/>
    <x v="38"/>
    <x v="0"/>
    <s v="Shorts"/>
    <x v="0"/>
    <n v="76"/>
    <s v="Wyoming"/>
    <s v="M"/>
    <s v="Maroon"/>
    <x v="3"/>
    <x v="19"/>
    <s v="Yes"/>
    <x v="0"/>
    <x v="0"/>
    <x v="0"/>
    <x v="36"/>
    <x v="2"/>
    <x v="2"/>
    <x v="2"/>
    <n v="76"/>
    <n v="1"/>
  </r>
  <r>
    <n v="832"/>
    <x v="17"/>
    <x v="0"/>
    <s v="Gloves"/>
    <x v="3"/>
    <n v="63"/>
    <s v="Washington"/>
    <s v="M"/>
    <s v="Red"/>
    <x v="2"/>
    <x v="24"/>
    <s v="Yes"/>
    <x v="0"/>
    <x v="0"/>
    <x v="0"/>
    <x v="39"/>
    <x v="1"/>
    <x v="6"/>
    <x v="0"/>
    <n v="63"/>
    <n v="1"/>
  </r>
  <r>
    <n v="833"/>
    <x v="44"/>
    <x v="0"/>
    <s v="Jacket"/>
    <x v="2"/>
    <n v="80"/>
    <s v="California"/>
    <s v="L"/>
    <s v="Blue"/>
    <x v="3"/>
    <x v="25"/>
    <s v="Yes"/>
    <x v="0"/>
    <x v="0"/>
    <x v="0"/>
    <x v="40"/>
    <x v="1"/>
    <x v="4"/>
    <x v="0"/>
    <n v="80"/>
    <n v="1"/>
  </r>
  <r>
    <n v="834"/>
    <x v="49"/>
    <x v="0"/>
    <s v="Handbag"/>
    <x v="3"/>
    <n v="68"/>
    <s v="Oklahoma"/>
    <s v="M"/>
    <s v="Purple"/>
    <x v="3"/>
    <x v="1"/>
    <s v="Yes"/>
    <x v="3"/>
    <x v="0"/>
    <x v="0"/>
    <x v="47"/>
    <x v="2"/>
    <x v="2"/>
    <x v="2"/>
    <n v="68"/>
    <n v="1"/>
  </r>
  <r>
    <n v="835"/>
    <x v="16"/>
    <x v="0"/>
    <s v="Backpack"/>
    <x v="3"/>
    <n v="89"/>
    <s v="Nevada"/>
    <s v="M"/>
    <s v="Indigo"/>
    <x v="2"/>
    <x v="0"/>
    <s v="Yes"/>
    <x v="1"/>
    <x v="0"/>
    <x v="0"/>
    <x v="27"/>
    <x v="2"/>
    <x v="1"/>
    <x v="0"/>
    <n v="89"/>
    <n v="1"/>
  </r>
  <r>
    <n v="836"/>
    <x v="25"/>
    <x v="0"/>
    <s v="Boots"/>
    <x v="1"/>
    <n v="26"/>
    <s v="Maryland"/>
    <s v="L"/>
    <s v="Indigo"/>
    <x v="2"/>
    <x v="25"/>
    <s v="Yes"/>
    <x v="2"/>
    <x v="0"/>
    <x v="0"/>
    <x v="33"/>
    <x v="5"/>
    <x v="1"/>
    <x v="2"/>
    <n v="26"/>
    <n v="1"/>
  </r>
  <r>
    <n v="837"/>
    <x v="51"/>
    <x v="0"/>
    <s v="Gloves"/>
    <x v="3"/>
    <n v="90"/>
    <s v="West Virginia"/>
    <s v="L"/>
    <s v="Violet"/>
    <x v="0"/>
    <x v="20"/>
    <s v="Yes"/>
    <x v="5"/>
    <x v="0"/>
    <x v="0"/>
    <x v="17"/>
    <x v="1"/>
    <x v="4"/>
    <x v="1"/>
    <n v="90"/>
    <n v="1"/>
  </r>
  <r>
    <n v="838"/>
    <x v="15"/>
    <x v="0"/>
    <s v="Hoodie"/>
    <x v="0"/>
    <n v="28"/>
    <s v="Illinois"/>
    <s v="L"/>
    <s v="Brown"/>
    <x v="1"/>
    <x v="8"/>
    <s v="Yes"/>
    <x v="0"/>
    <x v="0"/>
    <x v="0"/>
    <x v="42"/>
    <x v="1"/>
    <x v="6"/>
    <x v="1"/>
    <n v="28"/>
    <n v="1"/>
  </r>
  <r>
    <n v="839"/>
    <x v="23"/>
    <x v="0"/>
    <s v="Coat"/>
    <x v="2"/>
    <n v="29"/>
    <s v="Kentucky"/>
    <s v="M"/>
    <s v="Gray"/>
    <x v="1"/>
    <x v="24"/>
    <s v="Yes"/>
    <x v="0"/>
    <x v="0"/>
    <x v="0"/>
    <x v="3"/>
    <x v="2"/>
    <x v="2"/>
    <x v="2"/>
    <n v="29"/>
    <n v="1"/>
  </r>
  <r>
    <n v="840"/>
    <x v="39"/>
    <x v="0"/>
    <s v="Shirt"/>
    <x v="0"/>
    <n v="31"/>
    <s v="Illinois"/>
    <s v="L"/>
    <s v="Teal"/>
    <x v="1"/>
    <x v="5"/>
    <s v="Yes"/>
    <x v="1"/>
    <x v="0"/>
    <x v="0"/>
    <x v="9"/>
    <x v="5"/>
    <x v="6"/>
    <x v="2"/>
    <n v="31"/>
    <n v="1"/>
  </r>
  <r>
    <n v="841"/>
    <x v="32"/>
    <x v="0"/>
    <s v="Shirt"/>
    <x v="0"/>
    <n v="24"/>
    <s v="Alabama"/>
    <s v="L"/>
    <s v="Teal"/>
    <x v="2"/>
    <x v="19"/>
    <s v="Yes"/>
    <x v="4"/>
    <x v="0"/>
    <x v="0"/>
    <x v="27"/>
    <x v="3"/>
    <x v="1"/>
    <x v="2"/>
    <n v="24"/>
    <n v="1"/>
  </r>
  <r>
    <n v="842"/>
    <x v="0"/>
    <x v="0"/>
    <s v="Sweater"/>
    <x v="0"/>
    <n v="88"/>
    <s v="Texas"/>
    <s v="M"/>
    <s v="Beige"/>
    <x v="2"/>
    <x v="5"/>
    <s v="Yes"/>
    <x v="5"/>
    <x v="0"/>
    <x v="0"/>
    <x v="40"/>
    <x v="3"/>
    <x v="0"/>
    <x v="0"/>
    <n v="88"/>
    <n v="1"/>
  </r>
  <r>
    <n v="843"/>
    <x v="35"/>
    <x v="0"/>
    <s v="Shirt"/>
    <x v="0"/>
    <n v="87"/>
    <s v="Missouri"/>
    <s v="M"/>
    <s v="Violet"/>
    <x v="1"/>
    <x v="15"/>
    <s v="Yes"/>
    <x v="0"/>
    <x v="0"/>
    <x v="0"/>
    <x v="29"/>
    <x v="3"/>
    <x v="1"/>
    <x v="0"/>
    <n v="87"/>
    <n v="1"/>
  </r>
  <r>
    <n v="844"/>
    <x v="13"/>
    <x v="0"/>
    <s v="Hoodie"/>
    <x v="0"/>
    <n v="80"/>
    <s v="Pennsylvania"/>
    <s v="S"/>
    <s v="Beige"/>
    <x v="2"/>
    <x v="4"/>
    <s v="Yes"/>
    <x v="0"/>
    <x v="0"/>
    <x v="0"/>
    <x v="49"/>
    <x v="3"/>
    <x v="1"/>
    <x v="0"/>
    <n v="80"/>
    <n v="1"/>
  </r>
  <r>
    <n v="845"/>
    <x v="35"/>
    <x v="0"/>
    <s v="Sandals"/>
    <x v="1"/>
    <n v="48"/>
    <s v="Missouri"/>
    <s v="L"/>
    <s v="Purple"/>
    <x v="0"/>
    <x v="14"/>
    <s v="Yes"/>
    <x v="0"/>
    <x v="0"/>
    <x v="0"/>
    <x v="12"/>
    <x v="0"/>
    <x v="4"/>
    <x v="0"/>
    <n v="48"/>
    <n v="1"/>
  </r>
  <r>
    <n v="846"/>
    <x v="18"/>
    <x v="0"/>
    <s v="Belt"/>
    <x v="3"/>
    <n v="21"/>
    <s v="Michigan"/>
    <s v="XL"/>
    <s v="Charcoal"/>
    <x v="0"/>
    <x v="18"/>
    <s v="Yes"/>
    <x v="3"/>
    <x v="0"/>
    <x v="0"/>
    <x v="48"/>
    <x v="0"/>
    <x v="5"/>
    <x v="2"/>
    <n v="21"/>
    <n v="1"/>
  </r>
  <r>
    <n v="847"/>
    <x v="34"/>
    <x v="0"/>
    <s v="Boots"/>
    <x v="1"/>
    <n v="72"/>
    <s v="Kentucky"/>
    <s v="M"/>
    <s v="Pink"/>
    <x v="1"/>
    <x v="18"/>
    <s v="Yes"/>
    <x v="0"/>
    <x v="0"/>
    <x v="0"/>
    <x v="38"/>
    <x v="5"/>
    <x v="3"/>
    <x v="2"/>
    <n v="72"/>
    <n v="1"/>
  </r>
  <r>
    <n v="848"/>
    <x v="10"/>
    <x v="0"/>
    <s v="Hoodie"/>
    <x v="0"/>
    <n v="44"/>
    <s v="New Jersey"/>
    <s v="L"/>
    <s v="Blue"/>
    <x v="3"/>
    <x v="7"/>
    <s v="Yes"/>
    <x v="3"/>
    <x v="0"/>
    <x v="0"/>
    <x v="48"/>
    <x v="3"/>
    <x v="5"/>
    <x v="0"/>
    <n v="44"/>
    <n v="1"/>
  </r>
  <r>
    <n v="849"/>
    <x v="39"/>
    <x v="0"/>
    <s v="Sandals"/>
    <x v="1"/>
    <n v="73"/>
    <s v="Delaware"/>
    <s v="M"/>
    <s v="Lavender"/>
    <x v="3"/>
    <x v="15"/>
    <s v="Yes"/>
    <x v="5"/>
    <x v="0"/>
    <x v="0"/>
    <x v="42"/>
    <x v="2"/>
    <x v="4"/>
    <x v="2"/>
    <n v="73"/>
    <n v="1"/>
  </r>
  <r>
    <n v="850"/>
    <x v="51"/>
    <x v="0"/>
    <s v="Jeans"/>
    <x v="0"/>
    <n v="61"/>
    <s v="Missouri"/>
    <s v="S"/>
    <s v="Charcoal"/>
    <x v="1"/>
    <x v="24"/>
    <s v="Yes"/>
    <x v="0"/>
    <x v="0"/>
    <x v="0"/>
    <x v="37"/>
    <x v="3"/>
    <x v="3"/>
    <x v="1"/>
    <n v="61"/>
    <n v="1"/>
  </r>
  <r>
    <n v="851"/>
    <x v="33"/>
    <x v="0"/>
    <s v="Shoes"/>
    <x v="1"/>
    <n v="20"/>
    <s v="Connecticut"/>
    <s v="L"/>
    <s v="Turquoise"/>
    <x v="0"/>
    <x v="5"/>
    <s v="Yes"/>
    <x v="5"/>
    <x v="0"/>
    <x v="0"/>
    <x v="21"/>
    <x v="0"/>
    <x v="5"/>
    <x v="0"/>
    <n v="20"/>
    <n v="1"/>
  </r>
  <r>
    <n v="852"/>
    <x v="25"/>
    <x v="0"/>
    <s v="Sandals"/>
    <x v="1"/>
    <n v="86"/>
    <s v="Massachusetts"/>
    <s v="M"/>
    <s v="Red"/>
    <x v="2"/>
    <x v="3"/>
    <s v="Yes"/>
    <x v="0"/>
    <x v="0"/>
    <x v="0"/>
    <x v="5"/>
    <x v="5"/>
    <x v="5"/>
    <x v="2"/>
    <n v="86"/>
    <n v="1"/>
  </r>
  <r>
    <n v="853"/>
    <x v="50"/>
    <x v="0"/>
    <s v="Dress"/>
    <x v="0"/>
    <n v="60"/>
    <s v="Florida"/>
    <s v="L"/>
    <s v="Yellow"/>
    <x v="1"/>
    <x v="19"/>
    <s v="Yes"/>
    <x v="2"/>
    <x v="0"/>
    <x v="0"/>
    <x v="2"/>
    <x v="5"/>
    <x v="6"/>
    <x v="2"/>
    <n v="60"/>
    <n v="1"/>
  </r>
  <r>
    <n v="854"/>
    <x v="46"/>
    <x v="0"/>
    <s v="Hat"/>
    <x v="3"/>
    <n v="43"/>
    <s v="Delaware"/>
    <s v="L"/>
    <s v="Orange"/>
    <x v="0"/>
    <x v="17"/>
    <s v="Yes"/>
    <x v="1"/>
    <x v="0"/>
    <x v="0"/>
    <x v="31"/>
    <x v="1"/>
    <x v="5"/>
    <x v="0"/>
    <n v="43"/>
    <n v="1"/>
  </r>
  <r>
    <n v="855"/>
    <x v="3"/>
    <x v="0"/>
    <s v="Pants"/>
    <x v="0"/>
    <n v="44"/>
    <s v="California"/>
    <s v="L"/>
    <s v="Blue"/>
    <x v="1"/>
    <x v="24"/>
    <s v="Yes"/>
    <x v="1"/>
    <x v="0"/>
    <x v="0"/>
    <x v="17"/>
    <x v="0"/>
    <x v="5"/>
    <x v="1"/>
    <n v="44"/>
    <n v="1"/>
  </r>
  <r>
    <n v="856"/>
    <x v="27"/>
    <x v="0"/>
    <s v="Socks"/>
    <x v="0"/>
    <n v="76"/>
    <s v="Oregon"/>
    <s v="L"/>
    <s v="Gold"/>
    <x v="1"/>
    <x v="21"/>
    <s v="Yes"/>
    <x v="4"/>
    <x v="0"/>
    <x v="0"/>
    <x v="0"/>
    <x v="2"/>
    <x v="3"/>
    <x v="0"/>
    <n v="76"/>
    <n v="1"/>
  </r>
  <r>
    <n v="857"/>
    <x v="0"/>
    <x v="0"/>
    <s v="Shirt"/>
    <x v="0"/>
    <n v="33"/>
    <s v="Alaska"/>
    <s v="M"/>
    <s v="Gold"/>
    <x v="2"/>
    <x v="1"/>
    <s v="Yes"/>
    <x v="0"/>
    <x v="0"/>
    <x v="0"/>
    <x v="39"/>
    <x v="5"/>
    <x v="0"/>
    <x v="0"/>
    <n v="33"/>
    <n v="1"/>
  </r>
  <r>
    <n v="858"/>
    <x v="49"/>
    <x v="0"/>
    <s v="Shorts"/>
    <x v="0"/>
    <n v="60"/>
    <s v="Missouri"/>
    <s v="L"/>
    <s v="Cyan"/>
    <x v="3"/>
    <x v="21"/>
    <s v="Yes"/>
    <x v="3"/>
    <x v="0"/>
    <x v="0"/>
    <x v="16"/>
    <x v="5"/>
    <x v="6"/>
    <x v="2"/>
    <n v="60"/>
    <n v="1"/>
  </r>
  <r>
    <n v="859"/>
    <x v="1"/>
    <x v="0"/>
    <s v="Jacket"/>
    <x v="2"/>
    <n v="26"/>
    <s v="Oklahoma"/>
    <s v="L"/>
    <s v="Olive"/>
    <x v="3"/>
    <x v="0"/>
    <s v="Yes"/>
    <x v="1"/>
    <x v="0"/>
    <x v="0"/>
    <x v="42"/>
    <x v="3"/>
    <x v="1"/>
    <x v="1"/>
    <n v="26"/>
    <n v="1"/>
  </r>
  <r>
    <n v="860"/>
    <x v="36"/>
    <x v="0"/>
    <s v="Hoodie"/>
    <x v="0"/>
    <n v="73"/>
    <s v="Wisconsin"/>
    <s v="M"/>
    <s v="Teal"/>
    <x v="0"/>
    <x v="17"/>
    <s v="Yes"/>
    <x v="2"/>
    <x v="0"/>
    <x v="0"/>
    <x v="22"/>
    <x v="5"/>
    <x v="5"/>
    <x v="2"/>
    <n v="73"/>
    <n v="1"/>
  </r>
  <r>
    <n v="861"/>
    <x v="8"/>
    <x v="0"/>
    <s v="Shoes"/>
    <x v="1"/>
    <n v="87"/>
    <s v="South Carolina"/>
    <s v="M"/>
    <s v="Maroon"/>
    <x v="1"/>
    <x v="7"/>
    <s v="Yes"/>
    <x v="3"/>
    <x v="0"/>
    <x v="0"/>
    <x v="35"/>
    <x v="1"/>
    <x v="5"/>
    <x v="2"/>
    <n v="87"/>
    <n v="1"/>
  </r>
  <r>
    <n v="862"/>
    <x v="5"/>
    <x v="0"/>
    <s v="Skirt"/>
    <x v="0"/>
    <n v="100"/>
    <s v="Virginia"/>
    <s v="XL"/>
    <s v="Green"/>
    <x v="1"/>
    <x v="13"/>
    <s v="Yes"/>
    <x v="4"/>
    <x v="0"/>
    <x v="0"/>
    <x v="31"/>
    <x v="2"/>
    <x v="6"/>
    <x v="2"/>
    <n v="100"/>
    <n v="1"/>
  </r>
  <r>
    <n v="863"/>
    <x v="1"/>
    <x v="0"/>
    <s v="Coat"/>
    <x v="2"/>
    <n v="84"/>
    <s v="Arkansas"/>
    <s v="M"/>
    <s v="Charcoal"/>
    <x v="0"/>
    <x v="8"/>
    <s v="Yes"/>
    <x v="3"/>
    <x v="0"/>
    <x v="0"/>
    <x v="21"/>
    <x v="3"/>
    <x v="0"/>
    <x v="1"/>
    <n v="84"/>
    <n v="1"/>
  </r>
  <r>
    <n v="864"/>
    <x v="34"/>
    <x v="0"/>
    <s v="Sneakers"/>
    <x v="1"/>
    <n v="41"/>
    <s v="Vermont"/>
    <s v="M"/>
    <s v="Cyan"/>
    <x v="2"/>
    <x v="20"/>
    <s v="Yes"/>
    <x v="3"/>
    <x v="0"/>
    <x v="0"/>
    <x v="38"/>
    <x v="3"/>
    <x v="0"/>
    <x v="2"/>
    <n v="41"/>
    <n v="1"/>
  </r>
  <r>
    <n v="865"/>
    <x v="47"/>
    <x v="0"/>
    <s v="Jeans"/>
    <x v="0"/>
    <n v="59"/>
    <s v="Kentucky"/>
    <s v="S"/>
    <s v="Charcoal"/>
    <x v="0"/>
    <x v="20"/>
    <s v="Yes"/>
    <x v="2"/>
    <x v="0"/>
    <x v="0"/>
    <x v="36"/>
    <x v="3"/>
    <x v="2"/>
    <x v="0"/>
    <n v="59"/>
    <n v="1"/>
  </r>
  <r>
    <n v="866"/>
    <x v="14"/>
    <x v="0"/>
    <s v="Blouse"/>
    <x v="0"/>
    <n v="26"/>
    <s v="Colorado"/>
    <s v="L"/>
    <s v="Charcoal"/>
    <x v="0"/>
    <x v="6"/>
    <s v="Yes"/>
    <x v="5"/>
    <x v="0"/>
    <x v="0"/>
    <x v="2"/>
    <x v="0"/>
    <x v="2"/>
    <x v="0"/>
    <n v="26"/>
    <n v="1"/>
  </r>
  <r>
    <n v="867"/>
    <x v="29"/>
    <x v="0"/>
    <s v="Sunglasses"/>
    <x v="3"/>
    <n v="69"/>
    <s v="New Mexico"/>
    <s v="M"/>
    <s v="Lavender"/>
    <x v="2"/>
    <x v="2"/>
    <s v="Yes"/>
    <x v="1"/>
    <x v="0"/>
    <x v="0"/>
    <x v="47"/>
    <x v="3"/>
    <x v="4"/>
    <x v="0"/>
    <n v="69"/>
    <n v="1"/>
  </r>
  <r>
    <n v="868"/>
    <x v="43"/>
    <x v="0"/>
    <s v="Jacket"/>
    <x v="2"/>
    <n v="20"/>
    <s v="Colorado"/>
    <s v="M"/>
    <s v="Turquoise"/>
    <x v="1"/>
    <x v="0"/>
    <s v="Yes"/>
    <x v="1"/>
    <x v="0"/>
    <x v="0"/>
    <x v="2"/>
    <x v="4"/>
    <x v="0"/>
    <x v="2"/>
    <n v="20"/>
    <n v="1"/>
  </r>
  <r>
    <n v="869"/>
    <x v="37"/>
    <x v="0"/>
    <s v="Dress"/>
    <x v="0"/>
    <n v="83"/>
    <s v="North Carolina"/>
    <s v="M"/>
    <s v="Green"/>
    <x v="2"/>
    <x v="4"/>
    <s v="Yes"/>
    <x v="2"/>
    <x v="0"/>
    <x v="0"/>
    <x v="1"/>
    <x v="2"/>
    <x v="6"/>
    <x v="2"/>
    <n v="83"/>
    <n v="1"/>
  </r>
  <r>
    <n v="870"/>
    <x v="21"/>
    <x v="0"/>
    <s v="Hat"/>
    <x v="3"/>
    <n v="54"/>
    <s v="New Hampshire"/>
    <s v="M"/>
    <s v="Silver"/>
    <x v="1"/>
    <x v="2"/>
    <s v="Yes"/>
    <x v="4"/>
    <x v="0"/>
    <x v="0"/>
    <x v="42"/>
    <x v="3"/>
    <x v="1"/>
    <x v="2"/>
    <n v="54"/>
    <n v="1"/>
  </r>
  <r>
    <n v="871"/>
    <x v="17"/>
    <x v="0"/>
    <s v="Hoodie"/>
    <x v="0"/>
    <n v="66"/>
    <s v="West Virginia"/>
    <s v="M"/>
    <s v="Blue"/>
    <x v="3"/>
    <x v="25"/>
    <s v="Yes"/>
    <x v="3"/>
    <x v="0"/>
    <x v="0"/>
    <x v="49"/>
    <x v="4"/>
    <x v="4"/>
    <x v="0"/>
    <n v="66"/>
    <n v="1"/>
  </r>
  <r>
    <n v="872"/>
    <x v="36"/>
    <x v="0"/>
    <s v="Handbag"/>
    <x v="3"/>
    <n v="42"/>
    <s v="Hawaii"/>
    <s v="M"/>
    <s v="Charcoal"/>
    <x v="1"/>
    <x v="5"/>
    <s v="Yes"/>
    <x v="2"/>
    <x v="0"/>
    <x v="0"/>
    <x v="24"/>
    <x v="5"/>
    <x v="3"/>
    <x v="2"/>
    <n v="42"/>
    <n v="1"/>
  </r>
  <r>
    <n v="873"/>
    <x v="19"/>
    <x v="0"/>
    <s v="Jeans"/>
    <x v="0"/>
    <n v="33"/>
    <s v="North Dakota"/>
    <s v="M"/>
    <s v="Pink"/>
    <x v="1"/>
    <x v="3"/>
    <s v="Yes"/>
    <x v="3"/>
    <x v="0"/>
    <x v="0"/>
    <x v="29"/>
    <x v="1"/>
    <x v="3"/>
    <x v="0"/>
    <n v="33"/>
    <n v="1"/>
  </r>
  <r>
    <n v="874"/>
    <x v="47"/>
    <x v="0"/>
    <s v="Boots"/>
    <x v="1"/>
    <n v="77"/>
    <s v="Mississippi"/>
    <s v="M"/>
    <s v="Pink"/>
    <x v="2"/>
    <x v="19"/>
    <s v="Yes"/>
    <x v="1"/>
    <x v="0"/>
    <x v="0"/>
    <x v="37"/>
    <x v="0"/>
    <x v="3"/>
    <x v="0"/>
    <n v="77"/>
    <n v="1"/>
  </r>
  <r>
    <n v="875"/>
    <x v="15"/>
    <x v="0"/>
    <s v="Jacket"/>
    <x v="2"/>
    <n v="65"/>
    <s v="Maine"/>
    <s v="M"/>
    <s v="Magenta"/>
    <x v="3"/>
    <x v="14"/>
    <s v="Yes"/>
    <x v="1"/>
    <x v="0"/>
    <x v="0"/>
    <x v="9"/>
    <x v="0"/>
    <x v="6"/>
    <x v="1"/>
    <n v="65"/>
    <n v="1"/>
  </r>
  <r>
    <n v="876"/>
    <x v="43"/>
    <x v="0"/>
    <s v="Sandals"/>
    <x v="1"/>
    <n v="39"/>
    <s v="North Dakota"/>
    <s v="L"/>
    <s v="Gray"/>
    <x v="2"/>
    <x v="7"/>
    <s v="Yes"/>
    <x v="1"/>
    <x v="0"/>
    <x v="0"/>
    <x v="22"/>
    <x v="4"/>
    <x v="6"/>
    <x v="2"/>
    <n v="39"/>
    <n v="1"/>
  </r>
  <r>
    <n v="877"/>
    <x v="38"/>
    <x v="0"/>
    <s v="Belt"/>
    <x v="3"/>
    <n v="51"/>
    <s v="Nebraska"/>
    <s v="L"/>
    <s v="Gray"/>
    <x v="2"/>
    <x v="22"/>
    <s v="Yes"/>
    <x v="4"/>
    <x v="0"/>
    <x v="0"/>
    <x v="43"/>
    <x v="5"/>
    <x v="1"/>
    <x v="2"/>
    <n v="51"/>
    <n v="1"/>
  </r>
  <r>
    <n v="878"/>
    <x v="14"/>
    <x v="0"/>
    <s v="Handbag"/>
    <x v="3"/>
    <n v="65"/>
    <s v="Nebraska"/>
    <s v="M"/>
    <s v="Orange"/>
    <x v="0"/>
    <x v="8"/>
    <s v="Yes"/>
    <x v="2"/>
    <x v="0"/>
    <x v="0"/>
    <x v="24"/>
    <x v="0"/>
    <x v="6"/>
    <x v="0"/>
    <n v="65"/>
    <n v="1"/>
  </r>
  <r>
    <n v="879"/>
    <x v="51"/>
    <x v="0"/>
    <s v="Sunglasses"/>
    <x v="3"/>
    <n v="89"/>
    <s v="Tennessee"/>
    <s v="S"/>
    <s v="Black"/>
    <x v="2"/>
    <x v="8"/>
    <s v="Yes"/>
    <x v="0"/>
    <x v="0"/>
    <x v="0"/>
    <x v="10"/>
    <x v="5"/>
    <x v="1"/>
    <x v="1"/>
    <n v="89"/>
    <n v="1"/>
  </r>
  <r>
    <n v="880"/>
    <x v="46"/>
    <x v="0"/>
    <s v="Skirt"/>
    <x v="0"/>
    <n v="76"/>
    <s v="Wyoming"/>
    <s v="S"/>
    <s v="Lavender"/>
    <x v="1"/>
    <x v="7"/>
    <s v="Yes"/>
    <x v="1"/>
    <x v="0"/>
    <x v="0"/>
    <x v="0"/>
    <x v="3"/>
    <x v="3"/>
    <x v="0"/>
    <n v="76"/>
    <n v="1"/>
  </r>
  <r>
    <n v="881"/>
    <x v="31"/>
    <x v="0"/>
    <s v="Backpack"/>
    <x v="3"/>
    <n v="75"/>
    <s v="Nevada"/>
    <s v="L"/>
    <s v="Red"/>
    <x v="1"/>
    <x v="0"/>
    <s v="Yes"/>
    <x v="0"/>
    <x v="0"/>
    <x v="0"/>
    <x v="29"/>
    <x v="5"/>
    <x v="5"/>
    <x v="2"/>
    <n v="75"/>
    <n v="1"/>
  </r>
  <r>
    <n v="882"/>
    <x v="16"/>
    <x v="0"/>
    <s v="Sandals"/>
    <x v="1"/>
    <n v="61"/>
    <s v="South Carolina"/>
    <s v="M"/>
    <s v="Silver"/>
    <x v="2"/>
    <x v="2"/>
    <s v="Yes"/>
    <x v="2"/>
    <x v="0"/>
    <x v="0"/>
    <x v="27"/>
    <x v="0"/>
    <x v="2"/>
    <x v="0"/>
    <n v="61"/>
    <n v="1"/>
  </r>
  <r>
    <n v="883"/>
    <x v="2"/>
    <x v="0"/>
    <s v="Boots"/>
    <x v="1"/>
    <n v="35"/>
    <s v="Virginia"/>
    <s v="M"/>
    <s v="Cyan"/>
    <x v="3"/>
    <x v="22"/>
    <s v="Yes"/>
    <x v="2"/>
    <x v="0"/>
    <x v="0"/>
    <x v="10"/>
    <x v="1"/>
    <x v="6"/>
    <x v="2"/>
    <n v="35"/>
    <n v="1"/>
  </r>
  <r>
    <n v="884"/>
    <x v="48"/>
    <x v="0"/>
    <s v="Sneakers"/>
    <x v="1"/>
    <n v="37"/>
    <s v="Pennsylvania"/>
    <s v="S"/>
    <s v="Gold"/>
    <x v="3"/>
    <x v="24"/>
    <s v="Yes"/>
    <x v="1"/>
    <x v="0"/>
    <x v="0"/>
    <x v="48"/>
    <x v="4"/>
    <x v="5"/>
    <x v="2"/>
    <n v="37"/>
    <n v="1"/>
  </r>
  <r>
    <n v="885"/>
    <x v="29"/>
    <x v="0"/>
    <s v="Skirt"/>
    <x v="0"/>
    <n v="91"/>
    <s v="Hawaii"/>
    <s v="L"/>
    <s v="Yellow"/>
    <x v="0"/>
    <x v="7"/>
    <s v="Yes"/>
    <x v="0"/>
    <x v="0"/>
    <x v="0"/>
    <x v="11"/>
    <x v="4"/>
    <x v="1"/>
    <x v="0"/>
    <n v="91"/>
    <n v="1"/>
  </r>
  <r>
    <n v="886"/>
    <x v="38"/>
    <x v="0"/>
    <s v="Dress"/>
    <x v="0"/>
    <n v="99"/>
    <s v="Ohio"/>
    <s v="L"/>
    <s v="Purple"/>
    <x v="3"/>
    <x v="14"/>
    <s v="Yes"/>
    <x v="1"/>
    <x v="0"/>
    <x v="0"/>
    <x v="3"/>
    <x v="5"/>
    <x v="6"/>
    <x v="2"/>
    <n v="99"/>
    <n v="1"/>
  </r>
  <r>
    <n v="887"/>
    <x v="1"/>
    <x v="0"/>
    <s v="Shorts"/>
    <x v="0"/>
    <n v="54"/>
    <s v="Utah"/>
    <s v="S"/>
    <s v="Brown"/>
    <x v="2"/>
    <x v="15"/>
    <s v="Yes"/>
    <x v="0"/>
    <x v="0"/>
    <x v="0"/>
    <x v="26"/>
    <x v="4"/>
    <x v="5"/>
    <x v="1"/>
    <n v="54"/>
    <n v="1"/>
  </r>
  <r>
    <n v="888"/>
    <x v="27"/>
    <x v="0"/>
    <s v="Handbag"/>
    <x v="3"/>
    <n v="47"/>
    <s v="Minnesota"/>
    <s v="L"/>
    <s v="Turquoise"/>
    <x v="0"/>
    <x v="13"/>
    <s v="Yes"/>
    <x v="4"/>
    <x v="0"/>
    <x v="0"/>
    <x v="42"/>
    <x v="3"/>
    <x v="0"/>
    <x v="0"/>
    <n v="47"/>
    <n v="1"/>
  </r>
  <r>
    <n v="889"/>
    <x v="34"/>
    <x v="0"/>
    <s v="Scarf"/>
    <x v="3"/>
    <n v="77"/>
    <s v="New Hampshire"/>
    <s v="S"/>
    <s v="Gold"/>
    <x v="1"/>
    <x v="15"/>
    <s v="Yes"/>
    <x v="0"/>
    <x v="0"/>
    <x v="0"/>
    <x v="12"/>
    <x v="1"/>
    <x v="2"/>
    <x v="2"/>
    <n v="77"/>
    <n v="1"/>
  </r>
  <r>
    <n v="890"/>
    <x v="35"/>
    <x v="0"/>
    <s v="Belt"/>
    <x v="3"/>
    <n v="84"/>
    <s v="Arizona"/>
    <s v="S"/>
    <s v="Olive"/>
    <x v="3"/>
    <x v="11"/>
    <s v="Yes"/>
    <x v="1"/>
    <x v="0"/>
    <x v="0"/>
    <x v="16"/>
    <x v="0"/>
    <x v="1"/>
    <x v="0"/>
    <n v="84"/>
    <n v="1"/>
  </r>
  <r>
    <n v="891"/>
    <x v="16"/>
    <x v="0"/>
    <s v="Gloves"/>
    <x v="3"/>
    <n v="51"/>
    <s v="New York"/>
    <s v="S"/>
    <s v="Purple"/>
    <x v="1"/>
    <x v="24"/>
    <s v="Yes"/>
    <x v="4"/>
    <x v="0"/>
    <x v="0"/>
    <x v="39"/>
    <x v="2"/>
    <x v="5"/>
    <x v="0"/>
    <n v="51"/>
    <n v="1"/>
  </r>
  <r>
    <n v="892"/>
    <x v="30"/>
    <x v="0"/>
    <s v="Skirt"/>
    <x v="0"/>
    <n v="26"/>
    <s v="Pennsylvania"/>
    <s v="S"/>
    <s v="Lavender"/>
    <x v="2"/>
    <x v="20"/>
    <s v="Yes"/>
    <x v="5"/>
    <x v="0"/>
    <x v="0"/>
    <x v="37"/>
    <x v="3"/>
    <x v="6"/>
    <x v="1"/>
    <n v="26"/>
    <n v="1"/>
  </r>
  <r>
    <n v="893"/>
    <x v="18"/>
    <x v="0"/>
    <s v="Shorts"/>
    <x v="0"/>
    <n v="64"/>
    <s v="New Mexico"/>
    <s v="L"/>
    <s v="Gray"/>
    <x v="2"/>
    <x v="2"/>
    <s v="Yes"/>
    <x v="1"/>
    <x v="0"/>
    <x v="0"/>
    <x v="34"/>
    <x v="5"/>
    <x v="5"/>
    <x v="2"/>
    <n v="64"/>
    <n v="1"/>
  </r>
  <r>
    <n v="894"/>
    <x v="23"/>
    <x v="0"/>
    <s v="Backpack"/>
    <x v="3"/>
    <n v="51"/>
    <s v="Nebraska"/>
    <s v="M"/>
    <s v="Red"/>
    <x v="1"/>
    <x v="10"/>
    <s v="Yes"/>
    <x v="0"/>
    <x v="0"/>
    <x v="0"/>
    <x v="0"/>
    <x v="0"/>
    <x v="5"/>
    <x v="2"/>
    <n v="51"/>
    <n v="1"/>
  </r>
  <r>
    <n v="895"/>
    <x v="42"/>
    <x v="0"/>
    <s v="Hoodie"/>
    <x v="0"/>
    <n v="60"/>
    <s v="Wyoming"/>
    <s v="L"/>
    <s v="Purple"/>
    <x v="1"/>
    <x v="22"/>
    <s v="Yes"/>
    <x v="1"/>
    <x v="0"/>
    <x v="0"/>
    <x v="35"/>
    <x v="5"/>
    <x v="3"/>
    <x v="2"/>
    <n v="60"/>
    <n v="1"/>
  </r>
  <r>
    <n v="896"/>
    <x v="37"/>
    <x v="0"/>
    <s v="Hat"/>
    <x v="3"/>
    <n v="69"/>
    <s v="Mississippi"/>
    <s v="XL"/>
    <s v="Olive"/>
    <x v="1"/>
    <x v="10"/>
    <s v="Yes"/>
    <x v="2"/>
    <x v="0"/>
    <x v="0"/>
    <x v="42"/>
    <x v="5"/>
    <x v="3"/>
    <x v="2"/>
    <n v="69"/>
    <n v="1"/>
  </r>
  <r>
    <n v="897"/>
    <x v="28"/>
    <x v="0"/>
    <s v="Jewelry"/>
    <x v="3"/>
    <n v="29"/>
    <s v="Arkansas"/>
    <s v="M"/>
    <s v="Lavender"/>
    <x v="1"/>
    <x v="10"/>
    <s v="Yes"/>
    <x v="0"/>
    <x v="0"/>
    <x v="0"/>
    <x v="25"/>
    <x v="1"/>
    <x v="0"/>
    <x v="0"/>
    <n v="29"/>
    <n v="1"/>
  </r>
  <r>
    <n v="898"/>
    <x v="26"/>
    <x v="0"/>
    <s v="Shirt"/>
    <x v="0"/>
    <n v="91"/>
    <s v="Illinois"/>
    <s v="M"/>
    <s v="Gray"/>
    <x v="1"/>
    <x v="23"/>
    <s v="Yes"/>
    <x v="0"/>
    <x v="0"/>
    <x v="0"/>
    <x v="15"/>
    <x v="0"/>
    <x v="1"/>
    <x v="2"/>
    <n v="91"/>
    <n v="1"/>
  </r>
  <r>
    <n v="899"/>
    <x v="22"/>
    <x v="0"/>
    <s v="Belt"/>
    <x v="3"/>
    <n v="70"/>
    <s v="Nevada"/>
    <s v="L"/>
    <s v="Red"/>
    <x v="1"/>
    <x v="1"/>
    <s v="Yes"/>
    <x v="4"/>
    <x v="0"/>
    <x v="0"/>
    <x v="5"/>
    <x v="4"/>
    <x v="6"/>
    <x v="0"/>
    <n v="70"/>
    <n v="1"/>
  </r>
  <r>
    <n v="900"/>
    <x v="13"/>
    <x v="0"/>
    <s v="Sweater"/>
    <x v="0"/>
    <n v="58"/>
    <s v="Rhode Island"/>
    <s v="M"/>
    <s v="Peach"/>
    <x v="2"/>
    <x v="17"/>
    <s v="Yes"/>
    <x v="3"/>
    <x v="0"/>
    <x v="0"/>
    <x v="41"/>
    <x v="3"/>
    <x v="2"/>
    <x v="0"/>
    <n v="58"/>
    <n v="1"/>
  </r>
  <r>
    <n v="901"/>
    <x v="22"/>
    <x v="0"/>
    <s v="Hat"/>
    <x v="3"/>
    <n v="98"/>
    <s v="West Virginia"/>
    <s v="L"/>
    <s v="Gray"/>
    <x v="3"/>
    <x v="13"/>
    <s v="Yes"/>
    <x v="1"/>
    <x v="0"/>
    <x v="0"/>
    <x v="38"/>
    <x v="4"/>
    <x v="3"/>
    <x v="0"/>
    <n v="98"/>
    <n v="1"/>
  </r>
  <r>
    <n v="902"/>
    <x v="52"/>
    <x v="0"/>
    <s v="Scarf"/>
    <x v="3"/>
    <n v="68"/>
    <s v="Missouri"/>
    <s v="L"/>
    <s v="Violet"/>
    <x v="2"/>
    <x v="10"/>
    <s v="Yes"/>
    <x v="4"/>
    <x v="0"/>
    <x v="0"/>
    <x v="11"/>
    <x v="1"/>
    <x v="5"/>
    <x v="0"/>
    <n v="68"/>
    <n v="1"/>
  </r>
  <r>
    <n v="903"/>
    <x v="49"/>
    <x v="0"/>
    <s v="Hat"/>
    <x v="3"/>
    <n v="44"/>
    <s v="Kentucky"/>
    <s v="M"/>
    <s v="Beige"/>
    <x v="2"/>
    <x v="11"/>
    <s v="Yes"/>
    <x v="2"/>
    <x v="0"/>
    <x v="0"/>
    <x v="36"/>
    <x v="1"/>
    <x v="5"/>
    <x v="2"/>
    <n v="44"/>
    <n v="1"/>
  </r>
  <r>
    <n v="904"/>
    <x v="42"/>
    <x v="0"/>
    <s v="Jacket"/>
    <x v="2"/>
    <n v="45"/>
    <s v="Washington"/>
    <s v="M"/>
    <s v="Blue"/>
    <x v="0"/>
    <x v="13"/>
    <s v="Yes"/>
    <x v="0"/>
    <x v="0"/>
    <x v="0"/>
    <x v="35"/>
    <x v="3"/>
    <x v="3"/>
    <x v="2"/>
    <n v="45"/>
    <n v="1"/>
  </r>
  <r>
    <n v="905"/>
    <x v="28"/>
    <x v="0"/>
    <s v="T-shirt"/>
    <x v="0"/>
    <n v="99"/>
    <s v="Alaska"/>
    <s v="L"/>
    <s v="Magenta"/>
    <x v="1"/>
    <x v="3"/>
    <s v="Yes"/>
    <x v="1"/>
    <x v="0"/>
    <x v="0"/>
    <x v="15"/>
    <x v="3"/>
    <x v="6"/>
    <x v="0"/>
    <n v="99"/>
    <n v="1"/>
  </r>
  <r>
    <n v="906"/>
    <x v="5"/>
    <x v="0"/>
    <s v="Dress"/>
    <x v="0"/>
    <n v="68"/>
    <s v="Mississippi"/>
    <s v="S"/>
    <s v="Cyan"/>
    <x v="1"/>
    <x v="11"/>
    <s v="Yes"/>
    <x v="3"/>
    <x v="0"/>
    <x v="0"/>
    <x v="20"/>
    <x v="0"/>
    <x v="2"/>
    <x v="2"/>
    <n v="68"/>
    <n v="1"/>
  </r>
  <r>
    <n v="907"/>
    <x v="38"/>
    <x v="0"/>
    <s v="Pants"/>
    <x v="0"/>
    <n v="56"/>
    <s v="South Carolina"/>
    <s v="M"/>
    <s v="Red"/>
    <x v="1"/>
    <x v="19"/>
    <s v="Yes"/>
    <x v="3"/>
    <x v="0"/>
    <x v="0"/>
    <x v="33"/>
    <x v="5"/>
    <x v="4"/>
    <x v="2"/>
    <n v="56"/>
    <n v="1"/>
  </r>
  <r>
    <n v="908"/>
    <x v="45"/>
    <x v="0"/>
    <s v="Sweater"/>
    <x v="0"/>
    <n v="43"/>
    <s v="Missouri"/>
    <s v="L"/>
    <s v="Cyan"/>
    <x v="0"/>
    <x v="14"/>
    <s v="Yes"/>
    <x v="0"/>
    <x v="0"/>
    <x v="0"/>
    <x v="11"/>
    <x v="2"/>
    <x v="4"/>
    <x v="2"/>
    <n v="43"/>
    <n v="1"/>
  </r>
  <r>
    <n v="909"/>
    <x v="8"/>
    <x v="0"/>
    <s v="Sunglasses"/>
    <x v="3"/>
    <n v="99"/>
    <s v="New Jersey"/>
    <s v="M"/>
    <s v="Turquoise"/>
    <x v="0"/>
    <x v="15"/>
    <s v="Yes"/>
    <x v="1"/>
    <x v="0"/>
    <x v="0"/>
    <x v="44"/>
    <x v="3"/>
    <x v="6"/>
    <x v="2"/>
    <n v="99"/>
    <n v="1"/>
  </r>
  <r>
    <n v="910"/>
    <x v="12"/>
    <x v="0"/>
    <s v="Belt"/>
    <x v="3"/>
    <n v="56"/>
    <s v="Louisiana"/>
    <s v="L"/>
    <s v="Silver"/>
    <x v="3"/>
    <x v="2"/>
    <s v="Yes"/>
    <x v="0"/>
    <x v="0"/>
    <x v="0"/>
    <x v="13"/>
    <x v="3"/>
    <x v="1"/>
    <x v="0"/>
    <n v="56"/>
    <n v="1"/>
  </r>
  <r>
    <n v="911"/>
    <x v="34"/>
    <x v="0"/>
    <s v="Hoodie"/>
    <x v="0"/>
    <n v="25"/>
    <s v="South Carolina"/>
    <s v="S"/>
    <s v="Pink"/>
    <x v="1"/>
    <x v="23"/>
    <s v="Yes"/>
    <x v="0"/>
    <x v="0"/>
    <x v="0"/>
    <x v="17"/>
    <x v="2"/>
    <x v="5"/>
    <x v="2"/>
    <n v="25"/>
    <n v="1"/>
  </r>
  <r>
    <n v="912"/>
    <x v="10"/>
    <x v="0"/>
    <s v="Pants"/>
    <x v="0"/>
    <n v="74"/>
    <s v="Vermont"/>
    <s v="M"/>
    <s v="Black"/>
    <x v="0"/>
    <x v="11"/>
    <s v="Yes"/>
    <x v="4"/>
    <x v="0"/>
    <x v="0"/>
    <x v="1"/>
    <x v="4"/>
    <x v="3"/>
    <x v="0"/>
    <n v="74"/>
    <n v="1"/>
  </r>
  <r>
    <n v="913"/>
    <x v="41"/>
    <x v="0"/>
    <s v="Hoodie"/>
    <x v="0"/>
    <n v="56"/>
    <s v="Arkansas"/>
    <s v="M"/>
    <s v="Green"/>
    <x v="0"/>
    <x v="23"/>
    <s v="Yes"/>
    <x v="2"/>
    <x v="0"/>
    <x v="0"/>
    <x v="18"/>
    <x v="4"/>
    <x v="5"/>
    <x v="1"/>
    <n v="56"/>
    <n v="1"/>
  </r>
  <r>
    <n v="914"/>
    <x v="43"/>
    <x v="0"/>
    <s v="Sneakers"/>
    <x v="1"/>
    <n v="47"/>
    <s v="Utah"/>
    <s v="M"/>
    <s v="Yellow"/>
    <x v="3"/>
    <x v="5"/>
    <s v="Yes"/>
    <x v="2"/>
    <x v="0"/>
    <x v="0"/>
    <x v="32"/>
    <x v="1"/>
    <x v="6"/>
    <x v="2"/>
    <n v="47"/>
    <n v="1"/>
  </r>
  <r>
    <n v="915"/>
    <x v="49"/>
    <x v="0"/>
    <s v="Dress"/>
    <x v="0"/>
    <n v="67"/>
    <s v="Washington"/>
    <s v="L"/>
    <s v="Purple"/>
    <x v="2"/>
    <x v="7"/>
    <s v="Yes"/>
    <x v="3"/>
    <x v="0"/>
    <x v="0"/>
    <x v="46"/>
    <x v="0"/>
    <x v="6"/>
    <x v="2"/>
    <n v="67"/>
    <n v="1"/>
  </r>
  <r>
    <n v="916"/>
    <x v="18"/>
    <x v="0"/>
    <s v="Dress"/>
    <x v="0"/>
    <n v="22"/>
    <s v="Rhode Island"/>
    <s v="L"/>
    <s v="Purple"/>
    <x v="0"/>
    <x v="3"/>
    <s v="Yes"/>
    <x v="5"/>
    <x v="0"/>
    <x v="0"/>
    <x v="42"/>
    <x v="2"/>
    <x v="0"/>
    <x v="2"/>
    <n v="22"/>
    <n v="1"/>
  </r>
  <r>
    <n v="917"/>
    <x v="34"/>
    <x v="0"/>
    <s v="Jeans"/>
    <x v="0"/>
    <n v="34"/>
    <s v="Illinois"/>
    <s v="S"/>
    <s v="Blue"/>
    <x v="1"/>
    <x v="2"/>
    <s v="Yes"/>
    <x v="3"/>
    <x v="0"/>
    <x v="0"/>
    <x v="20"/>
    <x v="0"/>
    <x v="5"/>
    <x v="2"/>
    <n v="34"/>
    <n v="1"/>
  </r>
  <r>
    <n v="918"/>
    <x v="28"/>
    <x v="0"/>
    <s v="Sweater"/>
    <x v="0"/>
    <n v="64"/>
    <s v="Missouri"/>
    <s v="M"/>
    <s v="Maroon"/>
    <x v="1"/>
    <x v="18"/>
    <s v="Yes"/>
    <x v="3"/>
    <x v="0"/>
    <x v="0"/>
    <x v="47"/>
    <x v="4"/>
    <x v="3"/>
    <x v="0"/>
    <n v="64"/>
    <n v="1"/>
  </r>
  <r>
    <n v="919"/>
    <x v="13"/>
    <x v="0"/>
    <s v="Shorts"/>
    <x v="0"/>
    <n v="42"/>
    <s v="North Carolina"/>
    <s v="M"/>
    <s v="Orange"/>
    <x v="1"/>
    <x v="24"/>
    <s v="Yes"/>
    <x v="4"/>
    <x v="0"/>
    <x v="0"/>
    <x v="47"/>
    <x v="1"/>
    <x v="0"/>
    <x v="0"/>
    <n v="42"/>
    <n v="1"/>
  </r>
  <r>
    <n v="920"/>
    <x v="38"/>
    <x v="0"/>
    <s v="Shirt"/>
    <x v="0"/>
    <n v="82"/>
    <s v="Massachusetts"/>
    <s v="L"/>
    <s v="Green"/>
    <x v="0"/>
    <x v="5"/>
    <s v="Yes"/>
    <x v="4"/>
    <x v="0"/>
    <x v="0"/>
    <x v="14"/>
    <x v="5"/>
    <x v="4"/>
    <x v="2"/>
    <n v="82"/>
    <n v="1"/>
  </r>
  <r>
    <n v="921"/>
    <x v="43"/>
    <x v="0"/>
    <s v="Belt"/>
    <x v="3"/>
    <n v="81"/>
    <s v="Arkansas"/>
    <s v="XL"/>
    <s v="Gold"/>
    <x v="2"/>
    <x v="24"/>
    <s v="Yes"/>
    <x v="1"/>
    <x v="0"/>
    <x v="0"/>
    <x v="10"/>
    <x v="1"/>
    <x v="1"/>
    <x v="2"/>
    <n v="81"/>
    <n v="1"/>
  </r>
  <r>
    <n v="922"/>
    <x v="27"/>
    <x v="0"/>
    <s v="Coat"/>
    <x v="2"/>
    <n v="24"/>
    <s v="South Dakota"/>
    <s v="L"/>
    <s v="Silver"/>
    <x v="2"/>
    <x v="7"/>
    <s v="Yes"/>
    <x v="0"/>
    <x v="0"/>
    <x v="0"/>
    <x v="27"/>
    <x v="3"/>
    <x v="1"/>
    <x v="0"/>
    <n v="24"/>
    <n v="1"/>
  </r>
  <r>
    <n v="923"/>
    <x v="6"/>
    <x v="0"/>
    <s v="Sneakers"/>
    <x v="1"/>
    <n v="60"/>
    <s v="Georgia"/>
    <s v="M"/>
    <s v="Cyan"/>
    <x v="3"/>
    <x v="19"/>
    <s v="Yes"/>
    <x v="3"/>
    <x v="0"/>
    <x v="0"/>
    <x v="21"/>
    <x v="2"/>
    <x v="5"/>
    <x v="0"/>
    <n v="60"/>
    <n v="1"/>
  </r>
  <r>
    <n v="924"/>
    <x v="0"/>
    <x v="0"/>
    <s v="Shirt"/>
    <x v="0"/>
    <n v="24"/>
    <s v="Arkansas"/>
    <s v="M"/>
    <s v="Silver"/>
    <x v="1"/>
    <x v="19"/>
    <s v="Yes"/>
    <x v="4"/>
    <x v="0"/>
    <x v="0"/>
    <x v="22"/>
    <x v="3"/>
    <x v="1"/>
    <x v="0"/>
    <n v="24"/>
    <n v="1"/>
  </r>
  <r>
    <n v="925"/>
    <x v="16"/>
    <x v="0"/>
    <s v="Socks"/>
    <x v="0"/>
    <n v="78"/>
    <s v="Kansas"/>
    <s v="XL"/>
    <s v="Beige"/>
    <x v="0"/>
    <x v="0"/>
    <s v="Yes"/>
    <x v="3"/>
    <x v="0"/>
    <x v="0"/>
    <x v="10"/>
    <x v="1"/>
    <x v="3"/>
    <x v="0"/>
    <n v="78"/>
    <n v="1"/>
  </r>
  <r>
    <n v="926"/>
    <x v="40"/>
    <x v="0"/>
    <s v="Jeans"/>
    <x v="0"/>
    <n v="88"/>
    <s v="Arizona"/>
    <s v="L"/>
    <s v="Teal"/>
    <x v="0"/>
    <x v="8"/>
    <s v="Yes"/>
    <x v="0"/>
    <x v="0"/>
    <x v="0"/>
    <x v="6"/>
    <x v="1"/>
    <x v="5"/>
    <x v="1"/>
    <n v="88"/>
    <n v="1"/>
  </r>
  <r>
    <n v="927"/>
    <x v="22"/>
    <x v="0"/>
    <s v="Jeans"/>
    <x v="0"/>
    <n v="63"/>
    <s v="Massachusetts"/>
    <s v="XL"/>
    <s v="Green"/>
    <x v="1"/>
    <x v="14"/>
    <s v="Yes"/>
    <x v="0"/>
    <x v="0"/>
    <x v="0"/>
    <x v="47"/>
    <x v="1"/>
    <x v="4"/>
    <x v="0"/>
    <n v="63"/>
    <n v="1"/>
  </r>
  <r>
    <n v="928"/>
    <x v="48"/>
    <x v="0"/>
    <s v="Sneakers"/>
    <x v="1"/>
    <n v="78"/>
    <s v="New Mexico"/>
    <s v="L"/>
    <s v="Black"/>
    <x v="2"/>
    <x v="14"/>
    <s v="Yes"/>
    <x v="3"/>
    <x v="0"/>
    <x v="0"/>
    <x v="6"/>
    <x v="0"/>
    <x v="4"/>
    <x v="2"/>
    <n v="78"/>
    <n v="1"/>
  </r>
  <r>
    <n v="929"/>
    <x v="29"/>
    <x v="0"/>
    <s v="Dress"/>
    <x v="0"/>
    <n v="37"/>
    <s v="Arkansas"/>
    <s v="XL"/>
    <s v="Yellow"/>
    <x v="0"/>
    <x v="23"/>
    <s v="Yes"/>
    <x v="5"/>
    <x v="0"/>
    <x v="0"/>
    <x v="4"/>
    <x v="1"/>
    <x v="6"/>
    <x v="0"/>
    <n v="37"/>
    <n v="1"/>
  </r>
  <r>
    <n v="930"/>
    <x v="35"/>
    <x v="0"/>
    <s v="Boots"/>
    <x v="1"/>
    <n v="94"/>
    <s v="Nebraska"/>
    <s v="M"/>
    <s v="White"/>
    <x v="3"/>
    <x v="9"/>
    <s v="Yes"/>
    <x v="4"/>
    <x v="0"/>
    <x v="0"/>
    <x v="8"/>
    <x v="5"/>
    <x v="0"/>
    <x v="0"/>
    <n v="94"/>
    <n v="1"/>
  </r>
  <r>
    <n v="931"/>
    <x v="8"/>
    <x v="0"/>
    <s v="T-shirt"/>
    <x v="0"/>
    <n v="78"/>
    <s v="Hawaii"/>
    <s v="L"/>
    <s v="Green"/>
    <x v="3"/>
    <x v="9"/>
    <s v="Yes"/>
    <x v="5"/>
    <x v="0"/>
    <x v="0"/>
    <x v="41"/>
    <x v="2"/>
    <x v="4"/>
    <x v="2"/>
    <n v="78"/>
    <n v="1"/>
  </r>
  <r>
    <n v="932"/>
    <x v="41"/>
    <x v="0"/>
    <s v="Coat"/>
    <x v="2"/>
    <n v="36"/>
    <s v="Nebraska"/>
    <s v="M"/>
    <s v="Silver"/>
    <x v="0"/>
    <x v="7"/>
    <s v="Yes"/>
    <x v="3"/>
    <x v="0"/>
    <x v="0"/>
    <x v="37"/>
    <x v="4"/>
    <x v="0"/>
    <x v="1"/>
    <n v="36"/>
    <n v="1"/>
  </r>
  <r>
    <n v="933"/>
    <x v="46"/>
    <x v="0"/>
    <s v="Skirt"/>
    <x v="0"/>
    <n v="24"/>
    <s v="Indiana"/>
    <s v="L"/>
    <s v="Blue"/>
    <x v="0"/>
    <x v="4"/>
    <s v="Yes"/>
    <x v="3"/>
    <x v="0"/>
    <x v="0"/>
    <x v="24"/>
    <x v="5"/>
    <x v="4"/>
    <x v="0"/>
    <n v="24"/>
    <n v="1"/>
  </r>
  <r>
    <n v="934"/>
    <x v="27"/>
    <x v="0"/>
    <s v="Sneakers"/>
    <x v="1"/>
    <n v="84"/>
    <s v="Colorado"/>
    <s v="M"/>
    <s v="Magenta"/>
    <x v="1"/>
    <x v="2"/>
    <s v="Yes"/>
    <x v="5"/>
    <x v="0"/>
    <x v="0"/>
    <x v="42"/>
    <x v="5"/>
    <x v="5"/>
    <x v="0"/>
    <n v="84"/>
    <n v="1"/>
  </r>
  <r>
    <n v="935"/>
    <x v="4"/>
    <x v="0"/>
    <s v="Jeans"/>
    <x v="0"/>
    <n v="47"/>
    <s v="Oregon"/>
    <s v="S"/>
    <s v="Yellow"/>
    <x v="1"/>
    <x v="18"/>
    <s v="Yes"/>
    <x v="0"/>
    <x v="0"/>
    <x v="0"/>
    <x v="33"/>
    <x v="4"/>
    <x v="5"/>
    <x v="2"/>
    <n v="47"/>
    <n v="1"/>
  </r>
  <r>
    <n v="936"/>
    <x v="44"/>
    <x v="0"/>
    <s v="Hoodie"/>
    <x v="0"/>
    <n v="51"/>
    <s v="Ohio"/>
    <s v="L"/>
    <s v="White"/>
    <x v="3"/>
    <x v="5"/>
    <s v="Yes"/>
    <x v="5"/>
    <x v="0"/>
    <x v="0"/>
    <x v="1"/>
    <x v="4"/>
    <x v="0"/>
    <x v="0"/>
    <n v="51"/>
    <n v="1"/>
  </r>
  <r>
    <n v="937"/>
    <x v="18"/>
    <x v="0"/>
    <s v="Shoes"/>
    <x v="1"/>
    <n v="84"/>
    <s v="Maine"/>
    <s v="M"/>
    <s v="Pink"/>
    <x v="2"/>
    <x v="2"/>
    <s v="Yes"/>
    <x v="1"/>
    <x v="0"/>
    <x v="0"/>
    <x v="40"/>
    <x v="1"/>
    <x v="1"/>
    <x v="2"/>
    <n v="84"/>
    <n v="1"/>
  </r>
  <r>
    <n v="938"/>
    <x v="45"/>
    <x v="0"/>
    <s v="Shorts"/>
    <x v="0"/>
    <n v="24"/>
    <s v="Iowa"/>
    <s v="M"/>
    <s v="Magenta"/>
    <x v="2"/>
    <x v="2"/>
    <s v="Yes"/>
    <x v="0"/>
    <x v="0"/>
    <x v="0"/>
    <x v="27"/>
    <x v="0"/>
    <x v="3"/>
    <x v="2"/>
    <n v="24"/>
    <n v="1"/>
  </r>
  <r>
    <n v="939"/>
    <x v="24"/>
    <x v="0"/>
    <s v="Blouse"/>
    <x v="0"/>
    <n v="97"/>
    <s v="Wisconsin"/>
    <s v="S"/>
    <s v="Teal"/>
    <x v="3"/>
    <x v="6"/>
    <s v="Yes"/>
    <x v="1"/>
    <x v="0"/>
    <x v="0"/>
    <x v="33"/>
    <x v="5"/>
    <x v="0"/>
    <x v="2"/>
    <n v="97"/>
    <n v="1"/>
  </r>
  <r>
    <n v="940"/>
    <x v="15"/>
    <x v="0"/>
    <s v="T-shirt"/>
    <x v="0"/>
    <n v="89"/>
    <s v="New York"/>
    <s v="L"/>
    <s v="Indigo"/>
    <x v="0"/>
    <x v="6"/>
    <s v="Yes"/>
    <x v="2"/>
    <x v="0"/>
    <x v="0"/>
    <x v="37"/>
    <x v="2"/>
    <x v="5"/>
    <x v="1"/>
    <n v="89"/>
    <n v="1"/>
  </r>
  <r>
    <n v="941"/>
    <x v="39"/>
    <x v="0"/>
    <s v="Belt"/>
    <x v="3"/>
    <n v="44"/>
    <s v="Colorado"/>
    <s v="S"/>
    <s v="Maroon"/>
    <x v="1"/>
    <x v="5"/>
    <s v="Yes"/>
    <x v="5"/>
    <x v="0"/>
    <x v="0"/>
    <x v="28"/>
    <x v="3"/>
    <x v="6"/>
    <x v="2"/>
    <n v="44"/>
    <n v="1"/>
  </r>
  <r>
    <n v="942"/>
    <x v="31"/>
    <x v="0"/>
    <s v="Handbag"/>
    <x v="3"/>
    <n v="35"/>
    <s v="Illinois"/>
    <s v="L"/>
    <s v="Black"/>
    <x v="0"/>
    <x v="9"/>
    <s v="Yes"/>
    <x v="4"/>
    <x v="0"/>
    <x v="0"/>
    <x v="25"/>
    <x v="3"/>
    <x v="6"/>
    <x v="2"/>
    <n v="35"/>
    <n v="1"/>
  </r>
  <r>
    <n v="943"/>
    <x v="8"/>
    <x v="0"/>
    <s v="Dress"/>
    <x v="0"/>
    <n v="91"/>
    <s v="Arizona"/>
    <s v="M"/>
    <s v="Cyan"/>
    <x v="0"/>
    <x v="4"/>
    <s v="Yes"/>
    <x v="0"/>
    <x v="0"/>
    <x v="0"/>
    <x v="25"/>
    <x v="3"/>
    <x v="4"/>
    <x v="2"/>
    <n v="91"/>
    <n v="1"/>
  </r>
  <r>
    <n v="944"/>
    <x v="45"/>
    <x v="0"/>
    <s v="Hat"/>
    <x v="3"/>
    <n v="63"/>
    <s v="Oklahoma"/>
    <s v="L"/>
    <s v="Cyan"/>
    <x v="0"/>
    <x v="22"/>
    <s v="Yes"/>
    <x v="2"/>
    <x v="0"/>
    <x v="0"/>
    <x v="21"/>
    <x v="0"/>
    <x v="0"/>
    <x v="2"/>
    <n v="63"/>
    <n v="1"/>
  </r>
  <r>
    <n v="945"/>
    <x v="22"/>
    <x v="0"/>
    <s v="Belt"/>
    <x v="3"/>
    <n v="97"/>
    <s v="Indiana"/>
    <s v="S"/>
    <s v="Gray"/>
    <x v="1"/>
    <x v="6"/>
    <s v="Yes"/>
    <x v="0"/>
    <x v="0"/>
    <x v="0"/>
    <x v="30"/>
    <x v="1"/>
    <x v="4"/>
    <x v="0"/>
    <n v="97"/>
    <n v="1"/>
  </r>
  <r>
    <n v="946"/>
    <x v="21"/>
    <x v="0"/>
    <s v="Boots"/>
    <x v="1"/>
    <n v="38"/>
    <s v="Minnesota"/>
    <s v="M"/>
    <s v="Violet"/>
    <x v="2"/>
    <x v="7"/>
    <s v="Yes"/>
    <x v="5"/>
    <x v="0"/>
    <x v="0"/>
    <x v="6"/>
    <x v="0"/>
    <x v="6"/>
    <x v="2"/>
    <n v="38"/>
    <n v="1"/>
  </r>
  <r>
    <n v="947"/>
    <x v="5"/>
    <x v="0"/>
    <s v="Coat"/>
    <x v="2"/>
    <n v="24"/>
    <s v="Pennsylvania"/>
    <s v="XL"/>
    <s v="Blue"/>
    <x v="1"/>
    <x v="11"/>
    <s v="Yes"/>
    <x v="2"/>
    <x v="0"/>
    <x v="0"/>
    <x v="7"/>
    <x v="3"/>
    <x v="3"/>
    <x v="2"/>
    <n v="24"/>
    <n v="1"/>
  </r>
  <r>
    <n v="948"/>
    <x v="9"/>
    <x v="0"/>
    <s v="Blouse"/>
    <x v="0"/>
    <n v="32"/>
    <s v="Indiana"/>
    <s v="M"/>
    <s v="Charcoal"/>
    <x v="0"/>
    <x v="20"/>
    <s v="Yes"/>
    <x v="5"/>
    <x v="0"/>
    <x v="0"/>
    <x v="49"/>
    <x v="1"/>
    <x v="6"/>
    <x v="0"/>
    <n v="32"/>
    <n v="1"/>
  </r>
  <r>
    <n v="949"/>
    <x v="34"/>
    <x v="0"/>
    <s v="Hat"/>
    <x v="3"/>
    <n v="90"/>
    <s v="Alabama"/>
    <s v="L"/>
    <s v="Olive"/>
    <x v="2"/>
    <x v="8"/>
    <s v="Yes"/>
    <x v="0"/>
    <x v="0"/>
    <x v="0"/>
    <x v="47"/>
    <x v="0"/>
    <x v="6"/>
    <x v="2"/>
    <n v="90"/>
    <n v="1"/>
  </r>
  <r>
    <n v="950"/>
    <x v="23"/>
    <x v="0"/>
    <s v="Jeans"/>
    <x v="0"/>
    <n v="36"/>
    <s v="Montana"/>
    <s v="M"/>
    <s v="Olive"/>
    <x v="2"/>
    <x v="23"/>
    <s v="Yes"/>
    <x v="3"/>
    <x v="0"/>
    <x v="0"/>
    <x v="3"/>
    <x v="0"/>
    <x v="5"/>
    <x v="2"/>
    <n v="36"/>
    <n v="1"/>
  </r>
  <r>
    <n v="951"/>
    <x v="22"/>
    <x v="0"/>
    <s v="Backpack"/>
    <x v="3"/>
    <n v="37"/>
    <s v="New Mexico"/>
    <s v="XL"/>
    <s v="Turquoise"/>
    <x v="0"/>
    <x v="7"/>
    <s v="Yes"/>
    <x v="1"/>
    <x v="0"/>
    <x v="0"/>
    <x v="48"/>
    <x v="3"/>
    <x v="3"/>
    <x v="0"/>
    <n v="37"/>
    <n v="1"/>
  </r>
  <r>
    <n v="952"/>
    <x v="36"/>
    <x v="0"/>
    <s v="Dress"/>
    <x v="0"/>
    <n v="51"/>
    <s v="Alaska"/>
    <s v="M"/>
    <s v="Cyan"/>
    <x v="2"/>
    <x v="3"/>
    <s v="Yes"/>
    <x v="0"/>
    <x v="0"/>
    <x v="0"/>
    <x v="11"/>
    <x v="4"/>
    <x v="5"/>
    <x v="2"/>
    <n v="51"/>
    <n v="1"/>
  </r>
  <r>
    <n v="953"/>
    <x v="24"/>
    <x v="0"/>
    <s v="Hat"/>
    <x v="3"/>
    <n v="71"/>
    <s v="Idaho"/>
    <s v="S"/>
    <s v="Red"/>
    <x v="3"/>
    <x v="0"/>
    <s v="Yes"/>
    <x v="4"/>
    <x v="0"/>
    <x v="0"/>
    <x v="40"/>
    <x v="3"/>
    <x v="5"/>
    <x v="2"/>
    <n v="71"/>
    <n v="1"/>
  </r>
  <r>
    <n v="954"/>
    <x v="33"/>
    <x v="0"/>
    <s v="Sunglasses"/>
    <x v="3"/>
    <n v="50"/>
    <s v="Utah"/>
    <s v="S"/>
    <s v="Cyan"/>
    <x v="1"/>
    <x v="15"/>
    <s v="Yes"/>
    <x v="4"/>
    <x v="0"/>
    <x v="0"/>
    <x v="13"/>
    <x v="0"/>
    <x v="3"/>
    <x v="0"/>
    <n v="50"/>
    <n v="1"/>
  </r>
  <r>
    <n v="955"/>
    <x v="52"/>
    <x v="0"/>
    <s v="Hat"/>
    <x v="3"/>
    <n v="74"/>
    <s v="Louisiana"/>
    <s v="S"/>
    <s v="Turquoise"/>
    <x v="3"/>
    <x v="1"/>
    <s v="Yes"/>
    <x v="3"/>
    <x v="0"/>
    <x v="0"/>
    <x v="27"/>
    <x v="2"/>
    <x v="6"/>
    <x v="0"/>
    <n v="74"/>
    <n v="1"/>
  </r>
  <r>
    <n v="956"/>
    <x v="0"/>
    <x v="0"/>
    <s v="Dress"/>
    <x v="0"/>
    <n v="75"/>
    <s v="Mississippi"/>
    <s v="L"/>
    <s v="Lavender"/>
    <x v="2"/>
    <x v="23"/>
    <s v="Yes"/>
    <x v="1"/>
    <x v="0"/>
    <x v="0"/>
    <x v="7"/>
    <x v="3"/>
    <x v="5"/>
    <x v="0"/>
    <n v="75"/>
    <n v="1"/>
  </r>
  <r>
    <n v="957"/>
    <x v="26"/>
    <x v="0"/>
    <s v="Shirt"/>
    <x v="0"/>
    <n v="99"/>
    <s v="Mississippi"/>
    <s v="XL"/>
    <s v="Cyan"/>
    <x v="1"/>
    <x v="3"/>
    <s v="Yes"/>
    <x v="4"/>
    <x v="0"/>
    <x v="0"/>
    <x v="38"/>
    <x v="5"/>
    <x v="3"/>
    <x v="2"/>
    <n v="99"/>
    <n v="1"/>
  </r>
  <r>
    <n v="958"/>
    <x v="21"/>
    <x v="0"/>
    <s v="Scarf"/>
    <x v="3"/>
    <n v="23"/>
    <s v="Indiana"/>
    <s v="XL"/>
    <s v="Violet"/>
    <x v="1"/>
    <x v="10"/>
    <s v="Yes"/>
    <x v="5"/>
    <x v="0"/>
    <x v="0"/>
    <x v="47"/>
    <x v="1"/>
    <x v="3"/>
    <x v="2"/>
    <n v="23"/>
    <n v="1"/>
  </r>
  <r>
    <n v="959"/>
    <x v="27"/>
    <x v="0"/>
    <s v="Sneakers"/>
    <x v="1"/>
    <n v="53"/>
    <s v="Washington"/>
    <s v="XL"/>
    <s v="Beige"/>
    <x v="0"/>
    <x v="14"/>
    <s v="Yes"/>
    <x v="1"/>
    <x v="0"/>
    <x v="0"/>
    <x v="4"/>
    <x v="2"/>
    <x v="4"/>
    <x v="0"/>
    <n v="53"/>
    <n v="1"/>
  </r>
  <r>
    <n v="960"/>
    <x v="24"/>
    <x v="0"/>
    <s v="Skirt"/>
    <x v="0"/>
    <n v="99"/>
    <s v="Nevada"/>
    <s v="M"/>
    <s v="Cyan"/>
    <x v="1"/>
    <x v="5"/>
    <s v="Yes"/>
    <x v="3"/>
    <x v="0"/>
    <x v="0"/>
    <x v="45"/>
    <x v="1"/>
    <x v="0"/>
    <x v="2"/>
    <n v="99"/>
    <n v="1"/>
  </r>
  <r>
    <n v="961"/>
    <x v="20"/>
    <x v="0"/>
    <s v="Jewelry"/>
    <x v="3"/>
    <n v="48"/>
    <s v="Louisiana"/>
    <s v="XL"/>
    <s v="Indigo"/>
    <x v="1"/>
    <x v="14"/>
    <s v="Yes"/>
    <x v="3"/>
    <x v="0"/>
    <x v="0"/>
    <x v="41"/>
    <x v="0"/>
    <x v="3"/>
    <x v="1"/>
    <n v="48"/>
    <n v="1"/>
  </r>
  <r>
    <n v="962"/>
    <x v="46"/>
    <x v="0"/>
    <s v="Boots"/>
    <x v="1"/>
    <n v="72"/>
    <s v="Pennsylvania"/>
    <s v="L"/>
    <s v="Olive"/>
    <x v="3"/>
    <x v="18"/>
    <s v="Yes"/>
    <x v="2"/>
    <x v="0"/>
    <x v="0"/>
    <x v="10"/>
    <x v="5"/>
    <x v="3"/>
    <x v="0"/>
    <n v="72"/>
    <n v="1"/>
  </r>
  <r>
    <n v="963"/>
    <x v="26"/>
    <x v="0"/>
    <s v="Sunglasses"/>
    <x v="3"/>
    <n v="64"/>
    <s v="Michigan"/>
    <s v="L"/>
    <s v="Green"/>
    <x v="1"/>
    <x v="14"/>
    <s v="Yes"/>
    <x v="3"/>
    <x v="0"/>
    <x v="0"/>
    <x v="8"/>
    <x v="5"/>
    <x v="0"/>
    <x v="2"/>
    <n v="64"/>
    <n v="1"/>
  </r>
  <r>
    <n v="964"/>
    <x v="3"/>
    <x v="0"/>
    <s v="Boots"/>
    <x v="1"/>
    <n v="63"/>
    <s v="South Carolina"/>
    <s v="L"/>
    <s v="Green"/>
    <x v="1"/>
    <x v="25"/>
    <s v="Yes"/>
    <x v="4"/>
    <x v="0"/>
    <x v="0"/>
    <x v="0"/>
    <x v="2"/>
    <x v="1"/>
    <x v="1"/>
    <n v="63"/>
    <n v="1"/>
  </r>
  <r>
    <n v="965"/>
    <x v="32"/>
    <x v="0"/>
    <s v="Sandals"/>
    <x v="1"/>
    <n v="51"/>
    <s v="Arizona"/>
    <s v="M"/>
    <s v="Beige"/>
    <x v="1"/>
    <x v="5"/>
    <s v="Yes"/>
    <x v="2"/>
    <x v="0"/>
    <x v="0"/>
    <x v="45"/>
    <x v="0"/>
    <x v="4"/>
    <x v="2"/>
    <n v="51"/>
    <n v="1"/>
  </r>
  <r>
    <n v="966"/>
    <x v="49"/>
    <x v="0"/>
    <s v="Boots"/>
    <x v="1"/>
    <n v="55"/>
    <s v="Delaware"/>
    <s v="L"/>
    <s v="Black"/>
    <x v="1"/>
    <x v="16"/>
    <s v="Yes"/>
    <x v="5"/>
    <x v="0"/>
    <x v="0"/>
    <x v="9"/>
    <x v="2"/>
    <x v="2"/>
    <x v="2"/>
    <n v="55"/>
    <n v="1"/>
  </r>
  <r>
    <n v="967"/>
    <x v="44"/>
    <x v="0"/>
    <s v="Dress"/>
    <x v="0"/>
    <n v="55"/>
    <s v="Kentucky"/>
    <s v="M"/>
    <s v="Brown"/>
    <x v="1"/>
    <x v="8"/>
    <s v="Yes"/>
    <x v="0"/>
    <x v="0"/>
    <x v="0"/>
    <x v="5"/>
    <x v="1"/>
    <x v="2"/>
    <x v="0"/>
    <n v="55"/>
    <n v="1"/>
  </r>
  <r>
    <n v="968"/>
    <x v="7"/>
    <x v="0"/>
    <s v="Hoodie"/>
    <x v="0"/>
    <n v="26"/>
    <s v="Georgia"/>
    <s v="S"/>
    <s v="Silver"/>
    <x v="2"/>
    <x v="18"/>
    <s v="Yes"/>
    <x v="5"/>
    <x v="0"/>
    <x v="0"/>
    <x v="7"/>
    <x v="1"/>
    <x v="1"/>
    <x v="2"/>
    <n v="26"/>
    <n v="1"/>
  </r>
  <r>
    <n v="969"/>
    <x v="9"/>
    <x v="0"/>
    <s v="Shorts"/>
    <x v="0"/>
    <n v="67"/>
    <s v="North Carolina"/>
    <s v="L"/>
    <s v="Gray"/>
    <x v="2"/>
    <x v="0"/>
    <s v="Yes"/>
    <x v="2"/>
    <x v="0"/>
    <x v="0"/>
    <x v="26"/>
    <x v="4"/>
    <x v="3"/>
    <x v="0"/>
    <n v="67"/>
    <n v="1"/>
  </r>
  <r>
    <n v="970"/>
    <x v="37"/>
    <x v="0"/>
    <s v="Coat"/>
    <x v="2"/>
    <n v="31"/>
    <s v="California"/>
    <s v="S"/>
    <s v="Pink"/>
    <x v="3"/>
    <x v="4"/>
    <s v="Yes"/>
    <x v="0"/>
    <x v="0"/>
    <x v="0"/>
    <x v="10"/>
    <x v="3"/>
    <x v="5"/>
    <x v="2"/>
    <n v="31"/>
    <n v="1"/>
  </r>
  <r>
    <n v="971"/>
    <x v="4"/>
    <x v="0"/>
    <s v="Jeans"/>
    <x v="0"/>
    <n v="66"/>
    <s v="California"/>
    <s v="S"/>
    <s v="Maroon"/>
    <x v="0"/>
    <x v="14"/>
    <s v="Yes"/>
    <x v="1"/>
    <x v="0"/>
    <x v="0"/>
    <x v="7"/>
    <x v="1"/>
    <x v="5"/>
    <x v="2"/>
    <n v="66"/>
    <n v="1"/>
  </r>
  <r>
    <n v="972"/>
    <x v="36"/>
    <x v="0"/>
    <s v="Sunglasses"/>
    <x v="3"/>
    <n v="67"/>
    <s v="Indiana"/>
    <s v="M"/>
    <s v="Cyan"/>
    <x v="2"/>
    <x v="24"/>
    <s v="Yes"/>
    <x v="2"/>
    <x v="0"/>
    <x v="0"/>
    <x v="28"/>
    <x v="2"/>
    <x v="1"/>
    <x v="2"/>
    <n v="67"/>
    <n v="1"/>
  </r>
  <r>
    <n v="973"/>
    <x v="12"/>
    <x v="0"/>
    <s v="Sneakers"/>
    <x v="1"/>
    <n v="61"/>
    <s v="Colorado"/>
    <s v="L"/>
    <s v="Gold"/>
    <x v="0"/>
    <x v="21"/>
    <s v="Yes"/>
    <x v="3"/>
    <x v="0"/>
    <x v="0"/>
    <x v="42"/>
    <x v="2"/>
    <x v="1"/>
    <x v="0"/>
    <n v="61"/>
    <n v="1"/>
  </r>
  <r>
    <n v="974"/>
    <x v="52"/>
    <x v="0"/>
    <s v="Jacket"/>
    <x v="2"/>
    <n v="75"/>
    <s v="Colorado"/>
    <s v="M"/>
    <s v="Teal"/>
    <x v="3"/>
    <x v="1"/>
    <s v="Yes"/>
    <x v="4"/>
    <x v="0"/>
    <x v="0"/>
    <x v="48"/>
    <x v="4"/>
    <x v="3"/>
    <x v="0"/>
    <n v="75"/>
    <n v="1"/>
  </r>
  <r>
    <n v="975"/>
    <x v="28"/>
    <x v="0"/>
    <s v="Skirt"/>
    <x v="0"/>
    <n v="90"/>
    <s v="North Carolina"/>
    <s v="M"/>
    <s v="Beige"/>
    <x v="1"/>
    <x v="15"/>
    <s v="Yes"/>
    <x v="4"/>
    <x v="0"/>
    <x v="0"/>
    <x v="2"/>
    <x v="4"/>
    <x v="5"/>
    <x v="0"/>
    <n v="90"/>
    <n v="1"/>
  </r>
  <r>
    <n v="976"/>
    <x v="44"/>
    <x v="0"/>
    <s v="Sweater"/>
    <x v="0"/>
    <n v="40"/>
    <s v="Washington"/>
    <s v="M"/>
    <s v="Olive"/>
    <x v="2"/>
    <x v="22"/>
    <s v="Yes"/>
    <x v="4"/>
    <x v="0"/>
    <x v="0"/>
    <x v="1"/>
    <x v="4"/>
    <x v="1"/>
    <x v="0"/>
    <n v="40"/>
    <n v="1"/>
  </r>
  <r>
    <n v="977"/>
    <x v="50"/>
    <x v="0"/>
    <s v="T-shirt"/>
    <x v="0"/>
    <n v="90"/>
    <s v="Florida"/>
    <s v="M"/>
    <s v="Gray"/>
    <x v="3"/>
    <x v="15"/>
    <s v="Yes"/>
    <x v="0"/>
    <x v="0"/>
    <x v="0"/>
    <x v="16"/>
    <x v="2"/>
    <x v="6"/>
    <x v="2"/>
    <n v="90"/>
    <n v="1"/>
  </r>
  <r>
    <n v="978"/>
    <x v="30"/>
    <x v="0"/>
    <s v="Belt"/>
    <x v="3"/>
    <n v="20"/>
    <s v="Washington"/>
    <s v="M"/>
    <s v="Black"/>
    <x v="1"/>
    <x v="12"/>
    <s v="Yes"/>
    <x v="0"/>
    <x v="0"/>
    <x v="0"/>
    <x v="11"/>
    <x v="1"/>
    <x v="4"/>
    <x v="1"/>
    <n v="20"/>
    <n v="1"/>
  </r>
  <r>
    <n v="979"/>
    <x v="19"/>
    <x v="0"/>
    <s v="Gloves"/>
    <x v="3"/>
    <n v="40"/>
    <s v="Colorado"/>
    <s v="M"/>
    <s v="Turquoise"/>
    <x v="2"/>
    <x v="25"/>
    <s v="Yes"/>
    <x v="3"/>
    <x v="0"/>
    <x v="0"/>
    <x v="42"/>
    <x v="2"/>
    <x v="1"/>
    <x v="0"/>
    <n v="40"/>
    <n v="1"/>
  </r>
  <r>
    <n v="980"/>
    <x v="14"/>
    <x v="0"/>
    <s v="Hat"/>
    <x v="3"/>
    <n v="33"/>
    <s v="New Hampshire"/>
    <s v="S"/>
    <s v="Brown"/>
    <x v="3"/>
    <x v="1"/>
    <s v="Yes"/>
    <x v="5"/>
    <x v="0"/>
    <x v="0"/>
    <x v="11"/>
    <x v="5"/>
    <x v="5"/>
    <x v="0"/>
    <n v="33"/>
    <n v="1"/>
  </r>
  <r>
    <n v="981"/>
    <x v="19"/>
    <x v="0"/>
    <s v="Boots"/>
    <x v="1"/>
    <n v="98"/>
    <s v="Maryland"/>
    <s v="S"/>
    <s v="Magenta"/>
    <x v="1"/>
    <x v="17"/>
    <s v="Yes"/>
    <x v="1"/>
    <x v="0"/>
    <x v="0"/>
    <x v="30"/>
    <x v="3"/>
    <x v="6"/>
    <x v="0"/>
    <n v="98"/>
    <n v="1"/>
  </r>
  <r>
    <n v="982"/>
    <x v="7"/>
    <x v="0"/>
    <s v="Belt"/>
    <x v="3"/>
    <n v="42"/>
    <s v="Maryland"/>
    <s v="M"/>
    <s v="Silver"/>
    <x v="1"/>
    <x v="1"/>
    <s v="Yes"/>
    <x v="2"/>
    <x v="0"/>
    <x v="0"/>
    <x v="39"/>
    <x v="2"/>
    <x v="3"/>
    <x v="2"/>
    <n v="42"/>
    <n v="1"/>
  </r>
  <r>
    <n v="983"/>
    <x v="25"/>
    <x v="0"/>
    <s v="Coat"/>
    <x v="2"/>
    <n v="62"/>
    <s v="Texas"/>
    <s v="S"/>
    <s v="Red"/>
    <x v="2"/>
    <x v="4"/>
    <s v="Yes"/>
    <x v="3"/>
    <x v="0"/>
    <x v="0"/>
    <x v="10"/>
    <x v="3"/>
    <x v="5"/>
    <x v="2"/>
    <n v="62"/>
    <n v="1"/>
  </r>
  <r>
    <n v="984"/>
    <x v="41"/>
    <x v="0"/>
    <s v="Hat"/>
    <x v="3"/>
    <n v="45"/>
    <s v="New Mexico"/>
    <s v="L"/>
    <s v="Indigo"/>
    <x v="0"/>
    <x v="1"/>
    <s v="Yes"/>
    <x v="1"/>
    <x v="0"/>
    <x v="0"/>
    <x v="19"/>
    <x v="0"/>
    <x v="4"/>
    <x v="1"/>
    <n v="45"/>
    <n v="1"/>
  </r>
  <r>
    <n v="985"/>
    <x v="8"/>
    <x v="0"/>
    <s v="Shoes"/>
    <x v="1"/>
    <n v="78"/>
    <s v="Utah"/>
    <s v="M"/>
    <s v="Green"/>
    <x v="2"/>
    <x v="23"/>
    <s v="Yes"/>
    <x v="1"/>
    <x v="0"/>
    <x v="0"/>
    <x v="6"/>
    <x v="2"/>
    <x v="4"/>
    <x v="2"/>
    <n v="78"/>
    <n v="1"/>
  </r>
  <r>
    <n v="986"/>
    <x v="45"/>
    <x v="0"/>
    <s v="Handbag"/>
    <x v="3"/>
    <n v="80"/>
    <s v="West Virginia"/>
    <s v="M"/>
    <s v="Gray"/>
    <x v="3"/>
    <x v="16"/>
    <s v="Yes"/>
    <x v="0"/>
    <x v="0"/>
    <x v="0"/>
    <x v="45"/>
    <x v="4"/>
    <x v="2"/>
    <x v="2"/>
    <n v="80"/>
    <n v="1"/>
  </r>
  <r>
    <n v="987"/>
    <x v="22"/>
    <x v="0"/>
    <s v="Scarf"/>
    <x v="3"/>
    <n v="96"/>
    <s v="Connecticut"/>
    <s v="S"/>
    <s v="Peach"/>
    <x v="1"/>
    <x v="9"/>
    <s v="Yes"/>
    <x v="5"/>
    <x v="0"/>
    <x v="0"/>
    <x v="13"/>
    <x v="4"/>
    <x v="5"/>
    <x v="0"/>
    <n v="96"/>
    <n v="1"/>
  </r>
  <r>
    <n v="988"/>
    <x v="46"/>
    <x v="0"/>
    <s v="Handbag"/>
    <x v="3"/>
    <n v="47"/>
    <s v="West Virginia"/>
    <s v="M"/>
    <s v="Charcoal"/>
    <x v="2"/>
    <x v="11"/>
    <s v="Yes"/>
    <x v="0"/>
    <x v="0"/>
    <x v="0"/>
    <x v="26"/>
    <x v="3"/>
    <x v="1"/>
    <x v="0"/>
    <n v="47"/>
    <n v="1"/>
  </r>
  <r>
    <n v="989"/>
    <x v="2"/>
    <x v="0"/>
    <s v="Pants"/>
    <x v="0"/>
    <n v="84"/>
    <s v="Ohio"/>
    <s v="M"/>
    <s v="Orange"/>
    <x v="0"/>
    <x v="8"/>
    <s v="Yes"/>
    <x v="4"/>
    <x v="0"/>
    <x v="0"/>
    <x v="39"/>
    <x v="3"/>
    <x v="0"/>
    <x v="2"/>
    <n v="84"/>
    <n v="1"/>
  </r>
  <r>
    <n v="990"/>
    <x v="27"/>
    <x v="0"/>
    <s v="Shoes"/>
    <x v="1"/>
    <n v="31"/>
    <s v="Texas"/>
    <s v="M"/>
    <s v="Beige"/>
    <x v="1"/>
    <x v="0"/>
    <s v="Yes"/>
    <x v="5"/>
    <x v="0"/>
    <x v="0"/>
    <x v="1"/>
    <x v="4"/>
    <x v="5"/>
    <x v="0"/>
    <n v="31"/>
    <n v="1"/>
  </r>
  <r>
    <n v="991"/>
    <x v="39"/>
    <x v="0"/>
    <s v="Sunglasses"/>
    <x v="3"/>
    <n v="63"/>
    <s v="Washington"/>
    <s v="S"/>
    <s v="Yellow"/>
    <x v="1"/>
    <x v="6"/>
    <s v="Yes"/>
    <x v="5"/>
    <x v="0"/>
    <x v="0"/>
    <x v="37"/>
    <x v="1"/>
    <x v="1"/>
    <x v="2"/>
    <n v="63"/>
    <n v="1"/>
  </r>
  <r>
    <n v="992"/>
    <x v="30"/>
    <x v="0"/>
    <s v="Shorts"/>
    <x v="0"/>
    <n v="97"/>
    <s v="Wisconsin"/>
    <s v="XL"/>
    <s v="White"/>
    <x v="1"/>
    <x v="2"/>
    <s v="Yes"/>
    <x v="3"/>
    <x v="0"/>
    <x v="0"/>
    <x v="19"/>
    <x v="4"/>
    <x v="4"/>
    <x v="1"/>
    <n v="97"/>
    <n v="1"/>
  </r>
  <r>
    <n v="993"/>
    <x v="5"/>
    <x v="0"/>
    <s v="Jacket"/>
    <x v="2"/>
    <n v="99"/>
    <s v="Louisiana"/>
    <s v="M"/>
    <s v="Gray"/>
    <x v="0"/>
    <x v="12"/>
    <s v="Yes"/>
    <x v="0"/>
    <x v="0"/>
    <x v="0"/>
    <x v="16"/>
    <x v="5"/>
    <x v="1"/>
    <x v="2"/>
    <n v="99"/>
    <n v="1"/>
  </r>
  <r>
    <n v="994"/>
    <x v="47"/>
    <x v="0"/>
    <s v="Sandals"/>
    <x v="1"/>
    <n v="90"/>
    <s v="Iowa"/>
    <s v="M"/>
    <s v="Peach"/>
    <x v="0"/>
    <x v="14"/>
    <s v="Yes"/>
    <x v="5"/>
    <x v="0"/>
    <x v="0"/>
    <x v="29"/>
    <x v="1"/>
    <x v="1"/>
    <x v="0"/>
    <n v="90"/>
    <n v="1"/>
  </r>
  <r>
    <n v="995"/>
    <x v="10"/>
    <x v="0"/>
    <s v="Shoes"/>
    <x v="1"/>
    <n v="68"/>
    <s v="New York"/>
    <s v="L"/>
    <s v="Violet"/>
    <x v="3"/>
    <x v="4"/>
    <s v="Yes"/>
    <x v="0"/>
    <x v="0"/>
    <x v="0"/>
    <x v="41"/>
    <x v="5"/>
    <x v="5"/>
    <x v="0"/>
    <n v="68"/>
    <n v="1"/>
  </r>
  <r>
    <n v="996"/>
    <x v="42"/>
    <x v="0"/>
    <s v="Jewelry"/>
    <x v="3"/>
    <n v="80"/>
    <s v="Idaho"/>
    <s v="M"/>
    <s v="Magenta"/>
    <x v="1"/>
    <x v="21"/>
    <s v="Yes"/>
    <x v="4"/>
    <x v="0"/>
    <x v="0"/>
    <x v="9"/>
    <x v="0"/>
    <x v="1"/>
    <x v="2"/>
    <n v="80"/>
    <n v="1"/>
  </r>
  <r>
    <n v="997"/>
    <x v="26"/>
    <x v="0"/>
    <s v="Sandals"/>
    <x v="1"/>
    <n v="91"/>
    <s v="Delaware"/>
    <s v="L"/>
    <s v="Maroon"/>
    <x v="2"/>
    <x v="8"/>
    <s v="Yes"/>
    <x v="3"/>
    <x v="0"/>
    <x v="0"/>
    <x v="18"/>
    <x v="4"/>
    <x v="3"/>
    <x v="2"/>
    <n v="91"/>
    <n v="1"/>
  </r>
  <r>
    <n v="998"/>
    <x v="14"/>
    <x v="0"/>
    <s v="Pants"/>
    <x v="0"/>
    <n v="30"/>
    <s v="Kentucky"/>
    <s v="M"/>
    <s v="Cyan"/>
    <x v="1"/>
    <x v="15"/>
    <s v="Yes"/>
    <x v="0"/>
    <x v="0"/>
    <x v="0"/>
    <x v="4"/>
    <x v="1"/>
    <x v="0"/>
    <x v="0"/>
    <n v="30"/>
    <n v="1"/>
  </r>
  <r>
    <n v="999"/>
    <x v="47"/>
    <x v="0"/>
    <s v="Shoes"/>
    <x v="1"/>
    <n v="90"/>
    <s v="Connecticut"/>
    <s v="M"/>
    <s v="White"/>
    <x v="1"/>
    <x v="22"/>
    <s v="Yes"/>
    <x v="2"/>
    <x v="0"/>
    <x v="0"/>
    <x v="26"/>
    <x v="4"/>
    <x v="4"/>
    <x v="0"/>
    <n v="90"/>
    <n v="1"/>
  </r>
  <r>
    <n v="1000"/>
    <x v="2"/>
    <x v="0"/>
    <s v="Socks"/>
    <x v="0"/>
    <n v="28"/>
    <s v="New Mexico"/>
    <s v="L"/>
    <s v="Brown"/>
    <x v="1"/>
    <x v="3"/>
    <s v="Yes"/>
    <x v="3"/>
    <x v="0"/>
    <x v="0"/>
    <x v="2"/>
    <x v="5"/>
    <x v="5"/>
    <x v="2"/>
    <n v="28"/>
    <n v="1"/>
  </r>
  <r>
    <n v="1001"/>
    <x v="49"/>
    <x v="0"/>
    <s v="Socks"/>
    <x v="0"/>
    <n v="46"/>
    <s v="Georgia"/>
    <s v="M"/>
    <s v="Red"/>
    <x v="0"/>
    <x v="20"/>
    <s v="Yes"/>
    <x v="0"/>
    <x v="0"/>
    <x v="0"/>
    <x v="43"/>
    <x v="4"/>
    <x v="4"/>
    <x v="2"/>
    <n v="46"/>
    <n v="1"/>
  </r>
  <r>
    <n v="1002"/>
    <x v="12"/>
    <x v="0"/>
    <s v="Dress"/>
    <x v="0"/>
    <n v="60"/>
    <s v="Washington"/>
    <s v="M"/>
    <s v="Orange"/>
    <x v="3"/>
    <x v="15"/>
    <s v="Yes"/>
    <x v="3"/>
    <x v="0"/>
    <x v="0"/>
    <x v="7"/>
    <x v="5"/>
    <x v="0"/>
    <x v="0"/>
    <n v="60"/>
    <n v="1"/>
  </r>
  <r>
    <n v="1003"/>
    <x v="0"/>
    <x v="0"/>
    <s v="Shoes"/>
    <x v="1"/>
    <n v="59"/>
    <s v="North Dakota"/>
    <s v="M"/>
    <s v="White"/>
    <x v="1"/>
    <x v="1"/>
    <s v="Yes"/>
    <x v="5"/>
    <x v="0"/>
    <x v="0"/>
    <x v="35"/>
    <x v="4"/>
    <x v="4"/>
    <x v="0"/>
    <n v="59"/>
    <n v="1"/>
  </r>
  <r>
    <n v="1004"/>
    <x v="19"/>
    <x v="0"/>
    <s v="Hat"/>
    <x v="3"/>
    <n v="68"/>
    <s v="Ohio"/>
    <s v="M"/>
    <s v="Green"/>
    <x v="3"/>
    <x v="17"/>
    <s v="Yes"/>
    <x v="5"/>
    <x v="0"/>
    <x v="0"/>
    <x v="35"/>
    <x v="1"/>
    <x v="4"/>
    <x v="0"/>
    <n v="68"/>
    <n v="1"/>
  </r>
  <r>
    <n v="1005"/>
    <x v="23"/>
    <x v="0"/>
    <s v="Backpack"/>
    <x v="3"/>
    <n v="79"/>
    <s v="Tennessee"/>
    <s v="M"/>
    <s v="Black"/>
    <x v="2"/>
    <x v="6"/>
    <s v="Yes"/>
    <x v="4"/>
    <x v="0"/>
    <x v="0"/>
    <x v="12"/>
    <x v="1"/>
    <x v="2"/>
    <x v="2"/>
    <n v="79"/>
    <n v="1"/>
  </r>
  <r>
    <n v="1006"/>
    <x v="49"/>
    <x v="0"/>
    <s v="Backpack"/>
    <x v="3"/>
    <n v="94"/>
    <s v="New York"/>
    <s v="M"/>
    <s v="Gold"/>
    <x v="0"/>
    <x v="20"/>
    <s v="Yes"/>
    <x v="5"/>
    <x v="0"/>
    <x v="0"/>
    <x v="36"/>
    <x v="5"/>
    <x v="4"/>
    <x v="2"/>
    <n v="94"/>
    <n v="1"/>
  </r>
  <r>
    <n v="1007"/>
    <x v="3"/>
    <x v="0"/>
    <s v="Pants"/>
    <x v="0"/>
    <n v="83"/>
    <s v="Michigan"/>
    <s v="S"/>
    <s v="Lavender"/>
    <x v="2"/>
    <x v="9"/>
    <s v="Yes"/>
    <x v="2"/>
    <x v="0"/>
    <x v="0"/>
    <x v="16"/>
    <x v="0"/>
    <x v="3"/>
    <x v="1"/>
    <n v="83"/>
    <n v="1"/>
  </r>
  <r>
    <n v="1008"/>
    <x v="44"/>
    <x v="0"/>
    <s v="Gloves"/>
    <x v="3"/>
    <n v="62"/>
    <s v="Georgia"/>
    <s v="XL"/>
    <s v="Turquoise"/>
    <x v="1"/>
    <x v="6"/>
    <s v="Yes"/>
    <x v="3"/>
    <x v="0"/>
    <x v="0"/>
    <x v="1"/>
    <x v="2"/>
    <x v="2"/>
    <x v="0"/>
    <n v="62"/>
    <n v="1"/>
  </r>
  <r>
    <n v="1009"/>
    <x v="38"/>
    <x v="0"/>
    <s v="Scarf"/>
    <x v="3"/>
    <n v="85"/>
    <s v="New Mexico"/>
    <s v="M"/>
    <s v="Pink"/>
    <x v="1"/>
    <x v="5"/>
    <s v="Yes"/>
    <x v="5"/>
    <x v="0"/>
    <x v="0"/>
    <x v="32"/>
    <x v="3"/>
    <x v="2"/>
    <x v="2"/>
    <n v="85"/>
    <n v="1"/>
  </r>
  <r>
    <n v="1010"/>
    <x v="31"/>
    <x v="0"/>
    <s v="Hoodie"/>
    <x v="0"/>
    <n v="30"/>
    <s v="Louisiana"/>
    <s v="M"/>
    <s v="Silver"/>
    <x v="2"/>
    <x v="0"/>
    <s v="Yes"/>
    <x v="0"/>
    <x v="0"/>
    <x v="0"/>
    <x v="47"/>
    <x v="0"/>
    <x v="2"/>
    <x v="2"/>
    <n v="30"/>
    <n v="1"/>
  </r>
  <r>
    <n v="1011"/>
    <x v="22"/>
    <x v="0"/>
    <s v="Jeans"/>
    <x v="0"/>
    <n v="24"/>
    <s v="South Dakota"/>
    <s v="XL"/>
    <s v="Gray"/>
    <x v="1"/>
    <x v="10"/>
    <s v="Yes"/>
    <x v="4"/>
    <x v="0"/>
    <x v="0"/>
    <x v="10"/>
    <x v="2"/>
    <x v="0"/>
    <x v="0"/>
    <n v="24"/>
    <n v="1"/>
  </r>
  <r>
    <n v="1012"/>
    <x v="49"/>
    <x v="0"/>
    <s v="Backpack"/>
    <x v="3"/>
    <n v="25"/>
    <s v="Montana"/>
    <s v="L"/>
    <s v="Indigo"/>
    <x v="1"/>
    <x v="3"/>
    <s v="Yes"/>
    <x v="2"/>
    <x v="0"/>
    <x v="0"/>
    <x v="18"/>
    <x v="5"/>
    <x v="0"/>
    <x v="2"/>
    <n v="25"/>
    <n v="1"/>
  </r>
  <r>
    <n v="1013"/>
    <x v="48"/>
    <x v="0"/>
    <s v="Sandals"/>
    <x v="1"/>
    <n v="37"/>
    <s v="New Mexico"/>
    <s v="L"/>
    <s v="Teal"/>
    <x v="2"/>
    <x v="22"/>
    <s v="Yes"/>
    <x v="0"/>
    <x v="0"/>
    <x v="0"/>
    <x v="46"/>
    <x v="2"/>
    <x v="2"/>
    <x v="2"/>
    <n v="37"/>
    <n v="1"/>
  </r>
  <r>
    <n v="1014"/>
    <x v="35"/>
    <x v="0"/>
    <s v="Belt"/>
    <x v="3"/>
    <n v="69"/>
    <s v="South Carolina"/>
    <s v="XL"/>
    <s v="Green"/>
    <x v="2"/>
    <x v="22"/>
    <s v="Yes"/>
    <x v="4"/>
    <x v="0"/>
    <x v="0"/>
    <x v="4"/>
    <x v="0"/>
    <x v="4"/>
    <x v="0"/>
    <n v="69"/>
    <n v="1"/>
  </r>
  <r>
    <n v="1015"/>
    <x v="48"/>
    <x v="0"/>
    <s v="Shoes"/>
    <x v="1"/>
    <n v="97"/>
    <s v="Ohio"/>
    <s v="M"/>
    <s v="Violet"/>
    <x v="2"/>
    <x v="21"/>
    <s v="Yes"/>
    <x v="3"/>
    <x v="0"/>
    <x v="0"/>
    <x v="13"/>
    <x v="5"/>
    <x v="0"/>
    <x v="2"/>
    <n v="97"/>
    <n v="1"/>
  </r>
  <r>
    <n v="1016"/>
    <x v="33"/>
    <x v="0"/>
    <s v="Gloves"/>
    <x v="3"/>
    <n v="24"/>
    <s v="North Carolina"/>
    <s v="M"/>
    <s v="Cyan"/>
    <x v="2"/>
    <x v="7"/>
    <s v="Yes"/>
    <x v="3"/>
    <x v="0"/>
    <x v="0"/>
    <x v="11"/>
    <x v="1"/>
    <x v="1"/>
    <x v="0"/>
    <n v="24"/>
    <n v="1"/>
  </r>
  <r>
    <n v="1017"/>
    <x v="30"/>
    <x v="0"/>
    <s v="Belt"/>
    <x v="3"/>
    <n v="30"/>
    <s v="Idaho"/>
    <s v="XL"/>
    <s v="Blue"/>
    <x v="2"/>
    <x v="23"/>
    <s v="Yes"/>
    <x v="0"/>
    <x v="0"/>
    <x v="0"/>
    <x v="28"/>
    <x v="4"/>
    <x v="6"/>
    <x v="1"/>
    <n v="30"/>
    <n v="1"/>
  </r>
  <r>
    <n v="1018"/>
    <x v="3"/>
    <x v="0"/>
    <s v="Jacket"/>
    <x v="2"/>
    <n v="53"/>
    <s v="Oklahoma"/>
    <s v="L"/>
    <s v="Orange"/>
    <x v="3"/>
    <x v="25"/>
    <s v="Yes"/>
    <x v="0"/>
    <x v="0"/>
    <x v="0"/>
    <x v="0"/>
    <x v="2"/>
    <x v="2"/>
    <x v="1"/>
    <n v="53"/>
    <n v="1"/>
  </r>
  <r>
    <n v="1019"/>
    <x v="2"/>
    <x v="0"/>
    <s v="Dress"/>
    <x v="0"/>
    <n v="70"/>
    <s v="Georgia"/>
    <s v="XL"/>
    <s v="Charcoal"/>
    <x v="1"/>
    <x v="8"/>
    <s v="Yes"/>
    <x v="2"/>
    <x v="0"/>
    <x v="0"/>
    <x v="15"/>
    <x v="1"/>
    <x v="1"/>
    <x v="2"/>
    <n v="70"/>
    <n v="1"/>
  </r>
  <r>
    <n v="1020"/>
    <x v="45"/>
    <x v="0"/>
    <s v="Shirt"/>
    <x v="0"/>
    <n v="76"/>
    <s v="Kentucky"/>
    <s v="S"/>
    <s v="Beige"/>
    <x v="0"/>
    <x v="11"/>
    <s v="Yes"/>
    <x v="3"/>
    <x v="0"/>
    <x v="0"/>
    <x v="42"/>
    <x v="0"/>
    <x v="4"/>
    <x v="2"/>
    <n v="76"/>
    <n v="1"/>
  </r>
  <r>
    <n v="1021"/>
    <x v="41"/>
    <x v="0"/>
    <s v="Scarf"/>
    <x v="3"/>
    <n v="95"/>
    <s v="Delaware"/>
    <s v="M"/>
    <s v="Black"/>
    <x v="3"/>
    <x v="9"/>
    <s v="Yes"/>
    <x v="0"/>
    <x v="0"/>
    <x v="0"/>
    <x v="23"/>
    <x v="5"/>
    <x v="2"/>
    <x v="1"/>
    <n v="95"/>
    <n v="1"/>
  </r>
  <r>
    <n v="1022"/>
    <x v="0"/>
    <x v="0"/>
    <s v="Coat"/>
    <x v="2"/>
    <n v="51"/>
    <s v="Massachusetts"/>
    <s v="S"/>
    <s v="Lavender"/>
    <x v="0"/>
    <x v="8"/>
    <s v="Yes"/>
    <x v="4"/>
    <x v="0"/>
    <x v="0"/>
    <x v="30"/>
    <x v="3"/>
    <x v="1"/>
    <x v="0"/>
    <n v="51"/>
    <n v="1"/>
  </r>
  <r>
    <n v="1023"/>
    <x v="12"/>
    <x v="0"/>
    <s v="Handbag"/>
    <x v="3"/>
    <n v="41"/>
    <s v="Nebraska"/>
    <s v="M"/>
    <s v="Lavender"/>
    <x v="0"/>
    <x v="8"/>
    <s v="Yes"/>
    <x v="5"/>
    <x v="0"/>
    <x v="0"/>
    <x v="22"/>
    <x v="1"/>
    <x v="2"/>
    <x v="0"/>
    <n v="41"/>
    <n v="1"/>
  </r>
  <r>
    <n v="1024"/>
    <x v="12"/>
    <x v="0"/>
    <s v="Sunglasses"/>
    <x v="3"/>
    <n v="71"/>
    <s v="Maine"/>
    <s v="S"/>
    <s v="Turquoise"/>
    <x v="0"/>
    <x v="1"/>
    <s v="Yes"/>
    <x v="1"/>
    <x v="0"/>
    <x v="0"/>
    <x v="32"/>
    <x v="4"/>
    <x v="6"/>
    <x v="0"/>
    <n v="71"/>
    <n v="1"/>
  </r>
  <r>
    <n v="1025"/>
    <x v="48"/>
    <x v="0"/>
    <s v="T-shirt"/>
    <x v="0"/>
    <n v="66"/>
    <s v="Pennsylvania"/>
    <s v="M"/>
    <s v="Purple"/>
    <x v="2"/>
    <x v="1"/>
    <s v="Yes"/>
    <x v="1"/>
    <x v="0"/>
    <x v="0"/>
    <x v="27"/>
    <x v="0"/>
    <x v="3"/>
    <x v="2"/>
    <n v="66"/>
    <n v="1"/>
  </r>
  <r>
    <n v="1026"/>
    <x v="52"/>
    <x v="0"/>
    <s v="Shirt"/>
    <x v="0"/>
    <n v="84"/>
    <s v="Nebraska"/>
    <s v="M"/>
    <s v="Olive"/>
    <x v="0"/>
    <x v="8"/>
    <s v="Yes"/>
    <x v="1"/>
    <x v="0"/>
    <x v="0"/>
    <x v="28"/>
    <x v="2"/>
    <x v="2"/>
    <x v="0"/>
    <n v="84"/>
    <n v="1"/>
  </r>
  <r>
    <n v="1027"/>
    <x v="34"/>
    <x v="0"/>
    <s v="Handbag"/>
    <x v="3"/>
    <n v="95"/>
    <s v="Virginia"/>
    <s v="L"/>
    <s v="Turquoise"/>
    <x v="0"/>
    <x v="21"/>
    <s v="Yes"/>
    <x v="0"/>
    <x v="0"/>
    <x v="0"/>
    <x v="30"/>
    <x v="3"/>
    <x v="4"/>
    <x v="2"/>
    <n v="95"/>
    <n v="1"/>
  </r>
  <r>
    <n v="1028"/>
    <x v="23"/>
    <x v="0"/>
    <s v="Jewelry"/>
    <x v="3"/>
    <n v="90"/>
    <s v="Ohio"/>
    <s v="L"/>
    <s v="Teal"/>
    <x v="2"/>
    <x v="11"/>
    <s v="Yes"/>
    <x v="2"/>
    <x v="0"/>
    <x v="0"/>
    <x v="47"/>
    <x v="1"/>
    <x v="5"/>
    <x v="2"/>
    <n v="90"/>
    <n v="1"/>
  </r>
  <r>
    <n v="1029"/>
    <x v="4"/>
    <x v="0"/>
    <s v="Hoodie"/>
    <x v="0"/>
    <n v="36"/>
    <s v="Nebraska"/>
    <s v="S"/>
    <s v="Lavender"/>
    <x v="2"/>
    <x v="18"/>
    <s v="Yes"/>
    <x v="3"/>
    <x v="0"/>
    <x v="0"/>
    <x v="7"/>
    <x v="1"/>
    <x v="0"/>
    <x v="2"/>
    <n v="36"/>
    <n v="1"/>
  </r>
  <r>
    <n v="1030"/>
    <x v="26"/>
    <x v="0"/>
    <s v="Gloves"/>
    <x v="3"/>
    <n v="22"/>
    <s v="Ohio"/>
    <s v="M"/>
    <s v="Purple"/>
    <x v="1"/>
    <x v="15"/>
    <s v="Yes"/>
    <x v="4"/>
    <x v="0"/>
    <x v="0"/>
    <x v="42"/>
    <x v="0"/>
    <x v="4"/>
    <x v="2"/>
    <n v="22"/>
    <n v="1"/>
  </r>
  <r>
    <n v="1031"/>
    <x v="44"/>
    <x v="0"/>
    <s v="Coat"/>
    <x v="2"/>
    <n v="89"/>
    <s v="Kentucky"/>
    <s v="L"/>
    <s v="Blue"/>
    <x v="0"/>
    <x v="13"/>
    <s v="Yes"/>
    <x v="2"/>
    <x v="0"/>
    <x v="0"/>
    <x v="10"/>
    <x v="5"/>
    <x v="3"/>
    <x v="0"/>
    <n v="89"/>
    <n v="1"/>
  </r>
  <r>
    <n v="1032"/>
    <x v="40"/>
    <x v="0"/>
    <s v="Sandals"/>
    <x v="1"/>
    <n v="50"/>
    <s v="Tennessee"/>
    <s v="M"/>
    <s v="Teal"/>
    <x v="1"/>
    <x v="23"/>
    <s v="Yes"/>
    <x v="1"/>
    <x v="0"/>
    <x v="0"/>
    <x v="18"/>
    <x v="1"/>
    <x v="3"/>
    <x v="1"/>
    <n v="50"/>
    <n v="1"/>
  </r>
  <r>
    <n v="1033"/>
    <x v="0"/>
    <x v="0"/>
    <s v="Boots"/>
    <x v="1"/>
    <n v="36"/>
    <s v="Maine"/>
    <s v="M"/>
    <s v="Lavender"/>
    <x v="3"/>
    <x v="17"/>
    <s v="Yes"/>
    <x v="1"/>
    <x v="0"/>
    <x v="0"/>
    <x v="12"/>
    <x v="2"/>
    <x v="3"/>
    <x v="0"/>
    <n v="36"/>
    <n v="1"/>
  </r>
  <r>
    <n v="1034"/>
    <x v="1"/>
    <x v="0"/>
    <s v="Pants"/>
    <x v="0"/>
    <n v="52"/>
    <s v="Montana"/>
    <s v="S"/>
    <s v="Silver"/>
    <x v="1"/>
    <x v="12"/>
    <s v="Yes"/>
    <x v="1"/>
    <x v="0"/>
    <x v="0"/>
    <x v="23"/>
    <x v="4"/>
    <x v="3"/>
    <x v="1"/>
    <n v="52"/>
    <n v="1"/>
  </r>
  <r>
    <n v="1035"/>
    <x v="33"/>
    <x v="0"/>
    <s v="Socks"/>
    <x v="0"/>
    <n v="29"/>
    <s v="Maryland"/>
    <s v="M"/>
    <s v="Olive"/>
    <x v="3"/>
    <x v="19"/>
    <s v="Yes"/>
    <x v="2"/>
    <x v="0"/>
    <x v="0"/>
    <x v="12"/>
    <x v="4"/>
    <x v="1"/>
    <x v="0"/>
    <n v="29"/>
    <n v="1"/>
  </r>
  <r>
    <n v="1036"/>
    <x v="12"/>
    <x v="0"/>
    <s v="Blouse"/>
    <x v="0"/>
    <n v="89"/>
    <s v="Georgia"/>
    <s v="M"/>
    <s v="Brown"/>
    <x v="3"/>
    <x v="11"/>
    <s v="Yes"/>
    <x v="0"/>
    <x v="0"/>
    <x v="0"/>
    <x v="18"/>
    <x v="0"/>
    <x v="2"/>
    <x v="0"/>
    <n v="89"/>
    <n v="1"/>
  </r>
  <r>
    <n v="1037"/>
    <x v="33"/>
    <x v="0"/>
    <s v="Handbag"/>
    <x v="3"/>
    <n v="47"/>
    <s v="Hawaii"/>
    <s v="M"/>
    <s v="Yellow"/>
    <x v="3"/>
    <x v="18"/>
    <s v="Yes"/>
    <x v="4"/>
    <x v="0"/>
    <x v="0"/>
    <x v="21"/>
    <x v="4"/>
    <x v="5"/>
    <x v="0"/>
    <n v="47"/>
    <n v="1"/>
  </r>
  <r>
    <n v="1038"/>
    <x v="16"/>
    <x v="0"/>
    <s v="Jewelry"/>
    <x v="3"/>
    <n v="25"/>
    <s v="Rhode Island"/>
    <s v="XL"/>
    <s v="Brown"/>
    <x v="1"/>
    <x v="23"/>
    <s v="Yes"/>
    <x v="3"/>
    <x v="0"/>
    <x v="0"/>
    <x v="26"/>
    <x v="5"/>
    <x v="3"/>
    <x v="0"/>
    <n v="25"/>
    <n v="1"/>
  </r>
  <r>
    <n v="1039"/>
    <x v="38"/>
    <x v="0"/>
    <s v="Pants"/>
    <x v="0"/>
    <n v="74"/>
    <s v="Nebraska"/>
    <s v="XL"/>
    <s v="Cyan"/>
    <x v="3"/>
    <x v="21"/>
    <s v="Yes"/>
    <x v="0"/>
    <x v="0"/>
    <x v="0"/>
    <x v="35"/>
    <x v="4"/>
    <x v="1"/>
    <x v="2"/>
    <n v="74"/>
    <n v="1"/>
  </r>
  <r>
    <n v="1040"/>
    <x v="26"/>
    <x v="0"/>
    <s v="Belt"/>
    <x v="3"/>
    <n v="46"/>
    <s v="Michigan"/>
    <s v="M"/>
    <s v="Magenta"/>
    <x v="3"/>
    <x v="6"/>
    <s v="Yes"/>
    <x v="3"/>
    <x v="0"/>
    <x v="0"/>
    <x v="30"/>
    <x v="0"/>
    <x v="5"/>
    <x v="2"/>
    <n v="46"/>
    <n v="1"/>
  </r>
  <r>
    <n v="1041"/>
    <x v="33"/>
    <x v="0"/>
    <s v="Jeans"/>
    <x v="0"/>
    <n v="22"/>
    <s v="North Carolina"/>
    <s v="S"/>
    <s v="Magenta"/>
    <x v="3"/>
    <x v="17"/>
    <s v="Yes"/>
    <x v="2"/>
    <x v="0"/>
    <x v="0"/>
    <x v="22"/>
    <x v="1"/>
    <x v="0"/>
    <x v="0"/>
    <n v="22"/>
    <n v="1"/>
  </r>
  <r>
    <n v="1042"/>
    <x v="24"/>
    <x v="0"/>
    <s v="Shirt"/>
    <x v="0"/>
    <n v="25"/>
    <s v="Minnesota"/>
    <s v="M"/>
    <s v="Orange"/>
    <x v="2"/>
    <x v="8"/>
    <s v="Yes"/>
    <x v="2"/>
    <x v="0"/>
    <x v="0"/>
    <x v="47"/>
    <x v="1"/>
    <x v="0"/>
    <x v="2"/>
    <n v="25"/>
    <n v="1"/>
  </r>
  <r>
    <n v="1043"/>
    <x v="0"/>
    <x v="0"/>
    <s v="Belt"/>
    <x v="3"/>
    <n v="80"/>
    <s v="Maryland"/>
    <s v="M"/>
    <s v="Maroon"/>
    <x v="1"/>
    <x v="8"/>
    <s v="Yes"/>
    <x v="2"/>
    <x v="0"/>
    <x v="0"/>
    <x v="39"/>
    <x v="2"/>
    <x v="1"/>
    <x v="0"/>
    <n v="80"/>
    <n v="1"/>
  </r>
  <r>
    <n v="1044"/>
    <x v="48"/>
    <x v="0"/>
    <s v="Jeans"/>
    <x v="0"/>
    <n v="76"/>
    <s v="Hawaii"/>
    <s v="M"/>
    <s v="Green"/>
    <x v="1"/>
    <x v="13"/>
    <s v="Yes"/>
    <x v="4"/>
    <x v="0"/>
    <x v="0"/>
    <x v="40"/>
    <x v="5"/>
    <x v="0"/>
    <x v="2"/>
    <n v="76"/>
    <n v="1"/>
  </r>
  <r>
    <n v="1045"/>
    <x v="31"/>
    <x v="0"/>
    <s v="Jeans"/>
    <x v="0"/>
    <n v="30"/>
    <s v="Oregon"/>
    <s v="L"/>
    <s v="Teal"/>
    <x v="2"/>
    <x v="14"/>
    <s v="Yes"/>
    <x v="2"/>
    <x v="0"/>
    <x v="0"/>
    <x v="14"/>
    <x v="4"/>
    <x v="6"/>
    <x v="2"/>
    <n v="30"/>
    <n v="1"/>
  </r>
  <r>
    <n v="1046"/>
    <x v="22"/>
    <x v="0"/>
    <s v="Sweater"/>
    <x v="0"/>
    <n v="79"/>
    <s v="New Mexico"/>
    <s v="L"/>
    <s v="Black"/>
    <x v="3"/>
    <x v="1"/>
    <s v="Yes"/>
    <x v="4"/>
    <x v="0"/>
    <x v="0"/>
    <x v="47"/>
    <x v="3"/>
    <x v="4"/>
    <x v="0"/>
    <n v="79"/>
    <n v="1"/>
  </r>
  <r>
    <n v="1047"/>
    <x v="37"/>
    <x v="0"/>
    <s v="Sneakers"/>
    <x v="1"/>
    <n v="22"/>
    <s v="Illinois"/>
    <s v="M"/>
    <s v="Magenta"/>
    <x v="0"/>
    <x v="19"/>
    <s v="Yes"/>
    <x v="3"/>
    <x v="0"/>
    <x v="0"/>
    <x v="45"/>
    <x v="0"/>
    <x v="2"/>
    <x v="2"/>
    <n v="22"/>
    <n v="1"/>
  </r>
  <r>
    <n v="1048"/>
    <x v="18"/>
    <x v="0"/>
    <s v="Socks"/>
    <x v="0"/>
    <n v="36"/>
    <s v="Utah"/>
    <s v="S"/>
    <s v="Olive"/>
    <x v="3"/>
    <x v="19"/>
    <s v="Yes"/>
    <x v="3"/>
    <x v="0"/>
    <x v="0"/>
    <x v="22"/>
    <x v="2"/>
    <x v="0"/>
    <x v="2"/>
    <n v="36"/>
    <n v="1"/>
  </r>
  <r>
    <n v="1049"/>
    <x v="11"/>
    <x v="0"/>
    <s v="Socks"/>
    <x v="0"/>
    <n v="77"/>
    <s v="Maine"/>
    <s v="L"/>
    <s v="Yellow"/>
    <x v="3"/>
    <x v="2"/>
    <s v="Yes"/>
    <x v="3"/>
    <x v="0"/>
    <x v="0"/>
    <x v="5"/>
    <x v="0"/>
    <x v="0"/>
    <x v="2"/>
    <n v="77"/>
    <n v="1"/>
  </r>
  <r>
    <n v="1050"/>
    <x v="4"/>
    <x v="0"/>
    <s v="Sunglasses"/>
    <x v="3"/>
    <n v="33"/>
    <s v="Virginia"/>
    <s v="S"/>
    <s v="Purple"/>
    <x v="3"/>
    <x v="11"/>
    <s v="Yes"/>
    <x v="5"/>
    <x v="0"/>
    <x v="0"/>
    <x v="37"/>
    <x v="1"/>
    <x v="3"/>
    <x v="2"/>
    <n v="33"/>
    <n v="1"/>
  </r>
  <r>
    <n v="1051"/>
    <x v="39"/>
    <x v="0"/>
    <s v="Sneakers"/>
    <x v="1"/>
    <n v="64"/>
    <s v="Florida"/>
    <s v="M"/>
    <s v="Beige"/>
    <x v="0"/>
    <x v="22"/>
    <s v="Yes"/>
    <x v="2"/>
    <x v="0"/>
    <x v="0"/>
    <x v="5"/>
    <x v="0"/>
    <x v="5"/>
    <x v="2"/>
    <n v="64"/>
    <n v="1"/>
  </r>
  <r>
    <n v="1052"/>
    <x v="4"/>
    <x v="0"/>
    <s v="Socks"/>
    <x v="0"/>
    <n v="53"/>
    <s v="Ohio"/>
    <s v="M"/>
    <s v="Indigo"/>
    <x v="3"/>
    <x v="5"/>
    <s v="Yes"/>
    <x v="1"/>
    <x v="0"/>
    <x v="0"/>
    <x v="30"/>
    <x v="3"/>
    <x v="2"/>
    <x v="2"/>
    <n v="53"/>
    <n v="1"/>
  </r>
  <r>
    <n v="1053"/>
    <x v="52"/>
    <x v="0"/>
    <s v="Shoes"/>
    <x v="1"/>
    <n v="36"/>
    <s v="Virginia"/>
    <s v="XL"/>
    <s v="Pink"/>
    <x v="3"/>
    <x v="21"/>
    <s v="Yes"/>
    <x v="4"/>
    <x v="0"/>
    <x v="0"/>
    <x v="43"/>
    <x v="2"/>
    <x v="0"/>
    <x v="0"/>
    <n v="36"/>
    <n v="1"/>
  </r>
  <r>
    <n v="1054"/>
    <x v="35"/>
    <x v="0"/>
    <s v="Blouse"/>
    <x v="0"/>
    <n v="70"/>
    <s v="Kansas"/>
    <s v="M"/>
    <s v="Blue"/>
    <x v="1"/>
    <x v="13"/>
    <s v="No"/>
    <x v="4"/>
    <x v="0"/>
    <x v="0"/>
    <x v="9"/>
    <x v="5"/>
    <x v="4"/>
    <x v="0"/>
    <n v="70"/>
    <n v="0"/>
  </r>
  <r>
    <n v="1055"/>
    <x v="20"/>
    <x v="0"/>
    <s v="Shorts"/>
    <x v="0"/>
    <n v="96"/>
    <s v="Arkansas"/>
    <s v="L"/>
    <s v="Cyan"/>
    <x v="0"/>
    <x v="8"/>
    <s v="No"/>
    <x v="0"/>
    <x v="0"/>
    <x v="0"/>
    <x v="26"/>
    <x v="3"/>
    <x v="3"/>
    <x v="1"/>
    <n v="96"/>
    <n v="0"/>
  </r>
  <r>
    <n v="1056"/>
    <x v="27"/>
    <x v="0"/>
    <s v="Jacket"/>
    <x v="2"/>
    <n v="27"/>
    <s v="Massachusetts"/>
    <s v="M"/>
    <s v="Orange"/>
    <x v="1"/>
    <x v="13"/>
    <s v="No"/>
    <x v="2"/>
    <x v="0"/>
    <x v="0"/>
    <x v="37"/>
    <x v="5"/>
    <x v="2"/>
    <x v="0"/>
    <n v="27"/>
    <n v="0"/>
  </r>
  <r>
    <n v="1057"/>
    <x v="30"/>
    <x v="0"/>
    <s v="Sweater"/>
    <x v="0"/>
    <n v="64"/>
    <s v="Idaho"/>
    <s v="L"/>
    <s v="Black"/>
    <x v="0"/>
    <x v="3"/>
    <s v="No"/>
    <x v="4"/>
    <x v="0"/>
    <x v="0"/>
    <x v="38"/>
    <x v="0"/>
    <x v="0"/>
    <x v="1"/>
    <n v="64"/>
    <n v="0"/>
  </r>
  <r>
    <n v="1058"/>
    <x v="13"/>
    <x v="0"/>
    <s v="Jacket"/>
    <x v="2"/>
    <n v="23"/>
    <s v="Wisconsin"/>
    <s v="S"/>
    <s v="Maroon"/>
    <x v="1"/>
    <x v="14"/>
    <s v="No"/>
    <x v="4"/>
    <x v="0"/>
    <x v="0"/>
    <x v="41"/>
    <x v="2"/>
    <x v="1"/>
    <x v="0"/>
    <n v="23"/>
    <n v="0"/>
  </r>
  <r>
    <n v="1059"/>
    <x v="26"/>
    <x v="0"/>
    <s v="Scarf"/>
    <x v="3"/>
    <n v="33"/>
    <s v="New Mexico"/>
    <s v="L"/>
    <s v="Violet"/>
    <x v="2"/>
    <x v="0"/>
    <s v="No"/>
    <x v="2"/>
    <x v="0"/>
    <x v="0"/>
    <x v="3"/>
    <x v="4"/>
    <x v="6"/>
    <x v="2"/>
    <n v="33"/>
    <n v="0"/>
  </r>
  <r>
    <n v="1060"/>
    <x v="40"/>
    <x v="0"/>
    <s v="Jacket"/>
    <x v="2"/>
    <n v="34"/>
    <s v="North Carolina"/>
    <s v="M"/>
    <s v="Beige"/>
    <x v="0"/>
    <x v="25"/>
    <s v="No"/>
    <x v="3"/>
    <x v="0"/>
    <x v="0"/>
    <x v="29"/>
    <x v="5"/>
    <x v="5"/>
    <x v="1"/>
    <n v="34"/>
    <n v="0"/>
  </r>
  <r>
    <n v="1061"/>
    <x v="7"/>
    <x v="0"/>
    <s v="Sweater"/>
    <x v="0"/>
    <n v="35"/>
    <s v="Iowa"/>
    <s v="S"/>
    <s v="Gray"/>
    <x v="2"/>
    <x v="5"/>
    <s v="No"/>
    <x v="2"/>
    <x v="0"/>
    <x v="0"/>
    <x v="33"/>
    <x v="5"/>
    <x v="6"/>
    <x v="2"/>
    <n v="35"/>
    <n v="0"/>
  </r>
  <r>
    <n v="1062"/>
    <x v="24"/>
    <x v="0"/>
    <s v="Coat"/>
    <x v="2"/>
    <n v="62"/>
    <s v="Idaho"/>
    <s v="M"/>
    <s v="Gray"/>
    <x v="2"/>
    <x v="14"/>
    <s v="No"/>
    <x v="1"/>
    <x v="0"/>
    <x v="0"/>
    <x v="45"/>
    <x v="0"/>
    <x v="6"/>
    <x v="2"/>
    <n v="62"/>
    <n v="0"/>
  </r>
  <r>
    <n v="1063"/>
    <x v="35"/>
    <x v="0"/>
    <s v="Boots"/>
    <x v="1"/>
    <n v="75"/>
    <s v="Ohio"/>
    <s v="M"/>
    <s v="Brown"/>
    <x v="3"/>
    <x v="5"/>
    <s v="No"/>
    <x v="2"/>
    <x v="0"/>
    <x v="0"/>
    <x v="33"/>
    <x v="5"/>
    <x v="6"/>
    <x v="0"/>
    <n v="75"/>
    <n v="0"/>
  </r>
  <r>
    <n v="1064"/>
    <x v="46"/>
    <x v="0"/>
    <s v="Hoodie"/>
    <x v="0"/>
    <n v="29"/>
    <s v="Alabama"/>
    <s v="S"/>
    <s v="Indigo"/>
    <x v="2"/>
    <x v="13"/>
    <s v="No"/>
    <x v="1"/>
    <x v="0"/>
    <x v="0"/>
    <x v="31"/>
    <x v="1"/>
    <x v="5"/>
    <x v="0"/>
    <n v="29"/>
    <n v="0"/>
  </r>
  <r>
    <n v="1065"/>
    <x v="50"/>
    <x v="0"/>
    <s v="Hat"/>
    <x v="3"/>
    <n v="28"/>
    <s v="Wyoming"/>
    <s v="M"/>
    <s v="Violet"/>
    <x v="1"/>
    <x v="1"/>
    <s v="No"/>
    <x v="0"/>
    <x v="0"/>
    <x v="0"/>
    <x v="38"/>
    <x v="2"/>
    <x v="6"/>
    <x v="2"/>
    <n v="28"/>
    <n v="0"/>
  </r>
  <r>
    <n v="1066"/>
    <x v="35"/>
    <x v="0"/>
    <s v="T-shirt"/>
    <x v="0"/>
    <n v="20"/>
    <s v="Alabama"/>
    <s v="XL"/>
    <s v="Blue"/>
    <x v="1"/>
    <x v="7"/>
    <s v="No"/>
    <x v="5"/>
    <x v="0"/>
    <x v="0"/>
    <x v="35"/>
    <x v="3"/>
    <x v="6"/>
    <x v="0"/>
    <n v="20"/>
    <n v="0"/>
  </r>
  <r>
    <n v="1067"/>
    <x v="34"/>
    <x v="0"/>
    <s v="Coat"/>
    <x v="2"/>
    <n v="96"/>
    <s v="Mississippi"/>
    <s v="M"/>
    <s v="Red"/>
    <x v="0"/>
    <x v="17"/>
    <s v="No"/>
    <x v="5"/>
    <x v="0"/>
    <x v="0"/>
    <x v="47"/>
    <x v="3"/>
    <x v="4"/>
    <x v="2"/>
    <n v="96"/>
    <n v="0"/>
  </r>
  <r>
    <n v="1068"/>
    <x v="20"/>
    <x v="0"/>
    <s v="Dress"/>
    <x v="0"/>
    <n v="43"/>
    <s v="Pennsylvania"/>
    <s v="S"/>
    <s v="Peach"/>
    <x v="2"/>
    <x v="2"/>
    <s v="No"/>
    <x v="4"/>
    <x v="0"/>
    <x v="0"/>
    <x v="17"/>
    <x v="3"/>
    <x v="3"/>
    <x v="1"/>
    <n v="43"/>
    <n v="0"/>
  </r>
  <r>
    <n v="1069"/>
    <x v="0"/>
    <x v="0"/>
    <s v="Shirt"/>
    <x v="0"/>
    <n v="94"/>
    <s v="Wyoming"/>
    <s v="M"/>
    <s v="Olive"/>
    <x v="3"/>
    <x v="25"/>
    <s v="No"/>
    <x v="3"/>
    <x v="0"/>
    <x v="0"/>
    <x v="39"/>
    <x v="2"/>
    <x v="1"/>
    <x v="0"/>
    <n v="94"/>
    <n v="0"/>
  </r>
  <r>
    <n v="1070"/>
    <x v="21"/>
    <x v="0"/>
    <s v="Skirt"/>
    <x v="0"/>
    <n v="81"/>
    <s v="Maryland"/>
    <s v="XL"/>
    <s v="White"/>
    <x v="3"/>
    <x v="24"/>
    <s v="No"/>
    <x v="2"/>
    <x v="0"/>
    <x v="0"/>
    <x v="42"/>
    <x v="0"/>
    <x v="6"/>
    <x v="2"/>
    <n v="81"/>
    <n v="0"/>
  </r>
  <r>
    <n v="1071"/>
    <x v="2"/>
    <x v="0"/>
    <s v="Jewelry"/>
    <x v="3"/>
    <n v="75"/>
    <s v="North Carolina"/>
    <s v="M"/>
    <s v="Magenta"/>
    <x v="2"/>
    <x v="13"/>
    <s v="No"/>
    <x v="1"/>
    <x v="0"/>
    <x v="0"/>
    <x v="16"/>
    <x v="5"/>
    <x v="1"/>
    <x v="2"/>
    <n v="75"/>
    <n v="0"/>
  </r>
  <r>
    <n v="1072"/>
    <x v="12"/>
    <x v="0"/>
    <s v="Hat"/>
    <x v="3"/>
    <n v="81"/>
    <s v="Pennsylvania"/>
    <s v="M"/>
    <s v="Beige"/>
    <x v="2"/>
    <x v="5"/>
    <s v="No"/>
    <x v="0"/>
    <x v="0"/>
    <x v="0"/>
    <x v="15"/>
    <x v="2"/>
    <x v="5"/>
    <x v="0"/>
    <n v="81"/>
    <n v="0"/>
  </r>
  <r>
    <n v="1073"/>
    <x v="39"/>
    <x v="0"/>
    <s v="Shorts"/>
    <x v="0"/>
    <n v="92"/>
    <s v="Idaho"/>
    <s v="L"/>
    <s v="Gold"/>
    <x v="3"/>
    <x v="1"/>
    <s v="No"/>
    <x v="0"/>
    <x v="0"/>
    <x v="0"/>
    <x v="11"/>
    <x v="5"/>
    <x v="0"/>
    <x v="2"/>
    <n v="92"/>
    <n v="0"/>
  </r>
  <r>
    <n v="1074"/>
    <x v="40"/>
    <x v="0"/>
    <s v="Scarf"/>
    <x v="3"/>
    <n v="96"/>
    <s v="California"/>
    <s v="XL"/>
    <s v="Purple"/>
    <x v="1"/>
    <x v="17"/>
    <s v="No"/>
    <x v="5"/>
    <x v="0"/>
    <x v="0"/>
    <x v="42"/>
    <x v="2"/>
    <x v="5"/>
    <x v="1"/>
    <n v="96"/>
    <n v="0"/>
  </r>
  <r>
    <n v="1075"/>
    <x v="39"/>
    <x v="0"/>
    <s v="Jewelry"/>
    <x v="3"/>
    <n v="71"/>
    <s v="Tennessee"/>
    <s v="S"/>
    <s v="White"/>
    <x v="3"/>
    <x v="5"/>
    <s v="No"/>
    <x v="3"/>
    <x v="0"/>
    <x v="0"/>
    <x v="24"/>
    <x v="4"/>
    <x v="0"/>
    <x v="2"/>
    <n v="71"/>
    <n v="0"/>
  </r>
  <r>
    <n v="1076"/>
    <x v="9"/>
    <x v="0"/>
    <s v="Sunglasses"/>
    <x v="3"/>
    <n v="50"/>
    <s v="Missouri"/>
    <s v="L"/>
    <s v="Indigo"/>
    <x v="2"/>
    <x v="8"/>
    <s v="No"/>
    <x v="2"/>
    <x v="0"/>
    <x v="0"/>
    <x v="18"/>
    <x v="5"/>
    <x v="4"/>
    <x v="0"/>
    <n v="50"/>
    <n v="0"/>
  </r>
  <r>
    <n v="1077"/>
    <x v="23"/>
    <x v="0"/>
    <s v="Coat"/>
    <x v="2"/>
    <n v="72"/>
    <s v="North Dakota"/>
    <s v="L"/>
    <s v="Charcoal"/>
    <x v="1"/>
    <x v="3"/>
    <s v="No"/>
    <x v="3"/>
    <x v="0"/>
    <x v="0"/>
    <x v="39"/>
    <x v="0"/>
    <x v="4"/>
    <x v="2"/>
    <n v="72"/>
    <n v="0"/>
  </r>
  <r>
    <n v="1078"/>
    <x v="44"/>
    <x v="0"/>
    <s v="Jacket"/>
    <x v="2"/>
    <n v="28"/>
    <s v="West Virginia"/>
    <s v="M"/>
    <s v="Pink"/>
    <x v="0"/>
    <x v="18"/>
    <s v="No"/>
    <x v="3"/>
    <x v="0"/>
    <x v="0"/>
    <x v="36"/>
    <x v="3"/>
    <x v="3"/>
    <x v="0"/>
    <n v="28"/>
    <n v="0"/>
  </r>
  <r>
    <n v="1079"/>
    <x v="43"/>
    <x v="0"/>
    <s v="Sweater"/>
    <x v="0"/>
    <n v="59"/>
    <s v="Arizona"/>
    <s v="M"/>
    <s v="Silver"/>
    <x v="3"/>
    <x v="14"/>
    <s v="No"/>
    <x v="0"/>
    <x v="0"/>
    <x v="0"/>
    <x v="3"/>
    <x v="2"/>
    <x v="0"/>
    <x v="2"/>
    <n v="59"/>
    <n v="0"/>
  </r>
  <r>
    <n v="1080"/>
    <x v="20"/>
    <x v="0"/>
    <s v="Coat"/>
    <x v="2"/>
    <n v="33"/>
    <s v="Oklahoma"/>
    <s v="S"/>
    <s v="Blue"/>
    <x v="2"/>
    <x v="14"/>
    <s v="No"/>
    <x v="1"/>
    <x v="0"/>
    <x v="0"/>
    <x v="26"/>
    <x v="4"/>
    <x v="5"/>
    <x v="1"/>
    <n v="33"/>
    <n v="0"/>
  </r>
  <r>
    <n v="1081"/>
    <x v="13"/>
    <x v="0"/>
    <s v="Scarf"/>
    <x v="3"/>
    <n v="59"/>
    <s v="Pennsylvania"/>
    <s v="L"/>
    <s v="Blue"/>
    <x v="3"/>
    <x v="22"/>
    <s v="No"/>
    <x v="0"/>
    <x v="0"/>
    <x v="0"/>
    <x v="17"/>
    <x v="1"/>
    <x v="6"/>
    <x v="0"/>
    <n v="59"/>
    <n v="0"/>
  </r>
  <r>
    <n v="1082"/>
    <x v="46"/>
    <x v="0"/>
    <s v="Belt"/>
    <x v="3"/>
    <n v="30"/>
    <s v="Idaho"/>
    <s v="XL"/>
    <s v="Brown"/>
    <x v="1"/>
    <x v="9"/>
    <s v="No"/>
    <x v="3"/>
    <x v="0"/>
    <x v="0"/>
    <x v="24"/>
    <x v="2"/>
    <x v="2"/>
    <x v="0"/>
    <n v="30"/>
    <n v="0"/>
  </r>
  <r>
    <n v="1083"/>
    <x v="22"/>
    <x v="0"/>
    <s v="Hat"/>
    <x v="3"/>
    <n v="85"/>
    <s v="South Carolina"/>
    <s v="XL"/>
    <s v="Cyan"/>
    <x v="0"/>
    <x v="5"/>
    <s v="No"/>
    <x v="2"/>
    <x v="0"/>
    <x v="0"/>
    <x v="48"/>
    <x v="0"/>
    <x v="3"/>
    <x v="0"/>
    <n v="85"/>
    <n v="0"/>
  </r>
  <r>
    <n v="1084"/>
    <x v="25"/>
    <x v="0"/>
    <s v="Backpack"/>
    <x v="3"/>
    <n v="97"/>
    <s v="Washington"/>
    <s v="L"/>
    <s v="Teal"/>
    <x v="2"/>
    <x v="13"/>
    <s v="No"/>
    <x v="5"/>
    <x v="0"/>
    <x v="0"/>
    <x v="34"/>
    <x v="1"/>
    <x v="1"/>
    <x v="2"/>
    <n v="97"/>
    <n v="0"/>
  </r>
  <r>
    <n v="1085"/>
    <x v="50"/>
    <x v="0"/>
    <s v="T-shirt"/>
    <x v="0"/>
    <n v="36"/>
    <s v="Arkansas"/>
    <s v="S"/>
    <s v="Purple"/>
    <x v="3"/>
    <x v="7"/>
    <s v="No"/>
    <x v="2"/>
    <x v="0"/>
    <x v="0"/>
    <x v="26"/>
    <x v="1"/>
    <x v="3"/>
    <x v="2"/>
    <n v="36"/>
    <n v="0"/>
  </r>
  <r>
    <n v="1086"/>
    <x v="15"/>
    <x v="0"/>
    <s v="Jewelry"/>
    <x v="3"/>
    <n v="85"/>
    <s v="Utah"/>
    <s v="M"/>
    <s v="Turquoise"/>
    <x v="0"/>
    <x v="21"/>
    <s v="No"/>
    <x v="5"/>
    <x v="0"/>
    <x v="0"/>
    <x v="2"/>
    <x v="0"/>
    <x v="0"/>
    <x v="1"/>
    <n v="85"/>
    <n v="0"/>
  </r>
  <r>
    <n v="1087"/>
    <x v="10"/>
    <x v="0"/>
    <s v="Sunglasses"/>
    <x v="3"/>
    <n v="62"/>
    <s v="Alaska"/>
    <s v="M"/>
    <s v="Olive"/>
    <x v="0"/>
    <x v="21"/>
    <s v="No"/>
    <x v="1"/>
    <x v="0"/>
    <x v="0"/>
    <x v="46"/>
    <x v="3"/>
    <x v="4"/>
    <x v="0"/>
    <n v="62"/>
    <n v="0"/>
  </r>
  <r>
    <n v="1088"/>
    <x v="4"/>
    <x v="0"/>
    <s v="Jeans"/>
    <x v="0"/>
    <n v="71"/>
    <s v="West Virginia"/>
    <s v="S"/>
    <s v="White"/>
    <x v="0"/>
    <x v="23"/>
    <s v="No"/>
    <x v="2"/>
    <x v="0"/>
    <x v="0"/>
    <x v="22"/>
    <x v="4"/>
    <x v="5"/>
    <x v="2"/>
    <n v="71"/>
    <n v="0"/>
  </r>
  <r>
    <n v="1089"/>
    <x v="34"/>
    <x v="0"/>
    <s v="Pants"/>
    <x v="0"/>
    <n v="21"/>
    <s v="Louisiana"/>
    <s v="M"/>
    <s v="Turquoise"/>
    <x v="0"/>
    <x v="2"/>
    <s v="No"/>
    <x v="1"/>
    <x v="0"/>
    <x v="0"/>
    <x v="1"/>
    <x v="3"/>
    <x v="1"/>
    <x v="2"/>
    <n v="21"/>
    <n v="0"/>
  </r>
  <r>
    <n v="1090"/>
    <x v="37"/>
    <x v="0"/>
    <s v="Backpack"/>
    <x v="3"/>
    <n v="61"/>
    <s v="Arizona"/>
    <s v="M"/>
    <s v="Silver"/>
    <x v="1"/>
    <x v="22"/>
    <s v="No"/>
    <x v="2"/>
    <x v="0"/>
    <x v="0"/>
    <x v="42"/>
    <x v="3"/>
    <x v="4"/>
    <x v="2"/>
    <n v="61"/>
    <n v="0"/>
  </r>
  <r>
    <n v="1091"/>
    <x v="21"/>
    <x v="0"/>
    <s v="Scarf"/>
    <x v="3"/>
    <n v="58"/>
    <s v="Connecticut"/>
    <s v="M"/>
    <s v="Violet"/>
    <x v="1"/>
    <x v="19"/>
    <s v="No"/>
    <x v="5"/>
    <x v="0"/>
    <x v="0"/>
    <x v="46"/>
    <x v="1"/>
    <x v="0"/>
    <x v="2"/>
    <n v="58"/>
    <n v="0"/>
  </r>
  <r>
    <n v="1092"/>
    <x v="42"/>
    <x v="0"/>
    <s v="Sweater"/>
    <x v="0"/>
    <n v="80"/>
    <s v="North Carolina"/>
    <s v="L"/>
    <s v="Lavender"/>
    <x v="1"/>
    <x v="10"/>
    <s v="No"/>
    <x v="5"/>
    <x v="0"/>
    <x v="0"/>
    <x v="49"/>
    <x v="2"/>
    <x v="0"/>
    <x v="2"/>
    <n v="80"/>
    <n v="0"/>
  </r>
  <r>
    <n v="1093"/>
    <x v="33"/>
    <x v="0"/>
    <s v="Jewelry"/>
    <x v="3"/>
    <n v="50"/>
    <s v="South Dakota"/>
    <s v="L"/>
    <s v="Magenta"/>
    <x v="1"/>
    <x v="7"/>
    <s v="No"/>
    <x v="4"/>
    <x v="0"/>
    <x v="0"/>
    <x v="41"/>
    <x v="0"/>
    <x v="3"/>
    <x v="0"/>
    <n v="50"/>
    <n v="0"/>
  </r>
  <r>
    <n v="1094"/>
    <x v="52"/>
    <x v="0"/>
    <s v="Sneakers"/>
    <x v="1"/>
    <n v="48"/>
    <s v="Delaware"/>
    <s v="S"/>
    <s v="Indigo"/>
    <x v="0"/>
    <x v="19"/>
    <s v="No"/>
    <x v="4"/>
    <x v="0"/>
    <x v="0"/>
    <x v="15"/>
    <x v="0"/>
    <x v="6"/>
    <x v="0"/>
    <n v="48"/>
    <n v="0"/>
  </r>
  <r>
    <n v="1095"/>
    <x v="15"/>
    <x v="0"/>
    <s v="Jewelry"/>
    <x v="3"/>
    <n v="40"/>
    <s v="Connecticut"/>
    <s v="M"/>
    <s v="Black"/>
    <x v="0"/>
    <x v="6"/>
    <s v="No"/>
    <x v="2"/>
    <x v="0"/>
    <x v="0"/>
    <x v="29"/>
    <x v="1"/>
    <x v="3"/>
    <x v="1"/>
    <n v="40"/>
    <n v="0"/>
  </r>
  <r>
    <n v="1096"/>
    <x v="1"/>
    <x v="0"/>
    <s v="Coat"/>
    <x v="2"/>
    <n v="34"/>
    <s v="Tennessee"/>
    <s v="S"/>
    <s v="Peach"/>
    <x v="2"/>
    <x v="21"/>
    <s v="No"/>
    <x v="1"/>
    <x v="0"/>
    <x v="0"/>
    <x v="48"/>
    <x v="4"/>
    <x v="3"/>
    <x v="1"/>
    <n v="34"/>
    <n v="0"/>
  </r>
  <r>
    <n v="1097"/>
    <x v="9"/>
    <x v="0"/>
    <s v="Coat"/>
    <x v="2"/>
    <n v="46"/>
    <s v="New Hampshire"/>
    <s v="S"/>
    <s v="Beige"/>
    <x v="3"/>
    <x v="5"/>
    <s v="No"/>
    <x v="3"/>
    <x v="0"/>
    <x v="0"/>
    <x v="26"/>
    <x v="2"/>
    <x v="2"/>
    <x v="0"/>
    <n v="46"/>
    <n v="0"/>
  </r>
  <r>
    <n v="1098"/>
    <x v="44"/>
    <x v="0"/>
    <s v="Sunglasses"/>
    <x v="3"/>
    <n v="27"/>
    <s v="Vermont"/>
    <s v="M"/>
    <s v="Black"/>
    <x v="2"/>
    <x v="4"/>
    <s v="No"/>
    <x v="5"/>
    <x v="0"/>
    <x v="0"/>
    <x v="39"/>
    <x v="4"/>
    <x v="1"/>
    <x v="0"/>
    <n v="27"/>
    <n v="0"/>
  </r>
  <r>
    <n v="1099"/>
    <x v="34"/>
    <x v="0"/>
    <s v="Handbag"/>
    <x v="3"/>
    <n v="98"/>
    <s v="Idaho"/>
    <s v="S"/>
    <s v="Turquoise"/>
    <x v="1"/>
    <x v="15"/>
    <s v="No"/>
    <x v="2"/>
    <x v="0"/>
    <x v="0"/>
    <x v="46"/>
    <x v="2"/>
    <x v="1"/>
    <x v="2"/>
    <n v="98"/>
    <n v="0"/>
  </r>
  <r>
    <n v="1100"/>
    <x v="1"/>
    <x v="0"/>
    <s v="Sweater"/>
    <x v="0"/>
    <n v="73"/>
    <s v="North Carolina"/>
    <s v="M"/>
    <s v="Peach"/>
    <x v="3"/>
    <x v="5"/>
    <s v="No"/>
    <x v="2"/>
    <x v="0"/>
    <x v="0"/>
    <x v="24"/>
    <x v="4"/>
    <x v="0"/>
    <x v="1"/>
    <n v="73"/>
    <n v="0"/>
  </r>
  <r>
    <n v="1101"/>
    <x v="2"/>
    <x v="0"/>
    <s v="Pants"/>
    <x v="0"/>
    <n v="28"/>
    <s v="Nevada"/>
    <s v="L"/>
    <s v="Gold"/>
    <x v="1"/>
    <x v="14"/>
    <s v="No"/>
    <x v="0"/>
    <x v="0"/>
    <x v="0"/>
    <x v="1"/>
    <x v="2"/>
    <x v="1"/>
    <x v="2"/>
    <n v="28"/>
    <n v="0"/>
  </r>
  <r>
    <n v="1102"/>
    <x v="11"/>
    <x v="0"/>
    <s v="Gloves"/>
    <x v="3"/>
    <n v="76"/>
    <s v="Delaware"/>
    <s v="XL"/>
    <s v="Silver"/>
    <x v="3"/>
    <x v="21"/>
    <s v="No"/>
    <x v="1"/>
    <x v="0"/>
    <x v="0"/>
    <x v="30"/>
    <x v="1"/>
    <x v="0"/>
    <x v="2"/>
    <n v="76"/>
    <n v="0"/>
  </r>
  <r>
    <n v="1103"/>
    <x v="16"/>
    <x v="0"/>
    <s v="Sweater"/>
    <x v="0"/>
    <n v="83"/>
    <s v="Texas"/>
    <s v="M"/>
    <s v="Peach"/>
    <x v="3"/>
    <x v="3"/>
    <s v="No"/>
    <x v="0"/>
    <x v="0"/>
    <x v="0"/>
    <x v="37"/>
    <x v="1"/>
    <x v="0"/>
    <x v="0"/>
    <n v="83"/>
    <n v="0"/>
  </r>
  <r>
    <n v="1104"/>
    <x v="25"/>
    <x v="0"/>
    <s v="Hoodie"/>
    <x v="0"/>
    <n v="23"/>
    <s v="Tennessee"/>
    <s v="S"/>
    <s v="Charcoal"/>
    <x v="1"/>
    <x v="24"/>
    <s v="No"/>
    <x v="1"/>
    <x v="0"/>
    <x v="0"/>
    <x v="6"/>
    <x v="5"/>
    <x v="4"/>
    <x v="2"/>
    <n v="23"/>
    <n v="0"/>
  </r>
  <r>
    <n v="1105"/>
    <x v="25"/>
    <x v="0"/>
    <s v="Hat"/>
    <x v="3"/>
    <n v="28"/>
    <s v="Delaware"/>
    <s v="M"/>
    <s v="Beige"/>
    <x v="3"/>
    <x v="0"/>
    <s v="No"/>
    <x v="0"/>
    <x v="0"/>
    <x v="0"/>
    <x v="6"/>
    <x v="4"/>
    <x v="3"/>
    <x v="2"/>
    <n v="28"/>
    <n v="0"/>
  </r>
  <r>
    <n v="1106"/>
    <x v="23"/>
    <x v="0"/>
    <s v="T-shirt"/>
    <x v="0"/>
    <n v="83"/>
    <s v="Massachusetts"/>
    <s v="S"/>
    <s v="Olive"/>
    <x v="1"/>
    <x v="21"/>
    <s v="No"/>
    <x v="2"/>
    <x v="0"/>
    <x v="0"/>
    <x v="49"/>
    <x v="0"/>
    <x v="6"/>
    <x v="2"/>
    <n v="83"/>
    <n v="0"/>
  </r>
  <r>
    <n v="1107"/>
    <x v="16"/>
    <x v="0"/>
    <s v="Skirt"/>
    <x v="0"/>
    <n v="96"/>
    <s v="Minnesota"/>
    <s v="L"/>
    <s v="Violet"/>
    <x v="0"/>
    <x v="15"/>
    <s v="No"/>
    <x v="5"/>
    <x v="0"/>
    <x v="0"/>
    <x v="45"/>
    <x v="0"/>
    <x v="0"/>
    <x v="0"/>
    <n v="96"/>
    <n v="0"/>
  </r>
  <r>
    <n v="1108"/>
    <x v="28"/>
    <x v="0"/>
    <s v="Sneakers"/>
    <x v="1"/>
    <n v="62"/>
    <s v="Texas"/>
    <s v="M"/>
    <s v="Peach"/>
    <x v="3"/>
    <x v="11"/>
    <s v="No"/>
    <x v="5"/>
    <x v="0"/>
    <x v="0"/>
    <x v="8"/>
    <x v="4"/>
    <x v="1"/>
    <x v="0"/>
    <n v="62"/>
    <n v="0"/>
  </r>
  <r>
    <n v="1109"/>
    <x v="7"/>
    <x v="0"/>
    <s v="Shorts"/>
    <x v="0"/>
    <n v="25"/>
    <s v="Nebraska"/>
    <s v="M"/>
    <s v="Teal"/>
    <x v="3"/>
    <x v="11"/>
    <s v="No"/>
    <x v="3"/>
    <x v="0"/>
    <x v="0"/>
    <x v="16"/>
    <x v="1"/>
    <x v="0"/>
    <x v="2"/>
    <n v="25"/>
    <n v="0"/>
  </r>
  <r>
    <n v="1110"/>
    <x v="17"/>
    <x v="0"/>
    <s v="Hoodie"/>
    <x v="0"/>
    <n v="97"/>
    <s v="Oklahoma"/>
    <s v="L"/>
    <s v="Violet"/>
    <x v="0"/>
    <x v="8"/>
    <s v="No"/>
    <x v="2"/>
    <x v="0"/>
    <x v="0"/>
    <x v="1"/>
    <x v="0"/>
    <x v="1"/>
    <x v="0"/>
    <n v="97"/>
    <n v="0"/>
  </r>
  <r>
    <n v="1111"/>
    <x v="48"/>
    <x v="0"/>
    <s v="Hoodie"/>
    <x v="0"/>
    <n v="61"/>
    <s v="Texas"/>
    <s v="L"/>
    <s v="Cyan"/>
    <x v="3"/>
    <x v="21"/>
    <s v="No"/>
    <x v="3"/>
    <x v="0"/>
    <x v="0"/>
    <x v="4"/>
    <x v="1"/>
    <x v="4"/>
    <x v="2"/>
    <n v="61"/>
    <n v="0"/>
  </r>
  <r>
    <n v="1112"/>
    <x v="40"/>
    <x v="0"/>
    <s v="Shoes"/>
    <x v="1"/>
    <n v="66"/>
    <s v="New York"/>
    <s v="S"/>
    <s v="Olive"/>
    <x v="2"/>
    <x v="7"/>
    <s v="No"/>
    <x v="2"/>
    <x v="0"/>
    <x v="0"/>
    <x v="7"/>
    <x v="2"/>
    <x v="4"/>
    <x v="1"/>
    <n v="66"/>
    <n v="0"/>
  </r>
  <r>
    <n v="1113"/>
    <x v="28"/>
    <x v="0"/>
    <s v="Hoodie"/>
    <x v="0"/>
    <n v="67"/>
    <s v="Washington"/>
    <s v="XL"/>
    <s v="Pink"/>
    <x v="1"/>
    <x v="12"/>
    <s v="No"/>
    <x v="1"/>
    <x v="0"/>
    <x v="0"/>
    <x v="18"/>
    <x v="3"/>
    <x v="3"/>
    <x v="0"/>
    <n v="67"/>
    <n v="0"/>
  </r>
  <r>
    <n v="1114"/>
    <x v="48"/>
    <x v="0"/>
    <s v="Sunglasses"/>
    <x v="3"/>
    <n v="80"/>
    <s v="Maryland"/>
    <s v="M"/>
    <s v="Purple"/>
    <x v="2"/>
    <x v="6"/>
    <s v="No"/>
    <x v="2"/>
    <x v="0"/>
    <x v="0"/>
    <x v="47"/>
    <x v="3"/>
    <x v="4"/>
    <x v="2"/>
    <n v="80"/>
    <n v="0"/>
  </r>
  <r>
    <n v="1115"/>
    <x v="0"/>
    <x v="0"/>
    <s v="Skirt"/>
    <x v="0"/>
    <n v="25"/>
    <s v="New Hampshire"/>
    <s v="L"/>
    <s v="Violet"/>
    <x v="3"/>
    <x v="5"/>
    <s v="No"/>
    <x v="2"/>
    <x v="0"/>
    <x v="0"/>
    <x v="39"/>
    <x v="4"/>
    <x v="6"/>
    <x v="0"/>
    <n v="25"/>
    <n v="0"/>
  </r>
  <r>
    <n v="1116"/>
    <x v="11"/>
    <x v="0"/>
    <s v="Hat"/>
    <x v="3"/>
    <n v="58"/>
    <s v="New York"/>
    <s v="S"/>
    <s v="Peach"/>
    <x v="3"/>
    <x v="17"/>
    <s v="No"/>
    <x v="4"/>
    <x v="0"/>
    <x v="0"/>
    <x v="10"/>
    <x v="1"/>
    <x v="1"/>
    <x v="2"/>
    <n v="58"/>
    <n v="0"/>
  </r>
  <r>
    <n v="1117"/>
    <x v="29"/>
    <x v="0"/>
    <s v="Backpack"/>
    <x v="3"/>
    <n v="96"/>
    <s v="Hawaii"/>
    <s v="M"/>
    <s v="Charcoal"/>
    <x v="0"/>
    <x v="19"/>
    <s v="No"/>
    <x v="0"/>
    <x v="0"/>
    <x v="0"/>
    <x v="30"/>
    <x v="3"/>
    <x v="0"/>
    <x v="0"/>
    <n v="96"/>
    <n v="0"/>
  </r>
  <r>
    <n v="1118"/>
    <x v="15"/>
    <x v="0"/>
    <s v="Sunglasses"/>
    <x v="3"/>
    <n v="77"/>
    <s v="California"/>
    <s v="L"/>
    <s v="Lavender"/>
    <x v="1"/>
    <x v="9"/>
    <s v="No"/>
    <x v="5"/>
    <x v="0"/>
    <x v="0"/>
    <x v="37"/>
    <x v="2"/>
    <x v="5"/>
    <x v="1"/>
    <n v="77"/>
    <n v="0"/>
  </r>
  <r>
    <n v="1119"/>
    <x v="34"/>
    <x v="0"/>
    <s v="Belt"/>
    <x v="3"/>
    <n v="65"/>
    <s v="Indiana"/>
    <s v="M"/>
    <s v="Purple"/>
    <x v="2"/>
    <x v="8"/>
    <s v="No"/>
    <x v="3"/>
    <x v="0"/>
    <x v="0"/>
    <x v="47"/>
    <x v="3"/>
    <x v="6"/>
    <x v="2"/>
    <n v="65"/>
    <n v="0"/>
  </r>
  <r>
    <n v="1120"/>
    <x v="50"/>
    <x v="0"/>
    <s v="Jewelry"/>
    <x v="3"/>
    <n v="36"/>
    <s v="Louisiana"/>
    <s v="M"/>
    <s v="Indigo"/>
    <x v="1"/>
    <x v="0"/>
    <s v="No"/>
    <x v="3"/>
    <x v="0"/>
    <x v="0"/>
    <x v="13"/>
    <x v="2"/>
    <x v="1"/>
    <x v="2"/>
    <n v="36"/>
    <n v="0"/>
  </r>
  <r>
    <n v="1121"/>
    <x v="40"/>
    <x v="0"/>
    <s v="Sneakers"/>
    <x v="1"/>
    <n v="84"/>
    <s v="Pennsylvania"/>
    <s v="M"/>
    <s v="Magenta"/>
    <x v="0"/>
    <x v="17"/>
    <s v="No"/>
    <x v="2"/>
    <x v="0"/>
    <x v="0"/>
    <x v="19"/>
    <x v="5"/>
    <x v="5"/>
    <x v="1"/>
    <n v="84"/>
    <n v="0"/>
  </r>
  <r>
    <n v="1122"/>
    <x v="6"/>
    <x v="0"/>
    <s v="T-shirt"/>
    <x v="0"/>
    <n v="58"/>
    <s v="Florida"/>
    <s v="XL"/>
    <s v="Peach"/>
    <x v="3"/>
    <x v="4"/>
    <s v="No"/>
    <x v="0"/>
    <x v="0"/>
    <x v="0"/>
    <x v="29"/>
    <x v="1"/>
    <x v="3"/>
    <x v="0"/>
    <n v="58"/>
    <n v="0"/>
  </r>
  <r>
    <n v="1123"/>
    <x v="27"/>
    <x v="0"/>
    <s v="Handbag"/>
    <x v="3"/>
    <n v="62"/>
    <s v="North Carolina"/>
    <s v="S"/>
    <s v="Charcoal"/>
    <x v="1"/>
    <x v="24"/>
    <s v="No"/>
    <x v="4"/>
    <x v="0"/>
    <x v="0"/>
    <x v="45"/>
    <x v="2"/>
    <x v="2"/>
    <x v="0"/>
    <n v="62"/>
    <n v="0"/>
  </r>
  <r>
    <n v="1124"/>
    <x v="24"/>
    <x v="0"/>
    <s v="Hat"/>
    <x v="3"/>
    <n v="67"/>
    <s v="Massachusetts"/>
    <s v="S"/>
    <s v="Purple"/>
    <x v="3"/>
    <x v="25"/>
    <s v="No"/>
    <x v="5"/>
    <x v="0"/>
    <x v="0"/>
    <x v="25"/>
    <x v="1"/>
    <x v="5"/>
    <x v="2"/>
    <n v="67"/>
    <n v="0"/>
  </r>
  <r>
    <n v="1125"/>
    <x v="32"/>
    <x v="0"/>
    <s v="Sweater"/>
    <x v="0"/>
    <n v="20"/>
    <s v="Iowa"/>
    <s v="M"/>
    <s v="Orange"/>
    <x v="1"/>
    <x v="8"/>
    <s v="No"/>
    <x v="0"/>
    <x v="0"/>
    <x v="0"/>
    <x v="19"/>
    <x v="1"/>
    <x v="3"/>
    <x v="2"/>
    <n v="20"/>
    <n v="0"/>
  </r>
  <r>
    <n v="1126"/>
    <x v="7"/>
    <x v="0"/>
    <s v="Sandals"/>
    <x v="1"/>
    <n v="90"/>
    <s v="North Dakota"/>
    <s v="M"/>
    <s v="Lavender"/>
    <x v="2"/>
    <x v="2"/>
    <s v="No"/>
    <x v="4"/>
    <x v="0"/>
    <x v="0"/>
    <x v="9"/>
    <x v="4"/>
    <x v="1"/>
    <x v="2"/>
    <n v="90"/>
    <n v="0"/>
  </r>
  <r>
    <n v="1127"/>
    <x v="51"/>
    <x v="0"/>
    <s v="Scarf"/>
    <x v="3"/>
    <n v="58"/>
    <s v="Iowa"/>
    <s v="L"/>
    <s v="Beige"/>
    <x v="0"/>
    <x v="23"/>
    <s v="No"/>
    <x v="3"/>
    <x v="0"/>
    <x v="0"/>
    <x v="39"/>
    <x v="0"/>
    <x v="0"/>
    <x v="1"/>
    <n v="58"/>
    <n v="0"/>
  </r>
  <r>
    <n v="1128"/>
    <x v="2"/>
    <x v="0"/>
    <s v="Shirt"/>
    <x v="0"/>
    <n v="53"/>
    <s v="Delaware"/>
    <s v="XL"/>
    <s v="Maroon"/>
    <x v="1"/>
    <x v="6"/>
    <s v="No"/>
    <x v="5"/>
    <x v="0"/>
    <x v="0"/>
    <x v="17"/>
    <x v="5"/>
    <x v="5"/>
    <x v="2"/>
    <n v="53"/>
    <n v="0"/>
  </r>
  <r>
    <n v="1129"/>
    <x v="19"/>
    <x v="0"/>
    <s v="Gloves"/>
    <x v="3"/>
    <n v="30"/>
    <s v="New York"/>
    <s v="L"/>
    <s v="Charcoal"/>
    <x v="0"/>
    <x v="10"/>
    <s v="No"/>
    <x v="2"/>
    <x v="0"/>
    <x v="0"/>
    <x v="31"/>
    <x v="5"/>
    <x v="5"/>
    <x v="0"/>
    <n v="30"/>
    <n v="0"/>
  </r>
  <r>
    <n v="1130"/>
    <x v="43"/>
    <x v="0"/>
    <s v="Hoodie"/>
    <x v="0"/>
    <n v="65"/>
    <s v="New Hampshire"/>
    <s v="XL"/>
    <s v="White"/>
    <x v="0"/>
    <x v="10"/>
    <s v="No"/>
    <x v="0"/>
    <x v="0"/>
    <x v="0"/>
    <x v="15"/>
    <x v="0"/>
    <x v="0"/>
    <x v="2"/>
    <n v="65"/>
    <n v="0"/>
  </r>
  <r>
    <n v="1131"/>
    <x v="29"/>
    <x v="0"/>
    <s v="Jewelry"/>
    <x v="3"/>
    <n v="41"/>
    <s v="Kentucky"/>
    <s v="M"/>
    <s v="Lavender"/>
    <x v="2"/>
    <x v="20"/>
    <s v="No"/>
    <x v="3"/>
    <x v="0"/>
    <x v="0"/>
    <x v="48"/>
    <x v="3"/>
    <x v="4"/>
    <x v="0"/>
    <n v="41"/>
    <n v="0"/>
  </r>
  <r>
    <n v="1132"/>
    <x v="29"/>
    <x v="0"/>
    <s v="Shirt"/>
    <x v="0"/>
    <n v="73"/>
    <s v="Illinois"/>
    <s v="M"/>
    <s v="Black"/>
    <x v="1"/>
    <x v="18"/>
    <s v="No"/>
    <x v="0"/>
    <x v="0"/>
    <x v="0"/>
    <x v="41"/>
    <x v="4"/>
    <x v="5"/>
    <x v="0"/>
    <n v="73"/>
    <n v="0"/>
  </r>
  <r>
    <n v="1133"/>
    <x v="2"/>
    <x v="0"/>
    <s v="Hoodie"/>
    <x v="0"/>
    <n v="98"/>
    <s v="North Carolina"/>
    <s v="S"/>
    <s v="Teal"/>
    <x v="1"/>
    <x v="24"/>
    <s v="No"/>
    <x v="5"/>
    <x v="0"/>
    <x v="0"/>
    <x v="29"/>
    <x v="1"/>
    <x v="0"/>
    <x v="2"/>
    <n v="98"/>
    <n v="0"/>
  </r>
  <r>
    <n v="1134"/>
    <x v="24"/>
    <x v="0"/>
    <s v="Shoes"/>
    <x v="1"/>
    <n v="36"/>
    <s v="Connecticut"/>
    <s v="XL"/>
    <s v="Magenta"/>
    <x v="0"/>
    <x v="7"/>
    <s v="No"/>
    <x v="4"/>
    <x v="0"/>
    <x v="0"/>
    <x v="32"/>
    <x v="1"/>
    <x v="1"/>
    <x v="2"/>
    <n v="36"/>
    <n v="0"/>
  </r>
  <r>
    <n v="1135"/>
    <x v="46"/>
    <x v="0"/>
    <s v="T-shirt"/>
    <x v="0"/>
    <n v="81"/>
    <s v="Wisconsin"/>
    <s v="M"/>
    <s v="Brown"/>
    <x v="2"/>
    <x v="12"/>
    <s v="No"/>
    <x v="0"/>
    <x v="0"/>
    <x v="0"/>
    <x v="1"/>
    <x v="0"/>
    <x v="6"/>
    <x v="0"/>
    <n v="81"/>
    <n v="0"/>
  </r>
  <r>
    <n v="1136"/>
    <x v="13"/>
    <x v="0"/>
    <s v="Skirt"/>
    <x v="0"/>
    <n v="90"/>
    <s v="Massachusetts"/>
    <s v="L"/>
    <s v="Peach"/>
    <x v="0"/>
    <x v="15"/>
    <s v="No"/>
    <x v="4"/>
    <x v="0"/>
    <x v="0"/>
    <x v="18"/>
    <x v="4"/>
    <x v="3"/>
    <x v="0"/>
    <n v="90"/>
    <n v="0"/>
  </r>
  <r>
    <n v="1137"/>
    <x v="51"/>
    <x v="0"/>
    <s v="Handbag"/>
    <x v="3"/>
    <n v="83"/>
    <s v="Illinois"/>
    <s v="S"/>
    <s v="Cyan"/>
    <x v="2"/>
    <x v="6"/>
    <s v="No"/>
    <x v="1"/>
    <x v="0"/>
    <x v="0"/>
    <x v="10"/>
    <x v="1"/>
    <x v="5"/>
    <x v="1"/>
    <n v="83"/>
    <n v="0"/>
  </r>
  <r>
    <n v="1138"/>
    <x v="5"/>
    <x v="0"/>
    <s v="Shirt"/>
    <x v="0"/>
    <n v="91"/>
    <s v="New Mexico"/>
    <s v="XL"/>
    <s v="Pink"/>
    <x v="0"/>
    <x v="11"/>
    <s v="No"/>
    <x v="4"/>
    <x v="0"/>
    <x v="0"/>
    <x v="20"/>
    <x v="4"/>
    <x v="6"/>
    <x v="2"/>
    <n v="91"/>
    <n v="0"/>
  </r>
  <r>
    <n v="1139"/>
    <x v="20"/>
    <x v="0"/>
    <s v="Pants"/>
    <x v="0"/>
    <n v="36"/>
    <s v="Iowa"/>
    <s v="M"/>
    <s v="Purple"/>
    <x v="2"/>
    <x v="10"/>
    <s v="No"/>
    <x v="0"/>
    <x v="0"/>
    <x v="0"/>
    <x v="18"/>
    <x v="0"/>
    <x v="0"/>
    <x v="1"/>
    <n v="36"/>
    <n v="0"/>
  </r>
  <r>
    <n v="1140"/>
    <x v="44"/>
    <x v="0"/>
    <s v="Coat"/>
    <x v="2"/>
    <n v="53"/>
    <s v="Alabama"/>
    <s v="L"/>
    <s v="Purple"/>
    <x v="1"/>
    <x v="20"/>
    <s v="No"/>
    <x v="3"/>
    <x v="0"/>
    <x v="0"/>
    <x v="38"/>
    <x v="5"/>
    <x v="4"/>
    <x v="0"/>
    <n v="53"/>
    <n v="0"/>
  </r>
  <r>
    <n v="1141"/>
    <x v="18"/>
    <x v="0"/>
    <s v="Jeans"/>
    <x v="0"/>
    <n v="39"/>
    <s v="Maryland"/>
    <s v="M"/>
    <s v="White"/>
    <x v="0"/>
    <x v="5"/>
    <s v="No"/>
    <x v="5"/>
    <x v="0"/>
    <x v="0"/>
    <x v="49"/>
    <x v="2"/>
    <x v="6"/>
    <x v="2"/>
    <n v="39"/>
    <n v="0"/>
  </r>
  <r>
    <n v="1142"/>
    <x v="31"/>
    <x v="0"/>
    <s v="Gloves"/>
    <x v="3"/>
    <n v="33"/>
    <s v="Ohio"/>
    <s v="S"/>
    <s v="Silver"/>
    <x v="0"/>
    <x v="10"/>
    <s v="No"/>
    <x v="2"/>
    <x v="0"/>
    <x v="0"/>
    <x v="2"/>
    <x v="3"/>
    <x v="0"/>
    <x v="2"/>
    <n v="33"/>
    <n v="0"/>
  </r>
  <r>
    <n v="1143"/>
    <x v="28"/>
    <x v="0"/>
    <s v="T-shirt"/>
    <x v="0"/>
    <n v="76"/>
    <s v="Ohio"/>
    <s v="L"/>
    <s v="Green"/>
    <x v="1"/>
    <x v="1"/>
    <s v="No"/>
    <x v="5"/>
    <x v="0"/>
    <x v="0"/>
    <x v="46"/>
    <x v="0"/>
    <x v="4"/>
    <x v="0"/>
    <n v="76"/>
    <n v="0"/>
  </r>
  <r>
    <n v="1144"/>
    <x v="33"/>
    <x v="0"/>
    <s v="Boots"/>
    <x v="1"/>
    <n v="23"/>
    <s v="Nevada"/>
    <s v="L"/>
    <s v="Teal"/>
    <x v="0"/>
    <x v="14"/>
    <s v="No"/>
    <x v="3"/>
    <x v="0"/>
    <x v="0"/>
    <x v="34"/>
    <x v="3"/>
    <x v="3"/>
    <x v="0"/>
    <n v="23"/>
    <n v="0"/>
  </r>
  <r>
    <n v="1145"/>
    <x v="38"/>
    <x v="0"/>
    <s v="Jeans"/>
    <x v="0"/>
    <n v="54"/>
    <s v="South Carolina"/>
    <s v="S"/>
    <s v="Indigo"/>
    <x v="3"/>
    <x v="14"/>
    <s v="No"/>
    <x v="4"/>
    <x v="0"/>
    <x v="0"/>
    <x v="29"/>
    <x v="4"/>
    <x v="0"/>
    <x v="2"/>
    <n v="54"/>
    <n v="0"/>
  </r>
  <r>
    <n v="1146"/>
    <x v="18"/>
    <x v="0"/>
    <s v="Sneakers"/>
    <x v="1"/>
    <n v="89"/>
    <s v="Nevada"/>
    <s v="L"/>
    <s v="Pink"/>
    <x v="2"/>
    <x v="21"/>
    <s v="No"/>
    <x v="0"/>
    <x v="0"/>
    <x v="0"/>
    <x v="48"/>
    <x v="1"/>
    <x v="6"/>
    <x v="2"/>
    <n v="89"/>
    <n v="0"/>
  </r>
  <r>
    <n v="1147"/>
    <x v="39"/>
    <x v="0"/>
    <s v="Sneakers"/>
    <x v="1"/>
    <n v="38"/>
    <s v="Wisconsin"/>
    <s v="M"/>
    <s v="Indigo"/>
    <x v="2"/>
    <x v="19"/>
    <s v="No"/>
    <x v="3"/>
    <x v="0"/>
    <x v="0"/>
    <x v="22"/>
    <x v="4"/>
    <x v="6"/>
    <x v="2"/>
    <n v="38"/>
    <n v="0"/>
  </r>
  <r>
    <n v="1148"/>
    <x v="35"/>
    <x v="0"/>
    <s v="Hat"/>
    <x v="3"/>
    <n v="36"/>
    <s v="Tennessee"/>
    <s v="XL"/>
    <s v="Red"/>
    <x v="0"/>
    <x v="24"/>
    <s v="No"/>
    <x v="2"/>
    <x v="0"/>
    <x v="0"/>
    <x v="14"/>
    <x v="5"/>
    <x v="2"/>
    <x v="0"/>
    <n v="36"/>
    <n v="0"/>
  </r>
  <r>
    <n v="1149"/>
    <x v="50"/>
    <x v="0"/>
    <s v="Pants"/>
    <x v="0"/>
    <n v="66"/>
    <s v="Florida"/>
    <s v="M"/>
    <s v="Violet"/>
    <x v="1"/>
    <x v="5"/>
    <s v="No"/>
    <x v="5"/>
    <x v="0"/>
    <x v="0"/>
    <x v="9"/>
    <x v="3"/>
    <x v="0"/>
    <x v="2"/>
    <n v="66"/>
    <n v="0"/>
  </r>
  <r>
    <n v="1150"/>
    <x v="3"/>
    <x v="0"/>
    <s v="Jewelry"/>
    <x v="3"/>
    <n v="42"/>
    <s v="Georgia"/>
    <s v="L"/>
    <s v="Cyan"/>
    <x v="1"/>
    <x v="13"/>
    <s v="No"/>
    <x v="5"/>
    <x v="0"/>
    <x v="0"/>
    <x v="19"/>
    <x v="0"/>
    <x v="2"/>
    <x v="1"/>
    <n v="42"/>
    <n v="0"/>
  </r>
  <r>
    <n v="1151"/>
    <x v="26"/>
    <x v="0"/>
    <s v="Jewelry"/>
    <x v="3"/>
    <n v="36"/>
    <s v="Kentucky"/>
    <s v="S"/>
    <s v="Red"/>
    <x v="0"/>
    <x v="2"/>
    <s v="No"/>
    <x v="2"/>
    <x v="0"/>
    <x v="0"/>
    <x v="16"/>
    <x v="0"/>
    <x v="4"/>
    <x v="2"/>
    <n v="36"/>
    <n v="0"/>
  </r>
  <r>
    <n v="1152"/>
    <x v="38"/>
    <x v="0"/>
    <s v="Blouse"/>
    <x v="0"/>
    <n v="86"/>
    <s v="Ohio"/>
    <s v="M"/>
    <s v="Gray"/>
    <x v="1"/>
    <x v="19"/>
    <s v="No"/>
    <x v="0"/>
    <x v="0"/>
    <x v="0"/>
    <x v="37"/>
    <x v="2"/>
    <x v="1"/>
    <x v="2"/>
    <n v="86"/>
    <n v="0"/>
  </r>
  <r>
    <n v="1153"/>
    <x v="46"/>
    <x v="0"/>
    <s v="Handbag"/>
    <x v="3"/>
    <n v="49"/>
    <s v="Connecticut"/>
    <s v="M"/>
    <s v="Gold"/>
    <x v="3"/>
    <x v="17"/>
    <s v="No"/>
    <x v="3"/>
    <x v="0"/>
    <x v="0"/>
    <x v="6"/>
    <x v="3"/>
    <x v="6"/>
    <x v="0"/>
    <n v="49"/>
    <n v="0"/>
  </r>
  <r>
    <n v="1154"/>
    <x v="7"/>
    <x v="0"/>
    <s v="Shirt"/>
    <x v="0"/>
    <n v="41"/>
    <s v="Idaho"/>
    <s v="M"/>
    <s v="Pink"/>
    <x v="2"/>
    <x v="17"/>
    <s v="No"/>
    <x v="1"/>
    <x v="0"/>
    <x v="0"/>
    <x v="49"/>
    <x v="4"/>
    <x v="3"/>
    <x v="2"/>
    <n v="41"/>
    <n v="0"/>
  </r>
  <r>
    <n v="1155"/>
    <x v="34"/>
    <x v="0"/>
    <s v="Dress"/>
    <x v="0"/>
    <n v="82"/>
    <s v="Georgia"/>
    <s v="L"/>
    <s v="Cyan"/>
    <x v="1"/>
    <x v="3"/>
    <s v="No"/>
    <x v="4"/>
    <x v="0"/>
    <x v="0"/>
    <x v="12"/>
    <x v="2"/>
    <x v="4"/>
    <x v="2"/>
    <n v="82"/>
    <n v="0"/>
  </r>
  <r>
    <n v="1156"/>
    <x v="29"/>
    <x v="0"/>
    <s v="T-shirt"/>
    <x v="0"/>
    <n v="53"/>
    <s v="Tennessee"/>
    <s v="S"/>
    <s v="Red"/>
    <x v="3"/>
    <x v="5"/>
    <s v="No"/>
    <x v="0"/>
    <x v="0"/>
    <x v="0"/>
    <x v="39"/>
    <x v="3"/>
    <x v="3"/>
    <x v="0"/>
    <n v="53"/>
    <n v="0"/>
  </r>
  <r>
    <n v="1157"/>
    <x v="30"/>
    <x v="0"/>
    <s v="Shoes"/>
    <x v="1"/>
    <n v="21"/>
    <s v="Hawaii"/>
    <s v="M"/>
    <s v="Gold"/>
    <x v="2"/>
    <x v="6"/>
    <s v="No"/>
    <x v="0"/>
    <x v="0"/>
    <x v="0"/>
    <x v="49"/>
    <x v="0"/>
    <x v="6"/>
    <x v="1"/>
    <n v="21"/>
    <n v="0"/>
  </r>
  <r>
    <n v="1158"/>
    <x v="43"/>
    <x v="0"/>
    <s v="Belt"/>
    <x v="3"/>
    <n v="66"/>
    <s v="Maryland"/>
    <s v="M"/>
    <s v="Charcoal"/>
    <x v="3"/>
    <x v="14"/>
    <s v="No"/>
    <x v="3"/>
    <x v="0"/>
    <x v="0"/>
    <x v="47"/>
    <x v="1"/>
    <x v="3"/>
    <x v="2"/>
    <n v="66"/>
    <n v="0"/>
  </r>
  <r>
    <n v="1159"/>
    <x v="28"/>
    <x v="0"/>
    <s v="Belt"/>
    <x v="3"/>
    <n v="89"/>
    <s v="Nevada"/>
    <s v="L"/>
    <s v="Orange"/>
    <x v="2"/>
    <x v="17"/>
    <s v="No"/>
    <x v="4"/>
    <x v="0"/>
    <x v="0"/>
    <x v="23"/>
    <x v="4"/>
    <x v="2"/>
    <x v="0"/>
    <n v="89"/>
    <n v="0"/>
  </r>
  <r>
    <n v="1160"/>
    <x v="17"/>
    <x v="0"/>
    <s v="Handbag"/>
    <x v="3"/>
    <n v="55"/>
    <s v="New Hampshire"/>
    <s v="L"/>
    <s v="Blue"/>
    <x v="3"/>
    <x v="15"/>
    <s v="No"/>
    <x v="4"/>
    <x v="0"/>
    <x v="0"/>
    <x v="15"/>
    <x v="0"/>
    <x v="6"/>
    <x v="0"/>
    <n v="55"/>
    <n v="0"/>
  </r>
  <r>
    <n v="1161"/>
    <x v="43"/>
    <x v="0"/>
    <s v="Scarf"/>
    <x v="3"/>
    <n v="42"/>
    <s v="North Dakota"/>
    <s v="S"/>
    <s v="Blue"/>
    <x v="2"/>
    <x v="4"/>
    <s v="No"/>
    <x v="2"/>
    <x v="0"/>
    <x v="0"/>
    <x v="44"/>
    <x v="0"/>
    <x v="4"/>
    <x v="2"/>
    <n v="42"/>
    <n v="0"/>
  </r>
  <r>
    <n v="1162"/>
    <x v="6"/>
    <x v="0"/>
    <s v="Shorts"/>
    <x v="0"/>
    <n v="52"/>
    <s v="Oklahoma"/>
    <s v="S"/>
    <s v="Orange"/>
    <x v="3"/>
    <x v="0"/>
    <s v="No"/>
    <x v="4"/>
    <x v="0"/>
    <x v="0"/>
    <x v="10"/>
    <x v="3"/>
    <x v="5"/>
    <x v="0"/>
    <n v="52"/>
    <n v="0"/>
  </r>
  <r>
    <n v="1163"/>
    <x v="36"/>
    <x v="0"/>
    <s v="Sandals"/>
    <x v="1"/>
    <n v="92"/>
    <s v="North Carolina"/>
    <s v="M"/>
    <s v="Blue"/>
    <x v="0"/>
    <x v="19"/>
    <s v="No"/>
    <x v="0"/>
    <x v="0"/>
    <x v="0"/>
    <x v="21"/>
    <x v="3"/>
    <x v="1"/>
    <x v="2"/>
    <n v="92"/>
    <n v="0"/>
  </r>
  <r>
    <n v="1164"/>
    <x v="8"/>
    <x v="0"/>
    <s v="Pants"/>
    <x v="0"/>
    <n v="56"/>
    <s v="Tennessee"/>
    <s v="L"/>
    <s v="White"/>
    <x v="2"/>
    <x v="21"/>
    <s v="No"/>
    <x v="4"/>
    <x v="0"/>
    <x v="0"/>
    <x v="37"/>
    <x v="5"/>
    <x v="5"/>
    <x v="2"/>
    <n v="56"/>
    <n v="0"/>
  </r>
  <r>
    <n v="1165"/>
    <x v="33"/>
    <x v="0"/>
    <s v="Dress"/>
    <x v="0"/>
    <n v="96"/>
    <s v="Montana"/>
    <s v="M"/>
    <s v="Green"/>
    <x v="0"/>
    <x v="19"/>
    <s v="No"/>
    <x v="3"/>
    <x v="0"/>
    <x v="0"/>
    <x v="39"/>
    <x v="3"/>
    <x v="3"/>
    <x v="0"/>
    <n v="96"/>
    <n v="0"/>
  </r>
  <r>
    <n v="1166"/>
    <x v="47"/>
    <x v="0"/>
    <s v="T-shirt"/>
    <x v="0"/>
    <n v="64"/>
    <s v="Wisconsin"/>
    <s v="M"/>
    <s v="Silver"/>
    <x v="0"/>
    <x v="3"/>
    <s v="No"/>
    <x v="2"/>
    <x v="0"/>
    <x v="0"/>
    <x v="33"/>
    <x v="0"/>
    <x v="6"/>
    <x v="0"/>
    <n v="64"/>
    <n v="0"/>
  </r>
  <r>
    <n v="1167"/>
    <x v="39"/>
    <x v="0"/>
    <s v="Dress"/>
    <x v="0"/>
    <n v="48"/>
    <s v="Connecticut"/>
    <s v="S"/>
    <s v="Lavender"/>
    <x v="0"/>
    <x v="18"/>
    <s v="No"/>
    <x v="5"/>
    <x v="0"/>
    <x v="0"/>
    <x v="17"/>
    <x v="0"/>
    <x v="0"/>
    <x v="2"/>
    <n v="48"/>
    <n v="0"/>
  </r>
  <r>
    <n v="1168"/>
    <x v="52"/>
    <x v="0"/>
    <s v="Socks"/>
    <x v="0"/>
    <n v="83"/>
    <s v="New Jersey"/>
    <s v="XL"/>
    <s v="Beige"/>
    <x v="2"/>
    <x v="15"/>
    <s v="No"/>
    <x v="1"/>
    <x v="0"/>
    <x v="0"/>
    <x v="20"/>
    <x v="3"/>
    <x v="3"/>
    <x v="0"/>
    <n v="83"/>
    <n v="0"/>
  </r>
  <r>
    <n v="1169"/>
    <x v="33"/>
    <x v="0"/>
    <s v="Scarf"/>
    <x v="3"/>
    <n v="91"/>
    <s v="Mississippi"/>
    <s v="L"/>
    <s v="Violet"/>
    <x v="2"/>
    <x v="15"/>
    <s v="No"/>
    <x v="3"/>
    <x v="0"/>
    <x v="0"/>
    <x v="10"/>
    <x v="5"/>
    <x v="0"/>
    <x v="0"/>
    <n v="91"/>
    <n v="0"/>
  </r>
  <r>
    <n v="1170"/>
    <x v="15"/>
    <x v="0"/>
    <s v="Backpack"/>
    <x v="3"/>
    <n v="94"/>
    <s v="Wyoming"/>
    <s v="S"/>
    <s v="Gray"/>
    <x v="3"/>
    <x v="9"/>
    <s v="No"/>
    <x v="4"/>
    <x v="0"/>
    <x v="0"/>
    <x v="35"/>
    <x v="1"/>
    <x v="2"/>
    <x v="1"/>
    <n v="94"/>
    <n v="0"/>
  </r>
  <r>
    <n v="1171"/>
    <x v="9"/>
    <x v="0"/>
    <s v="Skirt"/>
    <x v="0"/>
    <n v="62"/>
    <s v="Illinois"/>
    <s v="S"/>
    <s v="Red"/>
    <x v="1"/>
    <x v="4"/>
    <s v="No"/>
    <x v="0"/>
    <x v="0"/>
    <x v="0"/>
    <x v="42"/>
    <x v="1"/>
    <x v="4"/>
    <x v="0"/>
    <n v="62"/>
    <n v="0"/>
  </r>
  <r>
    <n v="1172"/>
    <x v="38"/>
    <x v="0"/>
    <s v="Socks"/>
    <x v="0"/>
    <n v="55"/>
    <s v="Louisiana"/>
    <s v="M"/>
    <s v="Lavender"/>
    <x v="1"/>
    <x v="20"/>
    <s v="No"/>
    <x v="2"/>
    <x v="0"/>
    <x v="0"/>
    <x v="28"/>
    <x v="5"/>
    <x v="2"/>
    <x v="2"/>
    <n v="55"/>
    <n v="0"/>
  </r>
  <r>
    <n v="1173"/>
    <x v="35"/>
    <x v="0"/>
    <s v="Coat"/>
    <x v="2"/>
    <n v="68"/>
    <s v="Oregon"/>
    <s v="L"/>
    <s v="Peach"/>
    <x v="1"/>
    <x v="12"/>
    <s v="No"/>
    <x v="5"/>
    <x v="0"/>
    <x v="0"/>
    <x v="38"/>
    <x v="4"/>
    <x v="4"/>
    <x v="0"/>
    <n v="68"/>
    <n v="0"/>
  </r>
  <r>
    <n v="1174"/>
    <x v="42"/>
    <x v="0"/>
    <s v="Jewelry"/>
    <x v="3"/>
    <n v="76"/>
    <s v="South Dakota"/>
    <s v="M"/>
    <s v="Indigo"/>
    <x v="0"/>
    <x v="25"/>
    <s v="No"/>
    <x v="0"/>
    <x v="0"/>
    <x v="0"/>
    <x v="38"/>
    <x v="1"/>
    <x v="4"/>
    <x v="2"/>
    <n v="76"/>
    <n v="0"/>
  </r>
  <r>
    <n v="1175"/>
    <x v="32"/>
    <x v="0"/>
    <s v="Backpack"/>
    <x v="3"/>
    <n v="31"/>
    <s v="Michigan"/>
    <s v="M"/>
    <s v="Black"/>
    <x v="0"/>
    <x v="24"/>
    <s v="No"/>
    <x v="0"/>
    <x v="0"/>
    <x v="0"/>
    <x v="5"/>
    <x v="4"/>
    <x v="4"/>
    <x v="2"/>
    <n v="31"/>
    <n v="0"/>
  </r>
  <r>
    <n v="1176"/>
    <x v="25"/>
    <x v="0"/>
    <s v="Belt"/>
    <x v="3"/>
    <n v="81"/>
    <s v="New Jersey"/>
    <s v="M"/>
    <s v="Beige"/>
    <x v="1"/>
    <x v="7"/>
    <s v="No"/>
    <x v="5"/>
    <x v="0"/>
    <x v="0"/>
    <x v="8"/>
    <x v="3"/>
    <x v="3"/>
    <x v="2"/>
    <n v="81"/>
    <n v="0"/>
  </r>
  <r>
    <n v="1177"/>
    <x v="24"/>
    <x v="0"/>
    <s v="Dress"/>
    <x v="0"/>
    <n v="83"/>
    <s v="Oregon"/>
    <s v="M"/>
    <s v="Red"/>
    <x v="0"/>
    <x v="12"/>
    <s v="No"/>
    <x v="1"/>
    <x v="0"/>
    <x v="0"/>
    <x v="30"/>
    <x v="3"/>
    <x v="3"/>
    <x v="2"/>
    <n v="83"/>
    <n v="0"/>
  </r>
  <r>
    <n v="1178"/>
    <x v="22"/>
    <x v="0"/>
    <s v="Skirt"/>
    <x v="0"/>
    <n v="21"/>
    <s v="Iowa"/>
    <s v="M"/>
    <s v="Black"/>
    <x v="1"/>
    <x v="6"/>
    <s v="No"/>
    <x v="3"/>
    <x v="0"/>
    <x v="0"/>
    <x v="37"/>
    <x v="5"/>
    <x v="5"/>
    <x v="0"/>
    <n v="21"/>
    <n v="0"/>
  </r>
  <r>
    <n v="1179"/>
    <x v="43"/>
    <x v="0"/>
    <s v="Dress"/>
    <x v="0"/>
    <n v="22"/>
    <s v="South Carolina"/>
    <s v="M"/>
    <s v="Teal"/>
    <x v="1"/>
    <x v="8"/>
    <s v="No"/>
    <x v="0"/>
    <x v="0"/>
    <x v="0"/>
    <x v="2"/>
    <x v="5"/>
    <x v="2"/>
    <x v="2"/>
    <n v="22"/>
    <n v="0"/>
  </r>
  <r>
    <n v="1180"/>
    <x v="30"/>
    <x v="0"/>
    <s v="T-shirt"/>
    <x v="0"/>
    <n v="33"/>
    <s v="Indiana"/>
    <s v="M"/>
    <s v="Blue"/>
    <x v="2"/>
    <x v="11"/>
    <s v="No"/>
    <x v="1"/>
    <x v="0"/>
    <x v="0"/>
    <x v="12"/>
    <x v="4"/>
    <x v="2"/>
    <x v="1"/>
    <n v="33"/>
    <n v="0"/>
  </r>
  <r>
    <n v="1181"/>
    <x v="51"/>
    <x v="0"/>
    <s v="Skirt"/>
    <x v="0"/>
    <n v="23"/>
    <s v="Oregon"/>
    <s v="S"/>
    <s v="Beige"/>
    <x v="1"/>
    <x v="8"/>
    <s v="No"/>
    <x v="3"/>
    <x v="0"/>
    <x v="0"/>
    <x v="11"/>
    <x v="1"/>
    <x v="5"/>
    <x v="1"/>
    <n v="23"/>
    <n v="0"/>
  </r>
  <r>
    <n v="1182"/>
    <x v="12"/>
    <x v="0"/>
    <s v="Shorts"/>
    <x v="0"/>
    <n v="96"/>
    <s v="New York"/>
    <s v="L"/>
    <s v="Teal"/>
    <x v="2"/>
    <x v="1"/>
    <s v="No"/>
    <x v="1"/>
    <x v="0"/>
    <x v="0"/>
    <x v="34"/>
    <x v="4"/>
    <x v="3"/>
    <x v="0"/>
    <n v="96"/>
    <n v="0"/>
  </r>
  <r>
    <n v="1183"/>
    <x v="43"/>
    <x v="0"/>
    <s v="Jewelry"/>
    <x v="3"/>
    <n v="21"/>
    <s v="New Mexico"/>
    <s v="M"/>
    <s v="Maroon"/>
    <x v="1"/>
    <x v="22"/>
    <s v="No"/>
    <x v="0"/>
    <x v="0"/>
    <x v="0"/>
    <x v="24"/>
    <x v="3"/>
    <x v="3"/>
    <x v="2"/>
    <n v="21"/>
    <n v="0"/>
  </r>
  <r>
    <n v="1184"/>
    <x v="51"/>
    <x v="0"/>
    <s v="Pants"/>
    <x v="0"/>
    <n v="39"/>
    <s v="Louisiana"/>
    <s v="M"/>
    <s v="Yellow"/>
    <x v="1"/>
    <x v="9"/>
    <s v="No"/>
    <x v="4"/>
    <x v="0"/>
    <x v="0"/>
    <x v="7"/>
    <x v="2"/>
    <x v="1"/>
    <x v="1"/>
    <n v="39"/>
    <n v="0"/>
  </r>
  <r>
    <n v="1185"/>
    <x v="6"/>
    <x v="0"/>
    <s v="Belt"/>
    <x v="3"/>
    <n v="73"/>
    <s v="South Carolina"/>
    <s v="S"/>
    <s v="Indigo"/>
    <x v="3"/>
    <x v="23"/>
    <s v="No"/>
    <x v="0"/>
    <x v="0"/>
    <x v="0"/>
    <x v="5"/>
    <x v="2"/>
    <x v="2"/>
    <x v="0"/>
    <n v="73"/>
    <n v="0"/>
  </r>
  <r>
    <n v="1186"/>
    <x v="36"/>
    <x v="0"/>
    <s v="Jeans"/>
    <x v="0"/>
    <n v="64"/>
    <s v="Maine"/>
    <s v="M"/>
    <s v="Magenta"/>
    <x v="1"/>
    <x v="20"/>
    <s v="No"/>
    <x v="3"/>
    <x v="0"/>
    <x v="0"/>
    <x v="32"/>
    <x v="2"/>
    <x v="5"/>
    <x v="2"/>
    <n v="64"/>
    <n v="0"/>
  </r>
  <r>
    <n v="1187"/>
    <x v="6"/>
    <x v="0"/>
    <s v="Jeans"/>
    <x v="0"/>
    <n v="68"/>
    <s v="Indiana"/>
    <s v="M"/>
    <s v="Beige"/>
    <x v="2"/>
    <x v="7"/>
    <s v="No"/>
    <x v="4"/>
    <x v="0"/>
    <x v="0"/>
    <x v="46"/>
    <x v="2"/>
    <x v="2"/>
    <x v="0"/>
    <n v="68"/>
    <n v="0"/>
  </r>
  <r>
    <n v="1188"/>
    <x v="19"/>
    <x v="0"/>
    <s v="Hat"/>
    <x v="3"/>
    <n v="89"/>
    <s v="Iowa"/>
    <s v="L"/>
    <s v="Maroon"/>
    <x v="3"/>
    <x v="21"/>
    <s v="No"/>
    <x v="0"/>
    <x v="0"/>
    <x v="0"/>
    <x v="10"/>
    <x v="2"/>
    <x v="6"/>
    <x v="0"/>
    <n v="89"/>
    <n v="0"/>
  </r>
  <r>
    <n v="1189"/>
    <x v="33"/>
    <x v="0"/>
    <s v="Blouse"/>
    <x v="0"/>
    <n v="29"/>
    <s v="Mississippi"/>
    <s v="M"/>
    <s v="Magenta"/>
    <x v="2"/>
    <x v="13"/>
    <s v="No"/>
    <x v="2"/>
    <x v="0"/>
    <x v="0"/>
    <x v="47"/>
    <x v="2"/>
    <x v="1"/>
    <x v="0"/>
    <n v="29"/>
    <n v="0"/>
  </r>
  <r>
    <n v="1190"/>
    <x v="14"/>
    <x v="0"/>
    <s v="Shirt"/>
    <x v="0"/>
    <n v="97"/>
    <s v="Arkansas"/>
    <s v="XL"/>
    <s v="Teal"/>
    <x v="2"/>
    <x v="8"/>
    <s v="No"/>
    <x v="1"/>
    <x v="0"/>
    <x v="0"/>
    <x v="40"/>
    <x v="5"/>
    <x v="2"/>
    <x v="0"/>
    <n v="97"/>
    <n v="0"/>
  </r>
  <r>
    <n v="1191"/>
    <x v="46"/>
    <x v="0"/>
    <s v="Shirt"/>
    <x v="0"/>
    <n v="45"/>
    <s v="South Carolina"/>
    <s v="M"/>
    <s v="Orange"/>
    <x v="0"/>
    <x v="24"/>
    <s v="No"/>
    <x v="2"/>
    <x v="0"/>
    <x v="0"/>
    <x v="4"/>
    <x v="2"/>
    <x v="1"/>
    <x v="0"/>
    <n v="45"/>
    <n v="0"/>
  </r>
  <r>
    <n v="1192"/>
    <x v="50"/>
    <x v="0"/>
    <s v="T-shirt"/>
    <x v="0"/>
    <n v="70"/>
    <s v="Indiana"/>
    <s v="L"/>
    <s v="Charcoal"/>
    <x v="0"/>
    <x v="7"/>
    <s v="No"/>
    <x v="1"/>
    <x v="0"/>
    <x v="0"/>
    <x v="16"/>
    <x v="0"/>
    <x v="3"/>
    <x v="2"/>
    <n v="70"/>
    <n v="0"/>
  </r>
  <r>
    <n v="1193"/>
    <x v="34"/>
    <x v="0"/>
    <s v="Coat"/>
    <x v="2"/>
    <n v="56"/>
    <s v="Florida"/>
    <s v="M"/>
    <s v="Turquoise"/>
    <x v="2"/>
    <x v="17"/>
    <s v="No"/>
    <x v="4"/>
    <x v="0"/>
    <x v="0"/>
    <x v="38"/>
    <x v="0"/>
    <x v="3"/>
    <x v="2"/>
    <n v="56"/>
    <n v="0"/>
  </r>
  <r>
    <n v="1194"/>
    <x v="37"/>
    <x v="0"/>
    <s v="Jacket"/>
    <x v="2"/>
    <n v="55"/>
    <s v="Alaska"/>
    <s v="L"/>
    <s v="Pink"/>
    <x v="3"/>
    <x v="16"/>
    <s v="No"/>
    <x v="4"/>
    <x v="0"/>
    <x v="0"/>
    <x v="27"/>
    <x v="2"/>
    <x v="0"/>
    <x v="2"/>
    <n v="55"/>
    <n v="0"/>
  </r>
  <r>
    <n v="1195"/>
    <x v="2"/>
    <x v="0"/>
    <s v="Hoodie"/>
    <x v="0"/>
    <n v="46"/>
    <s v="New York"/>
    <s v="S"/>
    <s v="Teal"/>
    <x v="0"/>
    <x v="0"/>
    <s v="No"/>
    <x v="4"/>
    <x v="0"/>
    <x v="0"/>
    <x v="49"/>
    <x v="2"/>
    <x v="0"/>
    <x v="2"/>
    <n v="46"/>
    <n v="0"/>
  </r>
  <r>
    <n v="1196"/>
    <x v="15"/>
    <x v="0"/>
    <s v="Scarf"/>
    <x v="3"/>
    <n v="95"/>
    <s v="Texas"/>
    <s v="M"/>
    <s v="White"/>
    <x v="0"/>
    <x v="17"/>
    <s v="No"/>
    <x v="4"/>
    <x v="0"/>
    <x v="0"/>
    <x v="42"/>
    <x v="0"/>
    <x v="5"/>
    <x v="1"/>
    <n v="95"/>
    <n v="0"/>
  </r>
  <r>
    <n v="1197"/>
    <x v="11"/>
    <x v="0"/>
    <s v="Belt"/>
    <x v="3"/>
    <n v="88"/>
    <s v="North Dakota"/>
    <s v="M"/>
    <s v="Maroon"/>
    <x v="0"/>
    <x v="4"/>
    <s v="No"/>
    <x v="4"/>
    <x v="0"/>
    <x v="0"/>
    <x v="21"/>
    <x v="4"/>
    <x v="4"/>
    <x v="2"/>
    <n v="88"/>
    <n v="0"/>
  </r>
  <r>
    <n v="1198"/>
    <x v="22"/>
    <x v="0"/>
    <s v="Sneakers"/>
    <x v="1"/>
    <n v="92"/>
    <s v="Vermont"/>
    <s v="L"/>
    <s v="Violet"/>
    <x v="3"/>
    <x v="20"/>
    <s v="No"/>
    <x v="3"/>
    <x v="0"/>
    <x v="0"/>
    <x v="8"/>
    <x v="3"/>
    <x v="2"/>
    <x v="0"/>
    <n v="92"/>
    <n v="0"/>
  </r>
  <r>
    <n v="1199"/>
    <x v="37"/>
    <x v="0"/>
    <s v="Socks"/>
    <x v="0"/>
    <n v="49"/>
    <s v="New Jersey"/>
    <s v="M"/>
    <s v="Brown"/>
    <x v="2"/>
    <x v="20"/>
    <s v="No"/>
    <x v="4"/>
    <x v="0"/>
    <x v="0"/>
    <x v="14"/>
    <x v="1"/>
    <x v="2"/>
    <x v="2"/>
    <n v="49"/>
    <n v="0"/>
  </r>
  <r>
    <n v="1200"/>
    <x v="34"/>
    <x v="0"/>
    <s v="Sandals"/>
    <x v="1"/>
    <n v="89"/>
    <s v="Maryland"/>
    <s v="M"/>
    <s v="Indigo"/>
    <x v="3"/>
    <x v="9"/>
    <s v="No"/>
    <x v="1"/>
    <x v="0"/>
    <x v="0"/>
    <x v="35"/>
    <x v="5"/>
    <x v="1"/>
    <x v="2"/>
    <n v="89"/>
    <n v="0"/>
  </r>
  <r>
    <n v="1201"/>
    <x v="7"/>
    <x v="0"/>
    <s v="Coat"/>
    <x v="2"/>
    <n v="22"/>
    <s v="Connecticut"/>
    <s v="XL"/>
    <s v="Black"/>
    <x v="0"/>
    <x v="14"/>
    <s v="No"/>
    <x v="5"/>
    <x v="0"/>
    <x v="0"/>
    <x v="22"/>
    <x v="3"/>
    <x v="1"/>
    <x v="2"/>
    <n v="22"/>
    <n v="0"/>
  </r>
  <r>
    <n v="1202"/>
    <x v="7"/>
    <x v="0"/>
    <s v="Shoes"/>
    <x v="1"/>
    <n v="61"/>
    <s v="Illinois"/>
    <s v="XL"/>
    <s v="Black"/>
    <x v="2"/>
    <x v="0"/>
    <s v="No"/>
    <x v="4"/>
    <x v="0"/>
    <x v="0"/>
    <x v="15"/>
    <x v="0"/>
    <x v="0"/>
    <x v="2"/>
    <n v="61"/>
    <n v="0"/>
  </r>
  <r>
    <n v="1203"/>
    <x v="39"/>
    <x v="0"/>
    <s v="Scarf"/>
    <x v="3"/>
    <n v="29"/>
    <s v="Maryland"/>
    <s v="S"/>
    <s v="Olive"/>
    <x v="1"/>
    <x v="3"/>
    <s v="No"/>
    <x v="3"/>
    <x v="0"/>
    <x v="0"/>
    <x v="0"/>
    <x v="0"/>
    <x v="6"/>
    <x v="2"/>
    <n v="29"/>
    <n v="0"/>
  </r>
  <r>
    <n v="1204"/>
    <x v="37"/>
    <x v="0"/>
    <s v="Sneakers"/>
    <x v="1"/>
    <n v="82"/>
    <s v="Minnesota"/>
    <s v="M"/>
    <s v="Orange"/>
    <x v="0"/>
    <x v="18"/>
    <s v="No"/>
    <x v="1"/>
    <x v="0"/>
    <x v="0"/>
    <x v="2"/>
    <x v="4"/>
    <x v="2"/>
    <x v="2"/>
    <n v="82"/>
    <n v="0"/>
  </r>
  <r>
    <n v="1205"/>
    <x v="29"/>
    <x v="0"/>
    <s v="Belt"/>
    <x v="3"/>
    <n v="94"/>
    <s v="Florida"/>
    <s v="M"/>
    <s v="Pink"/>
    <x v="1"/>
    <x v="4"/>
    <s v="No"/>
    <x v="4"/>
    <x v="0"/>
    <x v="0"/>
    <x v="41"/>
    <x v="2"/>
    <x v="6"/>
    <x v="0"/>
    <n v="94"/>
    <n v="0"/>
  </r>
  <r>
    <n v="1206"/>
    <x v="16"/>
    <x v="0"/>
    <s v="Handbag"/>
    <x v="3"/>
    <n v="99"/>
    <s v="California"/>
    <s v="M"/>
    <s v="Olive"/>
    <x v="1"/>
    <x v="1"/>
    <s v="No"/>
    <x v="3"/>
    <x v="0"/>
    <x v="0"/>
    <x v="25"/>
    <x v="4"/>
    <x v="0"/>
    <x v="0"/>
    <n v="99"/>
    <n v="0"/>
  </r>
  <r>
    <n v="1207"/>
    <x v="40"/>
    <x v="0"/>
    <s v="Handbag"/>
    <x v="3"/>
    <n v="59"/>
    <s v="Mississippi"/>
    <s v="S"/>
    <s v="Cyan"/>
    <x v="3"/>
    <x v="21"/>
    <s v="No"/>
    <x v="1"/>
    <x v="0"/>
    <x v="0"/>
    <x v="20"/>
    <x v="0"/>
    <x v="6"/>
    <x v="1"/>
    <n v="59"/>
    <n v="0"/>
  </r>
  <r>
    <n v="1208"/>
    <x v="46"/>
    <x v="0"/>
    <s v="Boots"/>
    <x v="1"/>
    <n v="90"/>
    <s v="Washington"/>
    <s v="M"/>
    <s v="White"/>
    <x v="2"/>
    <x v="7"/>
    <s v="No"/>
    <x v="2"/>
    <x v="0"/>
    <x v="0"/>
    <x v="26"/>
    <x v="2"/>
    <x v="6"/>
    <x v="0"/>
    <n v="90"/>
    <n v="0"/>
  </r>
  <r>
    <n v="1209"/>
    <x v="30"/>
    <x v="0"/>
    <s v="Boots"/>
    <x v="1"/>
    <n v="100"/>
    <s v="Wisconsin"/>
    <s v="S"/>
    <s v="Red"/>
    <x v="0"/>
    <x v="3"/>
    <s v="No"/>
    <x v="4"/>
    <x v="0"/>
    <x v="0"/>
    <x v="6"/>
    <x v="5"/>
    <x v="2"/>
    <x v="1"/>
    <n v="100"/>
    <n v="0"/>
  </r>
  <r>
    <n v="1210"/>
    <x v="38"/>
    <x v="0"/>
    <s v="Pants"/>
    <x v="0"/>
    <n v="62"/>
    <s v="Pennsylvania"/>
    <s v="M"/>
    <s v="Blue"/>
    <x v="0"/>
    <x v="22"/>
    <s v="No"/>
    <x v="2"/>
    <x v="0"/>
    <x v="0"/>
    <x v="20"/>
    <x v="4"/>
    <x v="5"/>
    <x v="2"/>
    <n v="62"/>
    <n v="0"/>
  </r>
  <r>
    <n v="1211"/>
    <x v="50"/>
    <x v="0"/>
    <s v="Sunglasses"/>
    <x v="3"/>
    <n v="78"/>
    <s v="Missouri"/>
    <s v="M"/>
    <s v="Olive"/>
    <x v="3"/>
    <x v="7"/>
    <s v="No"/>
    <x v="2"/>
    <x v="0"/>
    <x v="0"/>
    <x v="36"/>
    <x v="1"/>
    <x v="3"/>
    <x v="2"/>
    <n v="78"/>
    <n v="0"/>
  </r>
  <r>
    <n v="1212"/>
    <x v="51"/>
    <x v="0"/>
    <s v="Hoodie"/>
    <x v="0"/>
    <n v="94"/>
    <s v="Oklahoma"/>
    <s v="M"/>
    <s v="Green"/>
    <x v="1"/>
    <x v="12"/>
    <s v="No"/>
    <x v="5"/>
    <x v="0"/>
    <x v="0"/>
    <x v="0"/>
    <x v="0"/>
    <x v="6"/>
    <x v="1"/>
    <n v="94"/>
    <n v="0"/>
  </r>
  <r>
    <n v="1213"/>
    <x v="45"/>
    <x v="0"/>
    <s v="Shoes"/>
    <x v="1"/>
    <n v="74"/>
    <s v="Pennsylvania"/>
    <s v="M"/>
    <s v="Yellow"/>
    <x v="2"/>
    <x v="25"/>
    <s v="No"/>
    <x v="1"/>
    <x v="0"/>
    <x v="0"/>
    <x v="27"/>
    <x v="2"/>
    <x v="1"/>
    <x v="2"/>
    <n v="74"/>
    <n v="0"/>
  </r>
  <r>
    <n v="1214"/>
    <x v="33"/>
    <x v="0"/>
    <s v="Handbag"/>
    <x v="3"/>
    <n v="52"/>
    <s v="Kentucky"/>
    <s v="XL"/>
    <s v="Black"/>
    <x v="1"/>
    <x v="18"/>
    <s v="No"/>
    <x v="0"/>
    <x v="0"/>
    <x v="0"/>
    <x v="0"/>
    <x v="5"/>
    <x v="6"/>
    <x v="0"/>
    <n v="52"/>
    <n v="0"/>
  </r>
  <r>
    <n v="1215"/>
    <x v="11"/>
    <x v="0"/>
    <s v="Jacket"/>
    <x v="2"/>
    <n v="81"/>
    <s v="Vermont"/>
    <s v="M"/>
    <s v="Blue"/>
    <x v="3"/>
    <x v="22"/>
    <s v="No"/>
    <x v="1"/>
    <x v="0"/>
    <x v="0"/>
    <x v="36"/>
    <x v="1"/>
    <x v="6"/>
    <x v="2"/>
    <n v="81"/>
    <n v="0"/>
  </r>
  <r>
    <n v="1216"/>
    <x v="17"/>
    <x v="0"/>
    <s v="Blouse"/>
    <x v="0"/>
    <n v="20"/>
    <s v="Oregon"/>
    <s v="L"/>
    <s v="Pink"/>
    <x v="0"/>
    <x v="5"/>
    <s v="No"/>
    <x v="4"/>
    <x v="0"/>
    <x v="0"/>
    <x v="28"/>
    <x v="2"/>
    <x v="6"/>
    <x v="0"/>
    <n v="20"/>
    <n v="0"/>
  </r>
  <r>
    <n v="1217"/>
    <x v="46"/>
    <x v="0"/>
    <s v="Pants"/>
    <x v="0"/>
    <n v="32"/>
    <s v="Utah"/>
    <s v="XL"/>
    <s v="Lavender"/>
    <x v="2"/>
    <x v="18"/>
    <s v="No"/>
    <x v="1"/>
    <x v="0"/>
    <x v="0"/>
    <x v="35"/>
    <x v="0"/>
    <x v="6"/>
    <x v="0"/>
    <n v="32"/>
    <n v="0"/>
  </r>
  <r>
    <n v="1218"/>
    <x v="2"/>
    <x v="0"/>
    <s v="Boots"/>
    <x v="1"/>
    <n v="63"/>
    <s v="Nebraska"/>
    <s v="XL"/>
    <s v="Cyan"/>
    <x v="3"/>
    <x v="5"/>
    <s v="No"/>
    <x v="1"/>
    <x v="0"/>
    <x v="0"/>
    <x v="45"/>
    <x v="1"/>
    <x v="6"/>
    <x v="2"/>
    <n v="63"/>
    <n v="0"/>
  </r>
  <r>
    <n v="1219"/>
    <x v="0"/>
    <x v="0"/>
    <s v="Boots"/>
    <x v="1"/>
    <n v="79"/>
    <s v="Pennsylvania"/>
    <s v="M"/>
    <s v="Cyan"/>
    <x v="1"/>
    <x v="0"/>
    <s v="No"/>
    <x v="5"/>
    <x v="0"/>
    <x v="0"/>
    <x v="34"/>
    <x v="1"/>
    <x v="6"/>
    <x v="0"/>
    <n v="79"/>
    <n v="0"/>
  </r>
  <r>
    <n v="1220"/>
    <x v="1"/>
    <x v="0"/>
    <s v="Sweater"/>
    <x v="0"/>
    <n v="23"/>
    <s v="Vermont"/>
    <s v="M"/>
    <s v="Gold"/>
    <x v="0"/>
    <x v="25"/>
    <s v="No"/>
    <x v="2"/>
    <x v="0"/>
    <x v="0"/>
    <x v="31"/>
    <x v="2"/>
    <x v="4"/>
    <x v="1"/>
    <n v="23"/>
    <n v="0"/>
  </r>
  <r>
    <n v="1221"/>
    <x v="29"/>
    <x v="0"/>
    <s v="Gloves"/>
    <x v="3"/>
    <n v="64"/>
    <s v="Kentucky"/>
    <s v="M"/>
    <s v="Green"/>
    <x v="0"/>
    <x v="8"/>
    <s v="No"/>
    <x v="0"/>
    <x v="0"/>
    <x v="0"/>
    <x v="13"/>
    <x v="4"/>
    <x v="3"/>
    <x v="0"/>
    <n v="64"/>
    <n v="0"/>
  </r>
  <r>
    <n v="1222"/>
    <x v="20"/>
    <x v="0"/>
    <s v="Socks"/>
    <x v="0"/>
    <n v="69"/>
    <s v="Iowa"/>
    <s v="M"/>
    <s v="Red"/>
    <x v="0"/>
    <x v="9"/>
    <s v="No"/>
    <x v="3"/>
    <x v="0"/>
    <x v="0"/>
    <x v="35"/>
    <x v="1"/>
    <x v="3"/>
    <x v="1"/>
    <n v="69"/>
    <n v="0"/>
  </r>
  <r>
    <n v="1223"/>
    <x v="44"/>
    <x v="0"/>
    <s v="Jeans"/>
    <x v="0"/>
    <n v="69"/>
    <s v="Indiana"/>
    <s v="L"/>
    <s v="Magenta"/>
    <x v="3"/>
    <x v="23"/>
    <s v="No"/>
    <x v="5"/>
    <x v="0"/>
    <x v="0"/>
    <x v="46"/>
    <x v="4"/>
    <x v="2"/>
    <x v="0"/>
    <n v="69"/>
    <n v="0"/>
  </r>
  <r>
    <n v="1224"/>
    <x v="28"/>
    <x v="0"/>
    <s v="Pants"/>
    <x v="0"/>
    <n v="24"/>
    <s v="Kansas"/>
    <s v="L"/>
    <s v="Red"/>
    <x v="0"/>
    <x v="20"/>
    <s v="No"/>
    <x v="1"/>
    <x v="0"/>
    <x v="0"/>
    <x v="33"/>
    <x v="4"/>
    <x v="1"/>
    <x v="0"/>
    <n v="24"/>
    <n v="0"/>
  </r>
  <r>
    <n v="1225"/>
    <x v="46"/>
    <x v="0"/>
    <s v="Shorts"/>
    <x v="0"/>
    <n v="50"/>
    <s v="Illinois"/>
    <s v="M"/>
    <s v="Yellow"/>
    <x v="2"/>
    <x v="18"/>
    <s v="No"/>
    <x v="5"/>
    <x v="0"/>
    <x v="0"/>
    <x v="27"/>
    <x v="0"/>
    <x v="1"/>
    <x v="0"/>
    <n v="50"/>
    <n v="0"/>
  </r>
  <r>
    <n v="1226"/>
    <x v="48"/>
    <x v="0"/>
    <s v="Gloves"/>
    <x v="3"/>
    <n v="97"/>
    <s v="North Carolina"/>
    <s v="S"/>
    <s v="Turquoise"/>
    <x v="3"/>
    <x v="5"/>
    <s v="No"/>
    <x v="1"/>
    <x v="0"/>
    <x v="0"/>
    <x v="20"/>
    <x v="5"/>
    <x v="1"/>
    <x v="2"/>
    <n v="97"/>
    <n v="0"/>
  </r>
  <r>
    <n v="1227"/>
    <x v="10"/>
    <x v="0"/>
    <s v="Sandals"/>
    <x v="1"/>
    <n v="91"/>
    <s v="Ohio"/>
    <s v="S"/>
    <s v="Cyan"/>
    <x v="3"/>
    <x v="23"/>
    <s v="No"/>
    <x v="5"/>
    <x v="0"/>
    <x v="0"/>
    <x v="27"/>
    <x v="0"/>
    <x v="4"/>
    <x v="0"/>
    <n v="91"/>
    <n v="0"/>
  </r>
  <r>
    <n v="1228"/>
    <x v="7"/>
    <x v="0"/>
    <s v="Blouse"/>
    <x v="0"/>
    <n v="37"/>
    <s v="Illinois"/>
    <s v="L"/>
    <s v="Yellow"/>
    <x v="1"/>
    <x v="8"/>
    <s v="No"/>
    <x v="5"/>
    <x v="0"/>
    <x v="0"/>
    <x v="5"/>
    <x v="4"/>
    <x v="4"/>
    <x v="2"/>
    <n v="37"/>
    <n v="0"/>
  </r>
  <r>
    <n v="1229"/>
    <x v="0"/>
    <x v="0"/>
    <s v="Jacket"/>
    <x v="2"/>
    <n v="55"/>
    <s v="Indiana"/>
    <s v="S"/>
    <s v="Yellow"/>
    <x v="0"/>
    <x v="20"/>
    <s v="No"/>
    <x v="0"/>
    <x v="0"/>
    <x v="0"/>
    <x v="43"/>
    <x v="1"/>
    <x v="2"/>
    <x v="0"/>
    <n v="55"/>
    <n v="0"/>
  </r>
  <r>
    <n v="1230"/>
    <x v="50"/>
    <x v="0"/>
    <s v="Jewelry"/>
    <x v="3"/>
    <n v="52"/>
    <s v="Kansas"/>
    <s v="XL"/>
    <s v="Maroon"/>
    <x v="0"/>
    <x v="15"/>
    <s v="No"/>
    <x v="0"/>
    <x v="0"/>
    <x v="0"/>
    <x v="30"/>
    <x v="4"/>
    <x v="2"/>
    <x v="2"/>
    <n v="52"/>
    <n v="0"/>
  </r>
  <r>
    <n v="1231"/>
    <x v="15"/>
    <x v="0"/>
    <s v="Hat"/>
    <x v="3"/>
    <n v="80"/>
    <s v="Illinois"/>
    <s v="L"/>
    <s v="Brown"/>
    <x v="1"/>
    <x v="12"/>
    <s v="No"/>
    <x v="3"/>
    <x v="0"/>
    <x v="0"/>
    <x v="3"/>
    <x v="0"/>
    <x v="5"/>
    <x v="1"/>
    <n v="80"/>
    <n v="0"/>
  </r>
  <r>
    <n v="1232"/>
    <x v="17"/>
    <x v="0"/>
    <s v="Socks"/>
    <x v="0"/>
    <n v="79"/>
    <s v="Pennsylvania"/>
    <s v="M"/>
    <s v="Gold"/>
    <x v="1"/>
    <x v="17"/>
    <s v="No"/>
    <x v="4"/>
    <x v="0"/>
    <x v="0"/>
    <x v="34"/>
    <x v="2"/>
    <x v="0"/>
    <x v="0"/>
    <n v="79"/>
    <n v="0"/>
  </r>
  <r>
    <n v="1233"/>
    <x v="9"/>
    <x v="0"/>
    <s v="Handbag"/>
    <x v="3"/>
    <n v="23"/>
    <s v="New York"/>
    <s v="M"/>
    <s v="Charcoal"/>
    <x v="2"/>
    <x v="15"/>
    <s v="No"/>
    <x v="1"/>
    <x v="0"/>
    <x v="0"/>
    <x v="4"/>
    <x v="5"/>
    <x v="6"/>
    <x v="0"/>
    <n v="23"/>
    <n v="0"/>
  </r>
  <r>
    <n v="1234"/>
    <x v="5"/>
    <x v="0"/>
    <s v="Pants"/>
    <x v="0"/>
    <n v="73"/>
    <s v="Utah"/>
    <s v="L"/>
    <s v="Beige"/>
    <x v="0"/>
    <x v="1"/>
    <s v="No"/>
    <x v="2"/>
    <x v="0"/>
    <x v="0"/>
    <x v="19"/>
    <x v="0"/>
    <x v="6"/>
    <x v="2"/>
    <n v="73"/>
    <n v="0"/>
  </r>
  <r>
    <n v="1235"/>
    <x v="21"/>
    <x v="0"/>
    <s v="Gloves"/>
    <x v="3"/>
    <n v="99"/>
    <s v="New Jersey"/>
    <s v="M"/>
    <s v="Indigo"/>
    <x v="3"/>
    <x v="7"/>
    <s v="No"/>
    <x v="5"/>
    <x v="0"/>
    <x v="0"/>
    <x v="1"/>
    <x v="4"/>
    <x v="4"/>
    <x v="2"/>
    <n v="99"/>
    <n v="0"/>
  </r>
  <r>
    <n v="1236"/>
    <x v="51"/>
    <x v="0"/>
    <s v="Sweater"/>
    <x v="0"/>
    <n v="22"/>
    <s v="Idaho"/>
    <s v="M"/>
    <s v="Red"/>
    <x v="1"/>
    <x v="21"/>
    <s v="No"/>
    <x v="5"/>
    <x v="0"/>
    <x v="0"/>
    <x v="15"/>
    <x v="3"/>
    <x v="6"/>
    <x v="1"/>
    <n v="22"/>
    <n v="0"/>
  </r>
  <r>
    <n v="1237"/>
    <x v="32"/>
    <x v="0"/>
    <s v="Hat"/>
    <x v="3"/>
    <n v="68"/>
    <s v="New Mexico"/>
    <s v="M"/>
    <s v="White"/>
    <x v="2"/>
    <x v="14"/>
    <s v="No"/>
    <x v="5"/>
    <x v="0"/>
    <x v="0"/>
    <x v="31"/>
    <x v="5"/>
    <x v="6"/>
    <x v="2"/>
    <n v="68"/>
    <n v="0"/>
  </r>
  <r>
    <n v="1238"/>
    <x v="15"/>
    <x v="0"/>
    <s v="Dress"/>
    <x v="0"/>
    <n v="92"/>
    <s v="Michigan"/>
    <s v="S"/>
    <s v="Charcoal"/>
    <x v="1"/>
    <x v="14"/>
    <s v="No"/>
    <x v="4"/>
    <x v="0"/>
    <x v="0"/>
    <x v="38"/>
    <x v="2"/>
    <x v="3"/>
    <x v="1"/>
    <n v="92"/>
    <n v="0"/>
  </r>
  <r>
    <n v="1239"/>
    <x v="0"/>
    <x v="0"/>
    <s v="Pants"/>
    <x v="0"/>
    <n v="77"/>
    <s v="Wyoming"/>
    <s v="M"/>
    <s v="Violet"/>
    <x v="0"/>
    <x v="18"/>
    <s v="No"/>
    <x v="0"/>
    <x v="0"/>
    <x v="0"/>
    <x v="35"/>
    <x v="0"/>
    <x v="0"/>
    <x v="0"/>
    <n v="77"/>
    <n v="0"/>
  </r>
  <r>
    <n v="1240"/>
    <x v="46"/>
    <x v="0"/>
    <s v="Coat"/>
    <x v="2"/>
    <n v="37"/>
    <s v="New Jersey"/>
    <s v="XL"/>
    <s v="Magenta"/>
    <x v="1"/>
    <x v="6"/>
    <s v="No"/>
    <x v="3"/>
    <x v="0"/>
    <x v="0"/>
    <x v="18"/>
    <x v="5"/>
    <x v="6"/>
    <x v="0"/>
    <n v="37"/>
    <n v="0"/>
  </r>
  <r>
    <n v="1241"/>
    <x v="38"/>
    <x v="0"/>
    <s v="Scarf"/>
    <x v="3"/>
    <n v="79"/>
    <s v="New Jersey"/>
    <s v="L"/>
    <s v="White"/>
    <x v="0"/>
    <x v="3"/>
    <s v="No"/>
    <x v="5"/>
    <x v="0"/>
    <x v="0"/>
    <x v="26"/>
    <x v="5"/>
    <x v="2"/>
    <x v="2"/>
    <n v="79"/>
    <n v="0"/>
  </r>
  <r>
    <n v="1242"/>
    <x v="44"/>
    <x v="0"/>
    <s v="Hoodie"/>
    <x v="0"/>
    <n v="51"/>
    <s v="Hawaii"/>
    <s v="XL"/>
    <s v="Pink"/>
    <x v="0"/>
    <x v="0"/>
    <s v="No"/>
    <x v="0"/>
    <x v="0"/>
    <x v="0"/>
    <x v="11"/>
    <x v="2"/>
    <x v="1"/>
    <x v="0"/>
    <n v="51"/>
    <n v="0"/>
  </r>
  <r>
    <n v="1243"/>
    <x v="19"/>
    <x v="0"/>
    <s v="Socks"/>
    <x v="0"/>
    <n v="27"/>
    <s v="Nevada"/>
    <s v="M"/>
    <s v="Lavender"/>
    <x v="2"/>
    <x v="17"/>
    <s v="No"/>
    <x v="2"/>
    <x v="0"/>
    <x v="0"/>
    <x v="28"/>
    <x v="4"/>
    <x v="3"/>
    <x v="0"/>
    <n v="27"/>
    <n v="0"/>
  </r>
  <r>
    <n v="1244"/>
    <x v="15"/>
    <x v="0"/>
    <s v="Blouse"/>
    <x v="0"/>
    <n v="23"/>
    <s v="New Hampshire"/>
    <s v="S"/>
    <s v="Pink"/>
    <x v="1"/>
    <x v="21"/>
    <s v="No"/>
    <x v="5"/>
    <x v="0"/>
    <x v="0"/>
    <x v="17"/>
    <x v="5"/>
    <x v="2"/>
    <x v="1"/>
    <n v="23"/>
    <n v="0"/>
  </r>
  <r>
    <n v="1245"/>
    <x v="27"/>
    <x v="0"/>
    <s v="Socks"/>
    <x v="0"/>
    <n v="76"/>
    <s v="Indiana"/>
    <s v="S"/>
    <s v="Silver"/>
    <x v="2"/>
    <x v="20"/>
    <s v="No"/>
    <x v="4"/>
    <x v="0"/>
    <x v="0"/>
    <x v="1"/>
    <x v="1"/>
    <x v="5"/>
    <x v="0"/>
    <n v="76"/>
    <n v="0"/>
  </r>
  <r>
    <n v="1246"/>
    <x v="32"/>
    <x v="0"/>
    <s v="Dress"/>
    <x v="0"/>
    <n v="31"/>
    <s v="New York"/>
    <s v="M"/>
    <s v="Violet"/>
    <x v="3"/>
    <x v="23"/>
    <s v="No"/>
    <x v="3"/>
    <x v="0"/>
    <x v="0"/>
    <x v="48"/>
    <x v="4"/>
    <x v="1"/>
    <x v="2"/>
    <n v="31"/>
    <n v="0"/>
  </r>
  <r>
    <n v="1247"/>
    <x v="7"/>
    <x v="0"/>
    <s v="Hoodie"/>
    <x v="0"/>
    <n v="60"/>
    <s v="Louisiana"/>
    <s v="M"/>
    <s v="Charcoal"/>
    <x v="0"/>
    <x v="2"/>
    <s v="No"/>
    <x v="3"/>
    <x v="0"/>
    <x v="0"/>
    <x v="46"/>
    <x v="1"/>
    <x v="5"/>
    <x v="2"/>
    <n v="60"/>
    <n v="0"/>
  </r>
  <r>
    <n v="1248"/>
    <x v="13"/>
    <x v="0"/>
    <s v="T-shirt"/>
    <x v="0"/>
    <n v="99"/>
    <s v="Virginia"/>
    <s v="M"/>
    <s v="Charcoal"/>
    <x v="1"/>
    <x v="1"/>
    <s v="No"/>
    <x v="0"/>
    <x v="0"/>
    <x v="0"/>
    <x v="27"/>
    <x v="0"/>
    <x v="4"/>
    <x v="0"/>
    <n v="99"/>
    <n v="0"/>
  </r>
  <r>
    <n v="1249"/>
    <x v="46"/>
    <x v="0"/>
    <s v="Hat"/>
    <x v="3"/>
    <n v="37"/>
    <s v="Wisconsin"/>
    <s v="XL"/>
    <s v="Red"/>
    <x v="0"/>
    <x v="21"/>
    <s v="No"/>
    <x v="1"/>
    <x v="0"/>
    <x v="0"/>
    <x v="6"/>
    <x v="2"/>
    <x v="2"/>
    <x v="0"/>
    <n v="37"/>
    <n v="0"/>
  </r>
  <r>
    <n v="1250"/>
    <x v="46"/>
    <x v="0"/>
    <s v="Boots"/>
    <x v="1"/>
    <n v="50"/>
    <s v="Oregon"/>
    <s v="M"/>
    <s v="Peach"/>
    <x v="0"/>
    <x v="9"/>
    <s v="No"/>
    <x v="0"/>
    <x v="0"/>
    <x v="0"/>
    <x v="26"/>
    <x v="0"/>
    <x v="0"/>
    <x v="0"/>
    <n v="50"/>
    <n v="0"/>
  </r>
  <r>
    <n v="1251"/>
    <x v="16"/>
    <x v="0"/>
    <s v="Jeans"/>
    <x v="0"/>
    <n v="26"/>
    <s v="New Hampshire"/>
    <s v="XL"/>
    <s v="Purple"/>
    <x v="0"/>
    <x v="7"/>
    <s v="No"/>
    <x v="1"/>
    <x v="0"/>
    <x v="0"/>
    <x v="37"/>
    <x v="1"/>
    <x v="5"/>
    <x v="0"/>
    <n v="26"/>
    <n v="0"/>
  </r>
  <r>
    <n v="1252"/>
    <x v="19"/>
    <x v="0"/>
    <s v="Shorts"/>
    <x v="0"/>
    <n v="86"/>
    <s v="Indiana"/>
    <s v="XL"/>
    <s v="Orange"/>
    <x v="1"/>
    <x v="16"/>
    <s v="No"/>
    <x v="2"/>
    <x v="0"/>
    <x v="0"/>
    <x v="34"/>
    <x v="2"/>
    <x v="5"/>
    <x v="0"/>
    <n v="86"/>
    <n v="0"/>
  </r>
  <r>
    <n v="1253"/>
    <x v="48"/>
    <x v="0"/>
    <s v="Sandals"/>
    <x v="1"/>
    <n v="41"/>
    <s v="Massachusetts"/>
    <s v="L"/>
    <s v="Magenta"/>
    <x v="3"/>
    <x v="17"/>
    <s v="No"/>
    <x v="3"/>
    <x v="0"/>
    <x v="0"/>
    <x v="6"/>
    <x v="1"/>
    <x v="3"/>
    <x v="2"/>
    <n v="41"/>
    <n v="0"/>
  </r>
  <r>
    <n v="1254"/>
    <x v="31"/>
    <x v="0"/>
    <s v="Sandals"/>
    <x v="1"/>
    <n v="23"/>
    <s v="Montana"/>
    <s v="XL"/>
    <s v="Red"/>
    <x v="0"/>
    <x v="8"/>
    <s v="No"/>
    <x v="0"/>
    <x v="0"/>
    <x v="0"/>
    <x v="3"/>
    <x v="3"/>
    <x v="2"/>
    <x v="2"/>
    <n v="23"/>
    <n v="0"/>
  </r>
  <r>
    <n v="1255"/>
    <x v="22"/>
    <x v="0"/>
    <s v="Sneakers"/>
    <x v="1"/>
    <n v="56"/>
    <s v="California"/>
    <s v="XL"/>
    <s v="Black"/>
    <x v="1"/>
    <x v="13"/>
    <s v="No"/>
    <x v="4"/>
    <x v="0"/>
    <x v="0"/>
    <x v="1"/>
    <x v="2"/>
    <x v="4"/>
    <x v="0"/>
    <n v="56"/>
    <n v="0"/>
  </r>
  <r>
    <n v="1256"/>
    <x v="11"/>
    <x v="0"/>
    <s v="Hat"/>
    <x v="3"/>
    <n v="68"/>
    <s v="Indiana"/>
    <s v="M"/>
    <s v="Peach"/>
    <x v="3"/>
    <x v="7"/>
    <s v="No"/>
    <x v="3"/>
    <x v="0"/>
    <x v="0"/>
    <x v="25"/>
    <x v="1"/>
    <x v="0"/>
    <x v="2"/>
    <n v="68"/>
    <n v="0"/>
  </r>
  <r>
    <n v="1257"/>
    <x v="4"/>
    <x v="0"/>
    <s v="Coat"/>
    <x v="2"/>
    <n v="48"/>
    <s v="West Virginia"/>
    <s v="S"/>
    <s v="Olive"/>
    <x v="0"/>
    <x v="15"/>
    <s v="No"/>
    <x v="0"/>
    <x v="0"/>
    <x v="0"/>
    <x v="7"/>
    <x v="1"/>
    <x v="0"/>
    <x v="2"/>
    <n v="48"/>
    <n v="0"/>
  </r>
  <r>
    <n v="1258"/>
    <x v="33"/>
    <x v="0"/>
    <s v="Dress"/>
    <x v="0"/>
    <n v="67"/>
    <s v="Minnesota"/>
    <s v="L"/>
    <s v="Gold"/>
    <x v="1"/>
    <x v="21"/>
    <s v="No"/>
    <x v="1"/>
    <x v="0"/>
    <x v="0"/>
    <x v="4"/>
    <x v="1"/>
    <x v="6"/>
    <x v="0"/>
    <n v="67"/>
    <n v="0"/>
  </r>
  <r>
    <n v="1259"/>
    <x v="36"/>
    <x v="0"/>
    <s v="Boots"/>
    <x v="1"/>
    <n v="87"/>
    <s v="Ohio"/>
    <s v="XL"/>
    <s v="Gold"/>
    <x v="1"/>
    <x v="7"/>
    <s v="No"/>
    <x v="4"/>
    <x v="0"/>
    <x v="0"/>
    <x v="11"/>
    <x v="5"/>
    <x v="6"/>
    <x v="2"/>
    <n v="87"/>
    <n v="0"/>
  </r>
  <r>
    <n v="1260"/>
    <x v="33"/>
    <x v="0"/>
    <s v="Skirt"/>
    <x v="0"/>
    <n v="64"/>
    <s v="Minnesota"/>
    <s v="M"/>
    <s v="Turquoise"/>
    <x v="3"/>
    <x v="20"/>
    <s v="No"/>
    <x v="3"/>
    <x v="0"/>
    <x v="0"/>
    <x v="24"/>
    <x v="2"/>
    <x v="5"/>
    <x v="0"/>
    <n v="64"/>
    <n v="0"/>
  </r>
  <r>
    <n v="1261"/>
    <x v="6"/>
    <x v="0"/>
    <s v="Shirt"/>
    <x v="0"/>
    <n v="93"/>
    <s v="Virginia"/>
    <s v="XL"/>
    <s v="Green"/>
    <x v="1"/>
    <x v="7"/>
    <s v="No"/>
    <x v="5"/>
    <x v="0"/>
    <x v="0"/>
    <x v="48"/>
    <x v="5"/>
    <x v="3"/>
    <x v="0"/>
    <n v="93"/>
    <n v="0"/>
  </r>
  <r>
    <n v="1262"/>
    <x v="30"/>
    <x v="0"/>
    <s v="Shirt"/>
    <x v="0"/>
    <n v="29"/>
    <s v="Connecticut"/>
    <s v="L"/>
    <s v="Maroon"/>
    <x v="2"/>
    <x v="11"/>
    <s v="No"/>
    <x v="2"/>
    <x v="0"/>
    <x v="0"/>
    <x v="1"/>
    <x v="2"/>
    <x v="0"/>
    <x v="1"/>
    <n v="29"/>
    <n v="0"/>
  </r>
  <r>
    <n v="1263"/>
    <x v="26"/>
    <x v="0"/>
    <s v="Boots"/>
    <x v="1"/>
    <n v="62"/>
    <s v="Tennessee"/>
    <s v="L"/>
    <s v="Brown"/>
    <x v="0"/>
    <x v="6"/>
    <s v="No"/>
    <x v="5"/>
    <x v="0"/>
    <x v="0"/>
    <x v="12"/>
    <x v="0"/>
    <x v="5"/>
    <x v="2"/>
    <n v="62"/>
    <n v="0"/>
  </r>
  <r>
    <n v="1264"/>
    <x v="38"/>
    <x v="0"/>
    <s v="Hoodie"/>
    <x v="0"/>
    <n v="70"/>
    <s v="Delaware"/>
    <s v="L"/>
    <s v="Brown"/>
    <x v="0"/>
    <x v="12"/>
    <s v="No"/>
    <x v="4"/>
    <x v="0"/>
    <x v="0"/>
    <x v="43"/>
    <x v="2"/>
    <x v="4"/>
    <x v="2"/>
    <n v="70"/>
    <n v="0"/>
  </r>
  <r>
    <n v="1265"/>
    <x v="16"/>
    <x v="0"/>
    <s v="Sweater"/>
    <x v="0"/>
    <n v="92"/>
    <s v="Vermont"/>
    <s v="S"/>
    <s v="Blue"/>
    <x v="0"/>
    <x v="25"/>
    <s v="No"/>
    <x v="2"/>
    <x v="0"/>
    <x v="0"/>
    <x v="43"/>
    <x v="0"/>
    <x v="4"/>
    <x v="0"/>
    <n v="92"/>
    <n v="0"/>
  </r>
  <r>
    <n v="1266"/>
    <x v="45"/>
    <x v="0"/>
    <s v="Shirt"/>
    <x v="0"/>
    <n v="79"/>
    <s v="Louisiana"/>
    <s v="M"/>
    <s v="Lavender"/>
    <x v="1"/>
    <x v="2"/>
    <s v="No"/>
    <x v="2"/>
    <x v="0"/>
    <x v="0"/>
    <x v="46"/>
    <x v="4"/>
    <x v="1"/>
    <x v="2"/>
    <n v="79"/>
    <n v="0"/>
  </r>
  <r>
    <n v="1267"/>
    <x v="30"/>
    <x v="0"/>
    <s v="Blouse"/>
    <x v="0"/>
    <n v="31"/>
    <s v="North Dakota"/>
    <s v="M"/>
    <s v="Peach"/>
    <x v="3"/>
    <x v="17"/>
    <s v="No"/>
    <x v="3"/>
    <x v="0"/>
    <x v="0"/>
    <x v="0"/>
    <x v="5"/>
    <x v="6"/>
    <x v="1"/>
    <n v="31"/>
    <n v="0"/>
  </r>
  <r>
    <n v="1268"/>
    <x v="36"/>
    <x v="0"/>
    <s v="T-shirt"/>
    <x v="0"/>
    <n v="83"/>
    <s v="Oregon"/>
    <s v="S"/>
    <s v="Gray"/>
    <x v="1"/>
    <x v="2"/>
    <s v="No"/>
    <x v="3"/>
    <x v="0"/>
    <x v="0"/>
    <x v="23"/>
    <x v="1"/>
    <x v="1"/>
    <x v="2"/>
    <n v="83"/>
    <n v="0"/>
  </r>
  <r>
    <n v="1269"/>
    <x v="51"/>
    <x v="0"/>
    <s v="Jacket"/>
    <x v="2"/>
    <n v="88"/>
    <s v="Idaho"/>
    <s v="XL"/>
    <s v="Charcoal"/>
    <x v="0"/>
    <x v="3"/>
    <s v="No"/>
    <x v="2"/>
    <x v="0"/>
    <x v="0"/>
    <x v="29"/>
    <x v="5"/>
    <x v="4"/>
    <x v="1"/>
    <n v="88"/>
    <n v="0"/>
  </r>
  <r>
    <n v="1270"/>
    <x v="49"/>
    <x v="0"/>
    <s v="Jewelry"/>
    <x v="3"/>
    <n v="53"/>
    <s v="Vermont"/>
    <s v="M"/>
    <s v="Lavender"/>
    <x v="1"/>
    <x v="21"/>
    <s v="No"/>
    <x v="3"/>
    <x v="0"/>
    <x v="0"/>
    <x v="39"/>
    <x v="3"/>
    <x v="3"/>
    <x v="2"/>
    <n v="53"/>
    <n v="0"/>
  </r>
  <r>
    <n v="1271"/>
    <x v="29"/>
    <x v="0"/>
    <s v="Hoodie"/>
    <x v="0"/>
    <n v="98"/>
    <s v="West Virginia"/>
    <s v="M"/>
    <s v="Green"/>
    <x v="3"/>
    <x v="13"/>
    <s v="No"/>
    <x v="3"/>
    <x v="0"/>
    <x v="0"/>
    <x v="41"/>
    <x v="1"/>
    <x v="2"/>
    <x v="0"/>
    <n v="98"/>
    <n v="0"/>
  </r>
  <r>
    <n v="1272"/>
    <x v="27"/>
    <x v="0"/>
    <s v="Jewelry"/>
    <x v="3"/>
    <n v="57"/>
    <s v="Kentucky"/>
    <s v="S"/>
    <s v="Gray"/>
    <x v="1"/>
    <x v="24"/>
    <s v="No"/>
    <x v="5"/>
    <x v="0"/>
    <x v="0"/>
    <x v="38"/>
    <x v="3"/>
    <x v="2"/>
    <x v="0"/>
    <n v="57"/>
    <n v="0"/>
  </r>
  <r>
    <n v="1273"/>
    <x v="25"/>
    <x v="0"/>
    <s v="Sandals"/>
    <x v="1"/>
    <n v="80"/>
    <s v="Wisconsin"/>
    <s v="M"/>
    <s v="Orange"/>
    <x v="0"/>
    <x v="14"/>
    <s v="No"/>
    <x v="0"/>
    <x v="0"/>
    <x v="0"/>
    <x v="20"/>
    <x v="4"/>
    <x v="5"/>
    <x v="2"/>
    <n v="80"/>
    <n v="0"/>
  </r>
  <r>
    <n v="1274"/>
    <x v="38"/>
    <x v="0"/>
    <s v="Jeans"/>
    <x v="0"/>
    <n v="29"/>
    <s v="Mississippi"/>
    <s v="L"/>
    <s v="Silver"/>
    <x v="1"/>
    <x v="7"/>
    <s v="No"/>
    <x v="2"/>
    <x v="0"/>
    <x v="0"/>
    <x v="18"/>
    <x v="2"/>
    <x v="6"/>
    <x v="2"/>
    <n v="29"/>
    <n v="0"/>
  </r>
  <r>
    <n v="1275"/>
    <x v="22"/>
    <x v="0"/>
    <s v="Hat"/>
    <x v="3"/>
    <n v="73"/>
    <s v="Missouri"/>
    <s v="M"/>
    <s v="Olive"/>
    <x v="1"/>
    <x v="0"/>
    <s v="No"/>
    <x v="4"/>
    <x v="0"/>
    <x v="0"/>
    <x v="10"/>
    <x v="3"/>
    <x v="3"/>
    <x v="0"/>
    <n v="73"/>
    <n v="0"/>
  </r>
  <r>
    <n v="1276"/>
    <x v="0"/>
    <x v="0"/>
    <s v="Sweater"/>
    <x v="0"/>
    <n v="32"/>
    <s v="Arkansas"/>
    <s v="S"/>
    <s v="Turquoise"/>
    <x v="3"/>
    <x v="9"/>
    <s v="No"/>
    <x v="3"/>
    <x v="0"/>
    <x v="0"/>
    <x v="43"/>
    <x v="3"/>
    <x v="5"/>
    <x v="0"/>
    <n v="32"/>
    <n v="0"/>
  </r>
  <r>
    <n v="1277"/>
    <x v="47"/>
    <x v="0"/>
    <s v="Boots"/>
    <x v="1"/>
    <n v="68"/>
    <s v="Wyoming"/>
    <s v="L"/>
    <s v="Turquoise"/>
    <x v="1"/>
    <x v="6"/>
    <s v="No"/>
    <x v="2"/>
    <x v="0"/>
    <x v="0"/>
    <x v="10"/>
    <x v="4"/>
    <x v="1"/>
    <x v="0"/>
    <n v="68"/>
    <n v="0"/>
  </r>
  <r>
    <n v="1278"/>
    <x v="1"/>
    <x v="0"/>
    <s v="Blouse"/>
    <x v="0"/>
    <n v="97"/>
    <s v="Rhode Island"/>
    <s v="L"/>
    <s v="Green"/>
    <x v="1"/>
    <x v="16"/>
    <s v="No"/>
    <x v="0"/>
    <x v="0"/>
    <x v="0"/>
    <x v="36"/>
    <x v="0"/>
    <x v="3"/>
    <x v="1"/>
    <n v="97"/>
    <n v="0"/>
  </r>
  <r>
    <n v="1279"/>
    <x v="48"/>
    <x v="0"/>
    <s v="Shorts"/>
    <x v="0"/>
    <n v="98"/>
    <s v="Utah"/>
    <s v="M"/>
    <s v="Violet"/>
    <x v="3"/>
    <x v="11"/>
    <s v="No"/>
    <x v="2"/>
    <x v="0"/>
    <x v="0"/>
    <x v="4"/>
    <x v="0"/>
    <x v="0"/>
    <x v="2"/>
    <n v="98"/>
    <n v="0"/>
  </r>
  <r>
    <n v="1280"/>
    <x v="6"/>
    <x v="0"/>
    <s v="Hoodie"/>
    <x v="0"/>
    <n v="56"/>
    <s v="Maryland"/>
    <s v="L"/>
    <s v="Charcoal"/>
    <x v="3"/>
    <x v="18"/>
    <s v="No"/>
    <x v="0"/>
    <x v="0"/>
    <x v="0"/>
    <x v="27"/>
    <x v="5"/>
    <x v="2"/>
    <x v="0"/>
    <n v="56"/>
    <n v="0"/>
  </r>
  <r>
    <n v="1281"/>
    <x v="11"/>
    <x v="0"/>
    <s v="Pants"/>
    <x v="0"/>
    <n v="78"/>
    <s v="Georgia"/>
    <s v="L"/>
    <s v="White"/>
    <x v="0"/>
    <x v="14"/>
    <s v="No"/>
    <x v="4"/>
    <x v="0"/>
    <x v="0"/>
    <x v="30"/>
    <x v="0"/>
    <x v="6"/>
    <x v="2"/>
    <n v="78"/>
    <n v="0"/>
  </r>
  <r>
    <n v="1282"/>
    <x v="26"/>
    <x v="0"/>
    <s v="Belt"/>
    <x v="3"/>
    <n v="81"/>
    <s v="New Jersey"/>
    <s v="M"/>
    <s v="Olive"/>
    <x v="1"/>
    <x v="9"/>
    <s v="No"/>
    <x v="5"/>
    <x v="0"/>
    <x v="0"/>
    <x v="6"/>
    <x v="0"/>
    <x v="4"/>
    <x v="2"/>
    <n v="81"/>
    <n v="0"/>
  </r>
  <r>
    <n v="1283"/>
    <x v="41"/>
    <x v="0"/>
    <s v="Shirt"/>
    <x v="0"/>
    <n v="68"/>
    <s v="New Hampshire"/>
    <s v="L"/>
    <s v="Violet"/>
    <x v="0"/>
    <x v="21"/>
    <s v="No"/>
    <x v="1"/>
    <x v="0"/>
    <x v="0"/>
    <x v="41"/>
    <x v="0"/>
    <x v="5"/>
    <x v="1"/>
    <n v="68"/>
    <n v="0"/>
  </r>
  <r>
    <n v="1284"/>
    <x v="28"/>
    <x v="0"/>
    <s v="Shirt"/>
    <x v="0"/>
    <n v="94"/>
    <s v="Oregon"/>
    <s v="M"/>
    <s v="Violet"/>
    <x v="0"/>
    <x v="20"/>
    <s v="No"/>
    <x v="4"/>
    <x v="0"/>
    <x v="0"/>
    <x v="2"/>
    <x v="5"/>
    <x v="6"/>
    <x v="0"/>
    <n v="94"/>
    <n v="0"/>
  </r>
  <r>
    <n v="1285"/>
    <x v="13"/>
    <x v="0"/>
    <s v="Dress"/>
    <x v="0"/>
    <n v="93"/>
    <s v="Arkansas"/>
    <s v="M"/>
    <s v="Black"/>
    <x v="1"/>
    <x v="20"/>
    <s v="No"/>
    <x v="0"/>
    <x v="0"/>
    <x v="0"/>
    <x v="25"/>
    <x v="3"/>
    <x v="0"/>
    <x v="0"/>
    <n v="93"/>
    <n v="0"/>
  </r>
  <r>
    <n v="1286"/>
    <x v="14"/>
    <x v="0"/>
    <s v="Gloves"/>
    <x v="3"/>
    <n v="99"/>
    <s v="North Carolina"/>
    <s v="M"/>
    <s v="Charcoal"/>
    <x v="3"/>
    <x v="1"/>
    <s v="No"/>
    <x v="2"/>
    <x v="0"/>
    <x v="0"/>
    <x v="24"/>
    <x v="4"/>
    <x v="0"/>
    <x v="0"/>
    <n v="99"/>
    <n v="0"/>
  </r>
  <r>
    <n v="1287"/>
    <x v="37"/>
    <x v="0"/>
    <s v="Gloves"/>
    <x v="3"/>
    <n v="49"/>
    <s v="West Virginia"/>
    <s v="L"/>
    <s v="Yellow"/>
    <x v="0"/>
    <x v="8"/>
    <s v="No"/>
    <x v="2"/>
    <x v="0"/>
    <x v="0"/>
    <x v="12"/>
    <x v="5"/>
    <x v="0"/>
    <x v="2"/>
    <n v="49"/>
    <n v="0"/>
  </r>
  <r>
    <n v="1288"/>
    <x v="41"/>
    <x v="0"/>
    <s v="Jeans"/>
    <x v="0"/>
    <n v="28"/>
    <s v="Utah"/>
    <s v="XL"/>
    <s v="Blue"/>
    <x v="0"/>
    <x v="23"/>
    <s v="No"/>
    <x v="3"/>
    <x v="0"/>
    <x v="0"/>
    <x v="41"/>
    <x v="3"/>
    <x v="5"/>
    <x v="1"/>
    <n v="28"/>
    <n v="0"/>
  </r>
  <r>
    <n v="1289"/>
    <x v="17"/>
    <x v="0"/>
    <s v="Belt"/>
    <x v="3"/>
    <n v="93"/>
    <s v="South Dakota"/>
    <s v="XL"/>
    <s v="Charcoal"/>
    <x v="0"/>
    <x v="7"/>
    <s v="No"/>
    <x v="3"/>
    <x v="0"/>
    <x v="0"/>
    <x v="11"/>
    <x v="3"/>
    <x v="4"/>
    <x v="0"/>
    <n v="93"/>
    <n v="0"/>
  </r>
  <r>
    <n v="1290"/>
    <x v="25"/>
    <x v="0"/>
    <s v="Jacket"/>
    <x v="2"/>
    <n v="24"/>
    <s v="New Hampshire"/>
    <s v="M"/>
    <s v="Red"/>
    <x v="3"/>
    <x v="3"/>
    <s v="No"/>
    <x v="2"/>
    <x v="0"/>
    <x v="0"/>
    <x v="9"/>
    <x v="3"/>
    <x v="1"/>
    <x v="2"/>
    <n v="24"/>
    <n v="0"/>
  </r>
  <r>
    <n v="1291"/>
    <x v="29"/>
    <x v="0"/>
    <s v="Skirt"/>
    <x v="0"/>
    <n v="35"/>
    <s v="Maryland"/>
    <s v="M"/>
    <s v="Indigo"/>
    <x v="1"/>
    <x v="23"/>
    <s v="No"/>
    <x v="1"/>
    <x v="0"/>
    <x v="0"/>
    <x v="35"/>
    <x v="3"/>
    <x v="2"/>
    <x v="0"/>
    <n v="35"/>
    <n v="0"/>
  </r>
  <r>
    <n v="1292"/>
    <x v="28"/>
    <x v="0"/>
    <s v="Sandals"/>
    <x v="1"/>
    <n v="68"/>
    <s v="South Dakota"/>
    <s v="S"/>
    <s v="Beige"/>
    <x v="1"/>
    <x v="4"/>
    <s v="No"/>
    <x v="4"/>
    <x v="0"/>
    <x v="0"/>
    <x v="2"/>
    <x v="5"/>
    <x v="0"/>
    <x v="0"/>
    <n v="68"/>
    <n v="0"/>
  </r>
  <r>
    <n v="1293"/>
    <x v="8"/>
    <x v="0"/>
    <s v="Belt"/>
    <x v="3"/>
    <n v="61"/>
    <s v="Kentucky"/>
    <s v="M"/>
    <s v="Maroon"/>
    <x v="2"/>
    <x v="20"/>
    <s v="No"/>
    <x v="1"/>
    <x v="0"/>
    <x v="0"/>
    <x v="38"/>
    <x v="4"/>
    <x v="2"/>
    <x v="2"/>
    <n v="61"/>
    <n v="0"/>
  </r>
  <r>
    <n v="1294"/>
    <x v="51"/>
    <x v="0"/>
    <s v="Sweater"/>
    <x v="0"/>
    <n v="74"/>
    <s v="Florida"/>
    <s v="XL"/>
    <s v="Yellow"/>
    <x v="3"/>
    <x v="7"/>
    <s v="No"/>
    <x v="3"/>
    <x v="0"/>
    <x v="0"/>
    <x v="48"/>
    <x v="5"/>
    <x v="2"/>
    <x v="1"/>
    <n v="74"/>
    <n v="0"/>
  </r>
  <r>
    <n v="1295"/>
    <x v="7"/>
    <x v="0"/>
    <s v="Shirt"/>
    <x v="0"/>
    <n v="64"/>
    <s v="Texas"/>
    <s v="M"/>
    <s v="Silver"/>
    <x v="2"/>
    <x v="9"/>
    <s v="No"/>
    <x v="3"/>
    <x v="0"/>
    <x v="0"/>
    <x v="33"/>
    <x v="1"/>
    <x v="6"/>
    <x v="2"/>
    <n v="64"/>
    <n v="0"/>
  </r>
  <r>
    <n v="1296"/>
    <x v="11"/>
    <x v="0"/>
    <s v="Sneakers"/>
    <x v="1"/>
    <n v="60"/>
    <s v="New Mexico"/>
    <s v="M"/>
    <s v="Olive"/>
    <x v="3"/>
    <x v="11"/>
    <s v="No"/>
    <x v="3"/>
    <x v="0"/>
    <x v="0"/>
    <x v="16"/>
    <x v="3"/>
    <x v="1"/>
    <x v="2"/>
    <n v="60"/>
    <n v="0"/>
  </r>
  <r>
    <n v="1297"/>
    <x v="39"/>
    <x v="0"/>
    <s v="Jeans"/>
    <x v="0"/>
    <n v="29"/>
    <s v="South Dakota"/>
    <s v="S"/>
    <s v="Teal"/>
    <x v="1"/>
    <x v="11"/>
    <s v="No"/>
    <x v="0"/>
    <x v="0"/>
    <x v="0"/>
    <x v="20"/>
    <x v="1"/>
    <x v="4"/>
    <x v="2"/>
    <n v="29"/>
    <n v="0"/>
  </r>
  <r>
    <n v="1298"/>
    <x v="42"/>
    <x v="0"/>
    <s v="Sandals"/>
    <x v="1"/>
    <n v="85"/>
    <s v="New Jersey"/>
    <s v="M"/>
    <s v="Silver"/>
    <x v="2"/>
    <x v="12"/>
    <s v="No"/>
    <x v="3"/>
    <x v="0"/>
    <x v="0"/>
    <x v="18"/>
    <x v="0"/>
    <x v="2"/>
    <x v="2"/>
    <n v="85"/>
    <n v="0"/>
  </r>
  <r>
    <n v="1299"/>
    <x v="26"/>
    <x v="0"/>
    <s v="Pants"/>
    <x v="0"/>
    <n v="81"/>
    <s v="Indiana"/>
    <s v="S"/>
    <s v="Indigo"/>
    <x v="2"/>
    <x v="21"/>
    <s v="No"/>
    <x v="1"/>
    <x v="0"/>
    <x v="0"/>
    <x v="0"/>
    <x v="4"/>
    <x v="0"/>
    <x v="2"/>
    <n v="81"/>
    <n v="0"/>
  </r>
  <r>
    <n v="1300"/>
    <x v="26"/>
    <x v="0"/>
    <s v="Belt"/>
    <x v="3"/>
    <n v="23"/>
    <s v="Louisiana"/>
    <s v="L"/>
    <s v="Teal"/>
    <x v="3"/>
    <x v="15"/>
    <s v="No"/>
    <x v="4"/>
    <x v="0"/>
    <x v="0"/>
    <x v="38"/>
    <x v="0"/>
    <x v="4"/>
    <x v="2"/>
    <n v="23"/>
    <n v="0"/>
  </r>
  <r>
    <n v="1301"/>
    <x v="29"/>
    <x v="0"/>
    <s v="T-shirt"/>
    <x v="0"/>
    <n v="100"/>
    <s v="West Virginia"/>
    <s v="M"/>
    <s v="Charcoal"/>
    <x v="1"/>
    <x v="9"/>
    <s v="No"/>
    <x v="2"/>
    <x v="0"/>
    <x v="0"/>
    <x v="39"/>
    <x v="2"/>
    <x v="6"/>
    <x v="0"/>
    <n v="100"/>
    <n v="0"/>
  </r>
  <r>
    <n v="1302"/>
    <x v="32"/>
    <x v="0"/>
    <s v="Shirt"/>
    <x v="0"/>
    <n v="54"/>
    <s v="Maine"/>
    <s v="M"/>
    <s v="Orange"/>
    <x v="3"/>
    <x v="16"/>
    <s v="No"/>
    <x v="0"/>
    <x v="0"/>
    <x v="0"/>
    <x v="33"/>
    <x v="5"/>
    <x v="1"/>
    <x v="2"/>
    <n v="54"/>
    <n v="0"/>
  </r>
  <r>
    <n v="1303"/>
    <x v="51"/>
    <x v="0"/>
    <s v="Sneakers"/>
    <x v="1"/>
    <n v="25"/>
    <s v="Idaho"/>
    <s v="M"/>
    <s v="Gold"/>
    <x v="3"/>
    <x v="3"/>
    <s v="No"/>
    <x v="2"/>
    <x v="0"/>
    <x v="0"/>
    <x v="10"/>
    <x v="2"/>
    <x v="5"/>
    <x v="1"/>
    <n v="25"/>
    <n v="0"/>
  </r>
  <r>
    <n v="1304"/>
    <x v="50"/>
    <x v="0"/>
    <s v="Blouse"/>
    <x v="0"/>
    <n v="32"/>
    <s v="New York"/>
    <s v="L"/>
    <s v="Silver"/>
    <x v="2"/>
    <x v="0"/>
    <s v="No"/>
    <x v="2"/>
    <x v="0"/>
    <x v="0"/>
    <x v="9"/>
    <x v="2"/>
    <x v="2"/>
    <x v="2"/>
    <n v="32"/>
    <n v="0"/>
  </r>
  <r>
    <n v="1305"/>
    <x v="14"/>
    <x v="0"/>
    <s v="Backpack"/>
    <x v="3"/>
    <n v="63"/>
    <s v="Montana"/>
    <s v="S"/>
    <s v="Orange"/>
    <x v="1"/>
    <x v="17"/>
    <s v="No"/>
    <x v="4"/>
    <x v="0"/>
    <x v="0"/>
    <x v="27"/>
    <x v="3"/>
    <x v="6"/>
    <x v="0"/>
    <n v="63"/>
    <n v="0"/>
  </r>
  <r>
    <n v="1306"/>
    <x v="18"/>
    <x v="0"/>
    <s v="Pants"/>
    <x v="0"/>
    <n v="56"/>
    <s v="Mississippi"/>
    <s v="XL"/>
    <s v="Peach"/>
    <x v="1"/>
    <x v="9"/>
    <s v="No"/>
    <x v="0"/>
    <x v="0"/>
    <x v="0"/>
    <x v="1"/>
    <x v="3"/>
    <x v="6"/>
    <x v="2"/>
    <n v="56"/>
    <n v="0"/>
  </r>
  <r>
    <n v="1307"/>
    <x v="22"/>
    <x v="0"/>
    <s v="Sweater"/>
    <x v="0"/>
    <n v="33"/>
    <s v="Alaska"/>
    <s v="L"/>
    <s v="Brown"/>
    <x v="0"/>
    <x v="9"/>
    <s v="No"/>
    <x v="2"/>
    <x v="0"/>
    <x v="0"/>
    <x v="19"/>
    <x v="3"/>
    <x v="2"/>
    <x v="0"/>
    <n v="33"/>
    <n v="0"/>
  </r>
  <r>
    <n v="1308"/>
    <x v="51"/>
    <x v="0"/>
    <s v="Coat"/>
    <x v="2"/>
    <n v="32"/>
    <s v="Missouri"/>
    <s v="L"/>
    <s v="Black"/>
    <x v="2"/>
    <x v="0"/>
    <s v="No"/>
    <x v="0"/>
    <x v="0"/>
    <x v="0"/>
    <x v="34"/>
    <x v="3"/>
    <x v="2"/>
    <x v="1"/>
    <n v="32"/>
    <n v="0"/>
  </r>
  <r>
    <n v="1309"/>
    <x v="35"/>
    <x v="0"/>
    <s v="Dress"/>
    <x v="0"/>
    <n v="38"/>
    <s v="Rhode Island"/>
    <s v="L"/>
    <s v="Red"/>
    <x v="2"/>
    <x v="14"/>
    <s v="No"/>
    <x v="2"/>
    <x v="0"/>
    <x v="0"/>
    <x v="0"/>
    <x v="2"/>
    <x v="6"/>
    <x v="0"/>
    <n v="38"/>
    <n v="0"/>
  </r>
  <r>
    <n v="1310"/>
    <x v="45"/>
    <x v="0"/>
    <s v="Blouse"/>
    <x v="0"/>
    <n v="21"/>
    <s v="Hawaii"/>
    <s v="L"/>
    <s v="Lavender"/>
    <x v="2"/>
    <x v="10"/>
    <s v="No"/>
    <x v="5"/>
    <x v="0"/>
    <x v="0"/>
    <x v="23"/>
    <x v="1"/>
    <x v="3"/>
    <x v="2"/>
    <n v="21"/>
    <n v="0"/>
  </r>
  <r>
    <n v="1311"/>
    <x v="49"/>
    <x v="0"/>
    <s v="Hoodie"/>
    <x v="0"/>
    <n v="59"/>
    <s v="South Carolina"/>
    <s v="L"/>
    <s v="Brown"/>
    <x v="0"/>
    <x v="0"/>
    <s v="No"/>
    <x v="5"/>
    <x v="0"/>
    <x v="0"/>
    <x v="25"/>
    <x v="2"/>
    <x v="6"/>
    <x v="2"/>
    <n v="59"/>
    <n v="0"/>
  </r>
  <r>
    <n v="1312"/>
    <x v="45"/>
    <x v="0"/>
    <s v="Shoes"/>
    <x v="1"/>
    <n v="87"/>
    <s v="Tennessee"/>
    <s v="M"/>
    <s v="Maroon"/>
    <x v="3"/>
    <x v="19"/>
    <s v="No"/>
    <x v="0"/>
    <x v="0"/>
    <x v="0"/>
    <x v="45"/>
    <x v="0"/>
    <x v="2"/>
    <x v="2"/>
    <n v="87"/>
    <n v="0"/>
  </r>
  <r>
    <n v="1313"/>
    <x v="17"/>
    <x v="0"/>
    <s v="T-shirt"/>
    <x v="0"/>
    <n v="79"/>
    <s v="Missouri"/>
    <s v="M"/>
    <s v="Violet"/>
    <x v="0"/>
    <x v="21"/>
    <s v="No"/>
    <x v="5"/>
    <x v="0"/>
    <x v="0"/>
    <x v="5"/>
    <x v="4"/>
    <x v="5"/>
    <x v="0"/>
    <n v="79"/>
    <n v="0"/>
  </r>
  <r>
    <n v="1314"/>
    <x v="27"/>
    <x v="0"/>
    <s v="Shoes"/>
    <x v="1"/>
    <n v="28"/>
    <s v="Missouri"/>
    <s v="M"/>
    <s v="Lavender"/>
    <x v="2"/>
    <x v="5"/>
    <s v="No"/>
    <x v="1"/>
    <x v="0"/>
    <x v="0"/>
    <x v="2"/>
    <x v="2"/>
    <x v="4"/>
    <x v="0"/>
    <n v="28"/>
    <n v="0"/>
  </r>
  <r>
    <n v="1315"/>
    <x v="32"/>
    <x v="0"/>
    <s v="Boots"/>
    <x v="1"/>
    <n v="67"/>
    <s v="Missouri"/>
    <s v="S"/>
    <s v="Magenta"/>
    <x v="2"/>
    <x v="23"/>
    <s v="No"/>
    <x v="1"/>
    <x v="0"/>
    <x v="0"/>
    <x v="3"/>
    <x v="5"/>
    <x v="2"/>
    <x v="2"/>
    <n v="67"/>
    <n v="0"/>
  </r>
  <r>
    <n v="1316"/>
    <x v="19"/>
    <x v="0"/>
    <s v="Shorts"/>
    <x v="0"/>
    <n v="75"/>
    <s v="Mississippi"/>
    <s v="L"/>
    <s v="Green"/>
    <x v="1"/>
    <x v="19"/>
    <s v="No"/>
    <x v="4"/>
    <x v="0"/>
    <x v="0"/>
    <x v="32"/>
    <x v="5"/>
    <x v="3"/>
    <x v="0"/>
    <n v="75"/>
    <n v="0"/>
  </r>
  <r>
    <n v="1317"/>
    <x v="48"/>
    <x v="0"/>
    <s v="Belt"/>
    <x v="3"/>
    <n v="32"/>
    <s v="Arkansas"/>
    <s v="S"/>
    <s v="Lavender"/>
    <x v="1"/>
    <x v="12"/>
    <s v="No"/>
    <x v="3"/>
    <x v="0"/>
    <x v="0"/>
    <x v="0"/>
    <x v="5"/>
    <x v="4"/>
    <x v="2"/>
    <n v="32"/>
    <n v="0"/>
  </r>
  <r>
    <n v="1318"/>
    <x v="48"/>
    <x v="0"/>
    <s v="Pants"/>
    <x v="0"/>
    <n v="43"/>
    <s v="Kentucky"/>
    <s v="M"/>
    <s v="Green"/>
    <x v="1"/>
    <x v="11"/>
    <s v="No"/>
    <x v="1"/>
    <x v="0"/>
    <x v="0"/>
    <x v="5"/>
    <x v="1"/>
    <x v="5"/>
    <x v="2"/>
    <n v="43"/>
    <n v="0"/>
  </r>
  <r>
    <n v="1319"/>
    <x v="16"/>
    <x v="0"/>
    <s v="Shorts"/>
    <x v="0"/>
    <n v="93"/>
    <s v="Connecticut"/>
    <s v="M"/>
    <s v="Maroon"/>
    <x v="1"/>
    <x v="2"/>
    <s v="No"/>
    <x v="0"/>
    <x v="0"/>
    <x v="0"/>
    <x v="5"/>
    <x v="2"/>
    <x v="4"/>
    <x v="0"/>
    <n v="93"/>
    <n v="0"/>
  </r>
  <r>
    <n v="1320"/>
    <x v="13"/>
    <x v="0"/>
    <s v="Sunglasses"/>
    <x v="3"/>
    <n v="24"/>
    <s v="Oklahoma"/>
    <s v="M"/>
    <s v="Magenta"/>
    <x v="1"/>
    <x v="17"/>
    <s v="No"/>
    <x v="3"/>
    <x v="0"/>
    <x v="0"/>
    <x v="26"/>
    <x v="4"/>
    <x v="1"/>
    <x v="0"/>
    <n v="24"/>
    <n v="0"/>
  </r>
  <r>
    <n v="1321"/>
    <x v="19"/>
    <x v="0"/>
    <s v="Hat"/>
    <x v="3"/>
    <n v="31"/>
    <s v="California"/>
    <s v="XL"/>
    <s v="Teal"/>
    <x v="3"/>
    <x v="0"/>
    <s v="No"/>
    <x v="1"/>
    <x v="0"/>
    <x v="0"/>
    <x v="5"/>
    <x v="5"/>
    <x v="2"/>
    <x v="0"/>
    <n v="31"/>
    <n v="0"/>
  </r>
  <r>
    <n v="1322"/>
    <x v="35"/>
    <x v="0"/>
    <s v="T-shirt"/>
    <x v="0"/>
    <n v="84"/>
    <s v="Missouri"/>
    <s v="L"/>
    <s v="Orange"/>
    <x v="0"/>
    <x v="18"/>
    <s v="No"/>
    <x v="0"/>
    <x v="0"/>
    <x v="0"/>
    <x v="24"/>
    <x v="4"/>
    <x v="6"/>
    <x v="0"/>
    <n v="84"/>
    <n v="0"/>
  </r>
  <r>
    <n v="1323"/>
    <x v="51"/>
    <x v="0"/>
    <s v="Pants"/>
    <x v="0"/>
    <n v="74"/>
    <s v="Washington"/>
    <s v="M"/>
    <s v="Violet"/>
    <x v="0"/>
    <x v="17"/>
    <s v="No"/>
    <x v="2"/>
    <x v="0"/>
    <x v="0"/>
    <x v="14"/>
    <x v="4"/>
    <x v="3"/>
    <x v="1"/>
    <n v="74"/>
    <n v="0"/>
  </r>
  <r>
    <n v="1324"/>
    <x v="44"/>
    <x v="0"/>
    <s v="Shorts"/>
    <x v="0"/>
    <n v="62"/>
    <s v="New York"/>
    <s v="M"/>
    <s v="Yellow"/>
    <x v="1"/>
    <x v="12"/>
    <s v="No"/>
    <x v="3"/>
    <x v="0"/>
    <x v="0"/>
    <x v="28"/>
    <x v="5"/>
    <x v="6"/>
    <x v="0"/>
    <n v="62"/>
    <n v="0"/>
  </r>
  <r>
    <n v="1325"/>
    <x v="31"/>
    <x v="0"/>
    <s v="Jewelry"/>
    <x v="3"/>
    <n v="77"/>
    <s v="Indiana"/>
    <s v="S"/>
    <s v="Orange"/>
    <x v="2"/>
    <x v="22"/>
    <s v="No"/>
    <x v="1"/>
    <x v="0"/>
    <x v="0"/>
    <x v="47"/>
    <x v="2"/>
    <x v="0"/>
    <x v="2"/>
    <n v="77"/>
    <n v="0"/>
  </r>
  <r>
    <n v="1326"/>
    <x v="48"/>
    <x v="0"/>
    <s v="Backpack"/>
    <x v="3"/>
    <n v="73"/>
    <s v="Oregon"/>
    <s v="L"/>
    <s v="Gold"/>
    <x v="2"/>
    <x v="1"/>
    <s v="No"/>
    <x v="0"/>
    <x v="0"/>
    <x v="0"/>
    <x v="43"/>
    <x v="1"/>
    <x v="5"/>
    <x v="2"/>
    <n v="73"/>
    <n v="0"/>
  </r>
  <r>
    <n v="1327"/>
    <x v="37"/>
    <x v="0"/>
    <s v="Shoes"/>
    <x v="1"/>
    <n v="50"/>
    <s v="Texas"/>
    <s v="M"/>
    <s v="Indigo"/>
    <x v="1"/>
    <x v="12"/>
    <s v="No"/>
    <x v="1"/>
    <x v="0"/>
    <x v="0"/>
    <x v="14"/>
    <x v="1"/>
    <x v="5"/>
    <x v="2"/>
    <n v="50"/>
    <n v="0"/>
  </r>
  <r>
    <n v="1328"/>
    <x v="16"/>
    <x v="0"/>
    <s v="Coat"/>
    <x v="2"/>
    <n v="40"/>
    <s v="Florida"/>
    <s v="M"/>
    <s v="Turquoise"/>
    <x v="0"/>
    <x v="11"/>
    <s v="No"/>
    <x v="3"/>
    <x v="0"/>
    <x v="0"/>
    <x v="10"/>
    <x v="1"/>
    <x v="1"/>
    <x v="0"/>
    <n v="40"/>
    <n v="0"/>
  </r>
  <r>
    <n v="1329"/>
    <x v="43"/>
    <x v="0"/>
    <s v="Sweater"/>
    <x v="0"/>
    <n v="97"/>
    <s v="Rhode Island"/>
    <s v="M"/>
    <s v="Orange"/>
    <x v="0"/>
    <x v="18"/>
    <s v="No"/>
    <x v="3"/>
    <x v="0"/>
    <x v="0"/>
    <x v="19"/>
    <x v="4"/>
    <x v="1"/>
    <x v="2"/>
    <n v="97"/>
    <n v="0"/>
  </r>
  <r>
    <n v="1330"/>
    <x v="27"/>
    <x v="0"/>
    <s v="Gloves"/>
    <x v="3"/>
    <n v="63"/>
    <s v="Texas"/>
    <s v="M"/>
    <s v="Indigo"/>
    <x v="3"/>
    <x v="13"/>
    <s v="No"/>
    <x v="0"/>
    <x v="0"/>
    <x v="0"/>
    <x v="16"/>
    <x v="3"/>
    <x v="6"/>
    <x v="0"/>
    <n v="63"/>
    <n v="0"/>
  </r>
  <r>
    <n v="1331"/>
    <x v="11"/>
    <x v="0"/>
    <s v="Handbag"/>
    <x v="3"/>
    <n v="65"/>
    <s v="Vermont"/>
    <s v="M"/>
    <s v="Charcoal"/>
    <x v="3"/>
    <x v="3"/>
    <s v="No"/>
    <x v="3"/>
    <x v="0"/>
    <x v="0"/>
    <x v="41"/>
    <x v="3"/>
    <x v="4"/>
    <x v="2"/>
    <n v="65"/>
    <n v="0"/>
  </r>
  <r>
    <n v="1332"/>
    <x v="21"/>
    <x v="0"/>
    <s v="Socks"/>
    <x v="0"/>
    <n v="91"/>
    <s v="Maryland"/>
    <s v="M"/>
    <s v="Lavender"/>
    <x v="1"/>
    <x v="4"/>
    <s v="No"/>
    <x v="3"/>
    <x v="0"/>
    <x v="0"/>
    <x v="6"/>
    <x v="3"/>
    <x v="4"/>
    <x v="2"/>
    <n v="91"/>
    <n v="0"/>
  </r>
  <r>
    <n v="1333"/>
    <x v="17"/>
    <x v="0"/>
    <s v="Hoodie"/>
    <x v="0"/>
    <n v="60"/>
    <s v="Alaska"/>
    <s v="S"/>
    <s v="Gold"/>
    <x v="1"/>
    <x v="24"/>
    <s v="No"/>
    <x v="5"/>
    <x v="0"/>
    <x v="0"/>
    <x v="20"/>
    <x v="4"/>
    <x v="3"/>
    <x v="0"/>
    <n v="60"/>
    <n v="0"/>
  </r>
  <r>
    <n v="1334"/>
    <x v="26"/>
    <x v="0"/>
    <s v="Pants"/>
    <x v="0"/>
    <n v="69"/>
    <s v="Idaho"/>
    <s v="M"/>
    <s v="Lavender"/>
    <x v="0"/>
    <x v="2"/>
    <s v="No"/>
    <x v="2"/>
    <x v="0"/>
    <x v="0"/>
    <x v="44"/>
    <x v="4"/>
    <x v="3"/>
    <x v="2"/>
    <n v="69"/>
    <n v="0"/>
  </r>
  <r>
    <n v="1335"/>
    <x v="5"/>
    <x v="0"/>
    <s v="Coat"/>
    <x v="2"/>
    <n v="52"/>
    <s v="West Virginia"/>
    <s v="S"/>
    <s v="White"/>
    <x v="1"/>
    <x v="19"/>
    <s v="No"/>
    <x v="5"/>
    <x v="0"/>
    <x v="0"/>
    <x v="45"/>
    <x v="0"/>
    <x v="5"/>
    <x v="2"/>
    <n v="52"/>
    <n v="0"/>
  </r>
  <r>
    <n v="1336"/>
    <x v="19"/>
    <x v="0"/>
    <s v="Boots"/>
    <x v="1"/>
    <n v="49"/>
    <s v="Nevada"/>
    <s v="M"/>
    <s v="Lavender"/>
    <x v="3"/>
    <x v="6"/>
    <s v="No"/>
    <x v="4"/>
    <x v="0"/>
    <x v="0"/>
    <x v="8"/>
    <x v="2"/>
    <x v="1"/>
    <x v="0"/>
    <n v="49"/>
    <n v="0"/>
  </r>
  <r>
    <n v="1337"/>
    <x v="51"/>
    <x v="0"/>
    <s v="Sneakers"/>
    <x v="1"/>
    <n v="85"/>
    <s v="Oregon"/>
    <s v="M"/>
    <s v="Charcoal"/>
    <x v="1"/>
    <x v="6"/>
    <s v="No"/>
    <x v="5"/>
    <x v="0"/>
    <x v="0"/>
    <x v="12"/>
    <x v="5"/>
    <x v="0"/>
    <x v="1"/>
    <n v="85"/>
    <n v="0"/>
  </r>
  <r>
    <n v="1338"/>
    <x v="43"/>
    <x v="0"/>
    <s v="Sweater"/>
    <x v="0"/>
    <n v="86"/>
    <s v="Tennessee"/>
    <s v="L"/>
    <s v="Silver"/>
    <x v="1"/>
    <x v="23"/>
    <s v="No"/>
    <x v="0"/>
    <x v="0"/>
    <x v="0"/>
    <x v="5"/>
    <x v="2"/>
    <x v="4"/>
    <x v="2"/>
    <n v="86"/>
    <n v="0"/>
  </r>
  <r>
    <n v="1339"/>
    <x v="19"/>
    <x v="0"/>
    <s v="Handbag"/>
    <x v="3"/>
    <n v="51"/>
    <s v="Alabama"/>
    <s v="S"/>
    <s v="Yellow"/>
    <x v="0"/>
    <x v="5"/>
    <s v="No"/>
    <x v="3"/>
    <x v="0"/>
    <x v="0"/>
    <x v="34"/>
    <x v="3"/>
    <x v="0"/>
    <x v="0"/>
    <n v="51"/>
    <n v="0"/>
  </r>
  <r>
    <n v="1340"/>
    <x v="24"/>
    <x v="0"/>
    <s v="Belt"/>
    <x v="3"/>
    <n v="56"/>
    <s v="Indiana"/>
    <s v="L"/>
    <s v="Olive"/>
    <x v="0"/>
    <x v="16"/>
    <s v="No"/>
    <x v="2"/>
    <x v="0"/>
    <x v="0"/>
    <x v="36"/>
    <x v="4"/>
    <x v="6"/>
    <x v="2"/>
    <n v="56"/>
    <n v="0"/>
  </r>
  <r>
    <n v="1341"/>
    <x v="37"/>
    <x v="0"/>
    <s v="Belt"/>
    <x v="3"/>
    <n v="72"/>
    <s v="Idaho"/>
    <s v="M"/>
    <s v="Peach"/>
    <x v="3"/>
    <x v="14"/>
    <s v="No"/>
    <x v="2"/>
    <x v="0"/>
    <x v="0"/>
    <x v="36"/>
    <x v="5"/>
    <x v="6"/>
    <x v="2"/>
    <n v="72"/>
    <n v="0"/>
  </r>
  <r>
    <n v="1342"/>
    <x v="8"/>
    <x v="0"/>
    <s v="Hoodie"/>
    <x v="0"/>
    <n v="27"/>
    <s v="Rhode Island"/>
    <s v="XL"/>
    <s v="Yellow"/>
    <x v="3"/>
    <x v="3"/>
    <s v="No"/>
    <x v="3"/>
    <x v="0"/>
    <x v="0"/>
    <x v="4"/>
    <x v="4"/>
    <x v="3"/>
    <x v="2"/>
    <n v="27"/>
    <n v="0"/>
  </r>
  <r>
    <n v="1343"/>
    <x v="9"/>
    <x v="0"/>
    <s v="Sunglasses"/>
    <x v="3"/>
    <n v="43"/>
    <s v="Arizona"/>
    <s v="XL"/>
    <s v="Yellow"/>
    <x v="2"/>
    <x v="23"/>
    <s v="No"/>
    <x v="4"/>
    <x v="0"/>
    <x v="0"/>
    <x v="47"/>
    <x v="4"/>
    <x v="5"/>
    <x v="0"/>
    <n v="43"/>
    <n v="0"/>
  </r>
  <r>
    <n v="1344"/>
    <x v="33"/>
    <x v="0"/>
    <s v="Sneakers"/>
    <x v="1"/>
    <n v="56"/>
    <s v="Florida"/>
    <s v="M"/>
    <s v="Indigo"/>
    <x v="1"/>
    <x v="23"/>
    <s v="No"/>
    <x v="3"/>
    <x v="0"/>
    <x v="0"/>
    <x v="11"/>
    <x v="4"/>
    <x v="5"/>
    <x v="0"/>
    <n v="56"/>
    <n v="0"/>
  </r>
  <r>
    <n v="1345"/>
    <x v="19"/>
    <x v="0"/>
    <s v="T-shirt"/>
    <x v="0"/>
    <n v="37"/>
    <s v="New York"/>
    <s v="S"/>
    <s v="Violet"/>
    <x v="3"/>
    <x v="8"/>
    <s v="No"/>
    <x v="2"/>
    <x v="0"/>
    <x v="0"/>
    <x v="0"/>
    <x v="1"/>
    <x v="2"/>
    <x v="0"/>
    <n v="37"/>
    <n v="0"/>
  </r>
  <r>
    <n v="1346"/>
    <x v="37"/>
    <x v="0"/>
    <s v="Dress"/>
    <x v="0"/>
    <n v="21"/>
    <s v="Nebraska"/>
    <s v="M"/>
    <s v="White"/>
    <x v="3"/>
    <x v="15"/>
    <s v="No"/>
    <x v="3"/>
    <x v="0"/>
    <x v="0"/>
    <x v="38"/>
    <x v="0"/>
    <x v="1"/>
    <x v="2"/>
    <n v="21"/>
    <n v="0"/>
  </r>
  <r>
    <n v="1347"/>
    <x v="42"/>
    <x v="0"/>
    <s v="Hoodie"/>
    <x v="0"/>
    <n v="91"/>
    <s v="Mississippi"/>
    <s v="L"/>
    <s v="White"/>
    <x v="0"/>
    <x v="21"/>
    <s v="No"/>
    <x v="1"/>
    <x v="0"/>
    <x v="0"/>
    <x v="28"/>
    <x v="0"/>
    <x v="4"/>
    <x v="2"/>
    <n v="91"/>
    <n v="0"/>
  </r>
  <r>
    <n v="1348"/>
    <x v="42"/>
    <x v="0"/>
    <s v="Sweater"/>
    <x v="0"/>
    <n v="95"/>
    <s v="Vermont"/>
    <s v="M"/>
    <s v="Cyan"/>
    <x v="2"/>
    <x v="20"/>
    <s v="No"/>
    <x v="4"/>
    <x v="0"/>
    <x v="0"/>
    <x v="39"/>
    <x v="4"/>
    <x v="5"/>
    <x v="2"/>
    <n v="95"/>
    <n v="0"/>
  </r>
  <r>
    <n v="1349"/>
    <x v="1"/>
    <x v="0"/>
    <s v="Belt"/>
    <x v="3"/>
    <n v="54"/>
    <s v="Nebraska"/>
    <s v="XL"/>
    <s v="Purple"/>
    <x v="1"/>
    <x v="4"/>
    <s v="No"/>
    <x v="3"/>
    <x v="0"/>
    <x v="0"/>
    <x v="2"/>
    <x v="2"/>
    <x v="0"/>
    <x v="1"/>
    <n v="54"/>
    <n v="0"/>
  </r>
  <r>
    <n v="1350"/>
    <x v="3"/>
    <x v="0"/>
    <s v="Socks"/>
    <x v="0"/>
    <n v="36"/>
    <s v="South Carolina"/>
    <s v="XL"/>
    <s v="Black"/>
    <x v="1"/>
    <x v="4"/>
    <s v="No"/>
    <x v="2"/>
    <x v="0"/>
    <x v="0"/>
    <x v="2"/>
    <x v="1"/>
    <x v="4"/>
    <x v="1"/>
    <n v="36"/>
    <n v="0"/>
  </r>
  <r>
    <n v="1351"/>
    <x v="18"/>
    <x v="0"/>
    <s v="Sunglasses"/>
    <x v="3"/>
    <n v="71"/>
    <s v="Delaware"/>
    <s v="M"/>
    <s v="Orange"/>
    <x v="3"/>
    <x v="24"/>
    <s v="No"/>
    <x v="2"/>
    <x v="0"/>
    <x v="0"/>
    <x v="43"/>
    <x v="1"/>
    <x v="6"/>
    <x v="2"/>
    <n v="71"/>
    <n v="0"/>
  </r>
  <r>
    <n v="1352"/>
    <x v="11"/>
    <x v="0"/>
    <s v="Coat"/>
    <x v="2"/>
    <n v="31"/>
    <s v="Vermont"/>
    <s v="L"/>
    <s v="Maroon"/>
    <x v="2"/>
    <x v="11"/>
    <s v="No"/>
    <x v="4"/>
    <x v="0"/>
    <x v="0"/>
    <x v="40"/>
    <x v="4"/>
    <x v="3"/>
    <x v="2"/>
    <n v="31"/>
    <n v="0"/>
  </r>
  <r>
    <n v="1353"/>
    <x v="13"/>
    <x v="0"/>
    <s v="Hat"/>
    <x v="3"/>
    <n v="89"/>
    <s v="Indiana"/>
    <s v="XL"/>
    <s v="Orange"/>
    <x v="1"/>
    <x v="9"/>
    <s v="No"/>
    <x v="2"/>
    <x v="0"/>
    <x v="0"/>
    <x v="10"/>
    <x v="2"/>
    <x v="4"/>
    <x v="0"/>
    <n v="89"/>
    <n v="0"/>
  </r>
  <r>
    <n v="1354"/>
    <x v="31"/>
    <x v="0"/>
    <s v="Pants"/>
    <x v="0"/>
    <n v="83"/>
    <s v="Oregon"/>
    <s v="M"/>
    <s v="Teal"/>
    <x v="0"/>
    <x v="7"/>
    <s v="No"/>
    <x v="2"/>
    <x v="0"/>
    <x v="0"/>
    <x v="7"/>
    <x v="1"/>
    <x v="6"/>
    <x v="2"/>
    <n v="83"/>
    <n v="0"/>
  </r>
  <r>
    <n v="1355"/>
    <x v="14"/>
    <x v="0"/>
    <s v="Backpack"/>
    <x v="3"/>
    <n v="42"/>
    <s v="Maryland"/>
    <s v="M"/>
    <s v="Gray"/>
    <x v="1"/>
    <x v="15"/>
    <s v="No"/>
    <x v="4"/>
    <x v="0"/>
    <x v="0"/>
    <x v="33"/>
    <x v="4"/>
    <x v="3"/>
    <x v="0"/>
    <n v="42"/>
    <n v="0"/>
  </r>
  <r>
    <n v="1356"/>
    <x v="35"/>
    <x v="0"/>
    <s v="Shorts"/>
    <x v="0"/>
    <n v="91"/>
    <s v="Florida"/>
    <s v="M"/>
    <s v="Blue"/>
    <x v="2"/>
    <x v="21"/>
    <s v="No"/>
    <x v="4"/>
    <x v="0"/>
    <x v="0"/>
    <x v="16"/>
    <x v="3"/>
    <x v="4"/>
    <x v="0"/>
    <n v="91"/>
    <n v="0"/>
  </r>
  <r>
    <n v="1357"/>
    <x v="34"/>
    <x v="0"/>
    <s v="Jacket"/>
    <x v="2"/>
    <n v="61"/>
    <s v="Indiana"/>
    <s v="M"/>
    <s v="Cyan"/>
    <x v="1"/>
    <x v="17"/>
    <s v="No"/>
    <x v="1"/>
    <x v="0"/>
    <x v="0"/>
    <x v="11"/>
    <x v="4"/>
    <x v="2"/>
    <x v="2"/>
    <n v="61"/>
    <n v="0"/>
  </r>
  <r>
    <n v="1358"/>
    <x v="41"/>
    <x v="0"/>
    <s v="Backpack"/>
    <x v="3"/>
    <n v="66"/>
    <s v="Texas"/>
    <s v="S"/>
    <s v="Red"/>
    <x v="2"/>
    <x v="1"/>
    <s v="No"/>
    <x v="2"/>
    <x v="0"/>
    <x v="0"/>
    <x v="41"/>
    <x v="1"/>
    <x v="3"/>
    <x v="1"/>
    <n v="66"/>
    <n v="0"/>
  </r>
  <r>
    <n v="1359"/>
    <x v="1"/>
    <x v="0"/>
    <s v="Scarf"/>
    <x v="3"/>
    <n v="22"/>
    <s v="Nebraska"/>
    <s v="XL"/>
    <s v="Pink"/>
    <x v="1"/>
    <x v="25"/>
    <s v="No"/>
    <x v="5"/>
    <x v="0"/>
    <x v="0"/>
    <x v="29"/>
    <x v="0"/>
    <x v="6"/>
    <x v="1"/>
    <n v="22"/>
    <n v="0"/>
  </r>
  <r>
    <n v="1360"/>
    <x v="7"/>
    <x v="0"/>
    <s v="Hoodie"/>
    <x v="0"/>
    <n v="68"/>
    <s v="North Carolina"/>
    <s v="S"/>
    <s v="Cyan"/>
    <x v="0"/>
    <x v="24"/>
    <s v="No"/>
    <x v="5"/>
    <x v="0"/>
    <x v="0"/>
    <x v="8"/>
    <x v="4"/>
    <x v="0"/>
    <x v="2"/>
    <n v="68"/>
    <n v="0"/>
  </r>
  <r>
    <n v="1361"/>
    <x v="19"/>
    <x v="0"/>
    <s v="Skirt"/>
    <x v="0"/>
    <n v="43"/>
    <s v="Alabama"/>
    <s v="L"/>
    <s v="Black"/>
    <x v="3"/>
    <x v="11"/>
    <s v="No"/>
    <x v="0"/>
    <x v="0"/>
    <x v="0"/>
    <x v="7"/>
    <x v="4"/>
    <x v="2"/>
    <x v="0"/>
    <n v="43"/>
    <n v="0"/>
  </r>
  <r>
    <n v="1362"/>
    <x v="34"/>
    <x v="0"/>
    <s v="Dress"/>
    <x v="0"/>
    <n v="32"/>
    <s v="Alabama"/>
    <s v="M"/>
    <s v="Beige"/>
    <x v="3"/>
    <x v="18"/>
    <s v="No"/>
    <x v="2"/>
    <x v="0"/>
    <x v="0"/>
    <x v="30"/>
    <x v="5"/>
    <x v="5"/>
    <x v="2"/>
    <n v="32"/>
    <n v="0"/>
  </r>
  <r>
    <n v="1363"/>
    <x v="38"/>
    <x v="0"/>
    <s v="Coat"/>
    <x v="2"/>
    <n v="46"/>
    <s v="Colorado"/>
    <s v="M"/>
    <s v="Gray"/>
    <x v="3"/>
    <x v="24"/>
    <s v="No"/>
    <x v="0"/>
    <x v="0"/>
    <x v="0"/>
    <x v="32"/>
    <x v="1"/>
    <x v="1"/>
    <x v="2"/>
    <n v="46"/>
    <n v="0"/>
  </r>
  <r>
    <n v="1364"/>
    <x v="24"/>
    <x v="0"/>
    <s v="Blouse"/>
    <x v="0"/>
    <n v="90"/>
    <s v="Wisconsin"/>
    <s v="L"/>
    <s v="Red"/>
    <x v="2"/>
    <x v="17"/>
    <s v="No"/>
    <x v="0"/>
    <x v="0"/>
    <x v="0"/>
    <x v="39"/>
    <x v="3"/>
    <x v="3"/>
    <x v="2"/>
    <n v="90"/>
    <n v="0"/>
  </r>
  <r>
    <n v="1365"/>
    <x v="33"/>
    <x v="0"/>
    <s v="Hat"/>
    <x v="3"/>
    <n v="75"/>
    <s v="Delaware"/>
    <s v="L"/>
    <s v="Yellow"/>
    <x v="3"/>
    <x v="10"/>
    <s v="No"/>
    <x v="0"/>
    <x v="0"/>
    <x v="0"/>
    <x v="36"/>
    <x v="1"/>
    <x v="6"/>
    <x v="0"/>
    <n v="75"/>
    <n v="0"/>
  </r>
  <r>
    <n v="1366"/>
    <x v="48"/>
    <x v="0"/>
    <s v="Handbag"/>
    <x v="3"/>
    <n v="69"/>
    <s v="Indiana"/>
    <s v="M"/>
    <s v="Magenta"/>
    <x v="0"/>
    <x v="9"/>
    <s v="No"/>
    <x v="5"/>
    <x v="0"/>
    <x v="0"/>
    <x v="27"/>
    <x v="4"/>
    <x v="0"/>
    <x v="2"/>
    <n v="69"/>
    <n v="0"/>
  </r>
  <r>
    <n v="1367"/>
    <x v="4"/>
    <x v="0"/>
    <s v="Belt"/>
    <x v="3"/>
    <n v="40"/>
    <s v="Iowa"/>
    <s v="M"/>
    <s v="Magenta"/>
    <x v="3"/>
    <x v="0"/>
    <s v="No"/>
    <x v="1"/>
    <x v="0"/>
    <x v="0"/>
    <x v="9"/>
    <x v="2"/>
    <x v="0"/>
    <x v="2"/>
    <n v="40"/>
    <n v="0"/>
  </r>
  <r>
    <n v="1368"/>
    <x v="52"/>
    <x v="0"/>
    <s v="Belt"/>
    <x v="3"/>
    <n v="63"/>
    <s v="Iowa"/>
    <s v="S"/>
    <s v="Black"/>
    <x v="3"/>
    <x v="22"/>
    <s v="No"/>
    <x v="0"/>
    <x v="0"/>
    <x v="0"/>
    <x v="29"/>
    <x v="1"/>
    <x v="3"/>
    <x v="0"/>
    <n v="63"/>
    <n v="0"/>
  </r>
  <r>
    <n v="1369"/>
    <x v="3"/>
    <x v="0"/>
    <s v="Shirt"/>
    <x v="0"/>
    <n v="36"/>
    <s v="Wisconsin"/>
    <s v="L"/>
    <s v="Orange"/>
    <x v="2"/>
    <x v="8"/>
    <s v="No"/>
    <x v="0"/>
    <x v="0"/>
    <x v="0"/>
    <x v="1"/>
    <x v="1"/>
    <x v="1"/>
    <x v="1"/>
    <n v="36"/>
    <n v="0"/>
  </r>
  <r>
    <n v="1370"/>
    <x v="45"/>
    <x v="0"/>
    <s v="Shoes"/>
    <x v="1"/>
    <n v="75"/>
    <s v="Iowa"/>
    <s v="M"/>
    <s v="Green"/>
    <x v="0"/>
    <x v="4"/>
    <s v="No"/>
    <x v="3"/>
    <x v="0"/>
    <x v="0"/>
    <x v="26"/>
    <x v="0"/>
    <x v="0"/>
    <x v="2"/>
    <n v="75"/>
    <n v="0"/>
  </r>
  <r>
    <n v="1371"/>
    <x v="7"/>
    <x v="0"/>
    <s v="Scarf"/>
    <x v="3"/>
    <n v="67"/>
    <s v="Montana"/>
    <s v="L"/>
    <s v="Peach"/>
    <x v="2"/>
    <x v="3"/>
    <s v="No"/>
    <x v="4"/>
    <x v="0"/>
    <x v="0"/>
    <x v="23"/>
    <x v="4"/>
    <x v="6"/>
    <x v="2"/>
    <n v="67"/>
    <n v="0"/>
  </r>
  <r>
    <n v="1372"/>
    <x v="37"/>
    <x v="0"/>
    <s v="Pants"/>
    <x v="0"/>
    <n v="64"/>
    <s v="Mississippi"/>
    <s v="M"/>
    <s v="Charcoal"/>
    <x v="1"/>
    <x v="11"/>
    <s v="No"/>
    <x v="5"/>
    <x v="0"/>
    <x v="0"/>
    <x v="38"/>
    <x v="2"/>
    <x v="5"/>
    <x v="2"/>
    <n v="64"/>
    <n v="0"/>
  </r>
  <r>
    <n v="1373"/>
    <x v="14"/>
    <x v="0"/>
    <s v="Blouse"/>
    <x v="0"/>
    <n v="61"/>
    <s v="Michigan"/>
    <s v="M"/>
    <s v="Gray"/>
    <x v="3"/>
    <x v="17"/>
    <s v="No"/>
    <x v="4"/>
    <x v="0"/>
    <x v="0"/>
    <x v="12"/>
    <x v="3"/>
    <x v="4"/>
    <x v="0"/>
    <n v="61"/>
    <n v="0"/>
  </r>
  <r>
    <n v="1374"/>
    <x v="20"/>
    <x v="0"/>
    <s v="Gloves"/>
    <x v="3"/>
    <n v="40"/>
    <s v="Virginia"/>
    <s v="L"/>
    <s v="Turquoise"/>
    <x v="0"/>
    <x v="5"/>
    <s v="No"/>
    <x v="5"/>
    <x v="0"/>
    <x v="0"/>
    <x v="49"/>
    <x v="1"/>
    <x v="3"/>
    <x v="1"/>
    <n v="40"/>
    <n v="0"/>
  </r>
  <r>
    <n v="1375"/>
    <x v="40"/>
    <x v="0"/>
    <s v="Handbag"/>
    <x v="3"/>
    <n v="97"/>
    <s v="New York"/>
    <s v="M"/>
    <s v="Red"/>
    <x v="3"/>
    <x v="2"/>
    <s v="No"/>
    <x v="1"/>
    <x v="0"/>
    <x v="0"/>
    <x v="36"/>
    <x v="4"/>
    <x v="3"/>
    <x v="1"/>
    <n v="97"/>
    <n v="0"/>
  </r>
  <r>
    <n v="1376"/>
    <x v="32"/>
    <x v="0"/>
    <s v="Sneakers"/>
    <x v="1"/>
    <n v="31"/>
    <s v="Maine"/>
    <s v="L"/>
    <s v="Brown"/>
    <x v="1"/>
    <x v="7"/>
    <s v="No"/>
    <x v="4"/>
    <x v="0"/>
    <x v="0"/>
    <x v="6"/>
    <x v="2"/>
    <x v="2"/>
    <x v="2"/>
    <n v="31"/>
    <n v="0"/>
  </r>
  <r>
    <n v="1377"/>
    <x v="9"/>
    <x v="0"/>
    <s v="Sandals"/>
    <x v="1"/>
    <n v="65"/>
    <s v="New Jersey"/>
    <s v="L"/>
    <s v="Pink"/>
    <x v="1"/>
    <x v="16"/>
    <s v="No"/>
    <x v="1"/>
    <x v="0"/>
    <x v="0"/>
    <x v="37"/>
    <x v="3"/>
    <x v="2"/>
    <x v="0"/>
    <n v="65"/>
    <n v="0"/>
  </r>
  <r>
    <n v="1378"/>
    <x v="23"/>
    <x v="0"/>
    <s v="Sunglasses"/>
    <x v="3"/>
    <n v="54"/>
    <s v="Maryland"/>
    <s v="L"/>
    <s v="Olive"/>
    <x v="1"/>
    <x v="21"/>
    <s v="No"/>
    <x v="2"/>
    <x v="0"/>
    <x v="0"/>
    <x v="38"/>
    <x v="0"/>
    <x v="5"/>
    <x v="2"/>
    <n v="54"/>
    <n v="0"/>
  </r>
  <r>
    <n v="1379"/>
    <x v="43"/>
    <x v="0"/>
    <s v="Jacket"/>
    <x v="2"/>
    <n v="49"/>
    <s v="Kentucky"/>
    <s v="XL"/>
    <s v="Lavender"/>
    <x v="3"/>
    <x v="15"/>
    <s v="No"/>
    <x v="1"/>
    <x v="0"/>
    <x v="0"/>
    <x v="37"/>
    <x v="0"/>
    <x v="1"/>
    <x v="2"/>
    <n v="49"/>
    <n v="0"/>
  </r>
  <r>
    <n v="1380"/>
    <x v="3"/>
    <x v="0"/>
    <s v="T-shirt"/>
    <x v="0"/>
    <n v="64"/>
    <s v="Minnesota"/>
    <s v="L"/>
    <s v="Purple"/>
    <x v="3"/>
    <x v="11"/>
    <s v="No"/>
    <x v="4"/>
    <x v="0"/>
    <x v="0"/>
    <x v="25"/>
    <x v="0"/>
    <x v="4"/>
    <x v="1"/>
    <n v="64"/>
    <n v="0"/>
  </r>
  <r>
    <n v="1381"/>
    <x v="47"/>
    <x v="0"/>
    <s v="Sneakers"/>
    <x v="1"/>
    <n v="35"/>
    <s v="Massachusetts"/>
    <s v="S"/>
    <s v="Beige"/>
    <x v="0"/>
    <x v="12"/>
    <s v="No"/>
    <x v="3"/>
    <x v="0"/>
    <x v="0"/>
    <x v="23"/>
    <x v="1"/>
    <x v="0"/>
    <x v="0"/>
    <n v="35"/>
    <n v="0"/>
  </r>
  <r>
    <n v="1382"/>
    <x v="11"/>
    <x v="0"/>
    <s v="Shoes"/>
    <x v="1"/>
    <n v="86"/>
    <s v="Illinois"/>
    <s v="L"/>
    <s v="Green"/>
    <x v="0"/>
    <x v="3"/>
    <s v="No"/>
    <x v="3"/>
    <x v="0"/>
    <x v="0"/>
    <x v="26"/>
    <x v="0"/>
    <x v="3"/>
    <x v="2"/>
    <n v="86"/>
    <n v="0"/>
  </r>
  <r>
    <n v="1383"/>
    <x v="33"/>
    <x v="0"/>
    <s v="Jacket"/>
    <x v="2"/>
    <n v="55"/>
    <s v="Michigan"/>
    <s v="L"/>
    <s v="Brown"/>
    <x v="0"/>
    <x v="6"/>
    <s v="No"/>
    <x v="0"/>
    <x v="0"/>
    <x v="0"/>
    <x v="20"/>
    <x v="4"/>
    <x v="3"/>
    <x v="0"/>
    <n v="55"/>
    <n v="0"/>
  </r>
  <r>
    <n v="1384"/>
    <x v="24"/>
    <x v="0"/>
    <s v="Scarf"/>
    <x v="3"/>
    <n v="58"/>
    <s v="Wisconsin"/>
    <s v="M"/>
    <s v="Beige"/>
    <x v="1"/>
    <x v="13"/>
    <s v="No"/>
    <x v="0"/>
    <x v="0"/>
    <x v="0"/>
    <x v="7"/>
    <x v="0"/>
    <x v="5"/>
    <x v="2"/>
    <n v="58"/>
    <n v="0"/>
  </r>
  <r>
    <n v="1385"/>
    <x v="5"/>
    <x v="0"/>
    <s v="Sneakers"/>
    <x v="1"/>
    <n v="96"/>
    <s v="Alaska"/>
    <s v="M"/>
    <s v="Beige"/>
    <x v="3"/>
    <x v="12"/>
    <s v="No"/>
    <x v="3"/>
    <x v="0"/>
    <x v="0"/>
    <x v="6"/>
    <x v="4"/>
    <x v="1"/>
    <x v="2"/>
    <n v="96"/>
    <n v="0"/>
  </r>
  <r>
    <n v="1386"/>
    <x v="38"/>
    <x v="0"/>
    <s v="Jewelry"/>
    <x v="3"/>
    <n v="64"/>
    <s v="Mississippi"/>
    <s v="M"/>
    <s v="Indigo"/>
    <x v="3"/>
    <x v="5"/>
    <s v="No"/>
    <x v="5"/>
    <x v="0"/>
    <x v="0"/>
    <x v="43"/>
    <x v="4"/>
    <x v="4"/>
    <x v="2"/>
    <n v="64"/>
    <n v="0"/>
  </r>
  <r>
    <n v="1387"/>
    <x v="33"/>
    <x v="0"/>
    <s v="Jacket"/>
    <x v="2"/>
    <n v="56"/>
    <s v="Oregon"/>
    <s v="M"/>
    <s v="Silver"/>
    <x v="3"/>
    <x v="17"/>
    <s v="No"/>
    <x v="2"/>
    <x v="0"/>
    <x v="0"/>
    <x v="7"/>
    <x v="5"/>
    <x v="3"/>
    <x v="0"/>
    <n v="56"/>
    <n v="0"/>
  </r>
  <r>
    <n v="1388"/>
    <x v="3"/>
    <x v="0"/>
    <s v="Blouse"/>
    <x v="0"/>
    <n v="85"/>
    <s v="Maryland"/>
    <s v="M"/>
    <s v="Gold"/>
    <x v="0"/>
    <x v="22"/>
    <s v="No"/>
    <x v="3"/>
    <x v="0"/>
    <x v="0"/>
    <x v="41"/>
    <x v="2"/>
    <x v="5"/>
    <x v="1"/>
    <n v="85"/>
    <n v="0"/>
  </r>
  <r>
    <n v="1389"/>
    <x v="46"/>
    <x v="0"/>
    <s v="Dress"/>
    <x v="0"/>
    <n v="23"/>
    <s v="Arkansas"/>
    <s v="M"/>
    <s v="Lavender"/>
    <x v="1"/>
    <x v="20"/>
    <s v="No"/>
    <x v="0"/>
    <x v="0"/>
    <x v="0"/>
    <x v="19"/>
    <x v="1"/>
    <x v="3"/>
    <x v="0"/>
    <n v="23"/>
    <n v="0"/>
  </r>
  <r>
    <n v="1390"/>
    <x v="35"/>
    <x v="0"/>
    <s v="Scarf"/>
    <x v="3"/>
    <n v="72"/>
    <s v="Illinois"/>
    <s v="L"/>
    <s v="Orange"/>
    <x v="3"/>
    <x v="5"/>
    <s v="No"/>
    <x v="5"/>
    <x v="0"/>
    <x v="0"/>
    <x v="6"/>
    <x v="5"/>
    <x v="0"/>
    <x v="0"/>
    <n v="72"/>
    <n v="0"/>
  </r>
  <r>
    <n v="1391"/>
    <x v="15"/>
    <x v="0"/>
    <s v="Hat"/>
    <x v="3"/>
    <n v="38"/>
    <s v="Arkansas"/>
    <s v="M"/>
    <s v="Maroon"/>
    <x v="2"/>
    <x v="24"/>
    <s v="No"/>
    <x v="3"/>
    <x v="0"/>
    <x v="0"/>
    <x v="38"/>
    <x v="5"/>
    <x v="1"/>
    <x v="1"/>
    <n v="38"/>
    <n v="0"/>
  </r>
  <r>
    <n v="1392"/>
    <x v="10"/>
    <x v="0"/>
    <s v="Blouse"/>
    <x v="0"/>
    <n v="29"/>
    <s v="Mississippi"/>
    <s v="S"/>
    <s v="White"/>
    <x v="0"/>
    <x v="15"/>
    <s v="No"/>
    <x v="0"/>
    <x v="0"/>
    <x v="0"/>
    <x v="25"/>
    <x v="2"/>
    <x v="2"/>
    <x v="0"/>
    <n v="29"/>
    <n v="0"/>
  </r>
  <r>
    <n v="1393"/>
    <x v="18"/>
    <x v="0"/>
    <s v="Gloves"/>
    <x v="3"/>
    <n v="46"/>
    <s v="Arkansas"/>
    <s v="M"/>
    <s v="Yellow"/>
    <x v="1"/>
    <x v="19"/>
    <s v="No"/>
    <x v="0"/>
    <x v="0"/>
    <x v="0"/>
    <x v="11"/>
    <x v="0"/>
    <x v="6"/>
    <x v="2"/>
    <n v="46"/>
    <n v="0"/>
  </r>
  <r>
    <n v="1394"/>
    <x v="5"/>
    <x v="0"/>
    <s v="Gloves"/>
    <x v="3"/>
    <n v="58"/>
    <s v="Idaho"/>
    <s v="L"/>
    <s v="Yellow"/>
    <x v="1"/>
    <x v="20"/>
    <s v="No"/>
    <x v="0"/>
    <x v="0"/>
    <x v="0"/>
    <x v="0"/>
    <x v="3"/>
    <x v="0"/>
    <x v="2"/>
    <n v="58"/>
    <n v="0"/>
  </r>
  <r>
    <n v="1395"/>
    <x v="8"/>
    <x v="0"/>
    <s v="Coat"/>
    <x v="2"/>
    <n v="43"/>
    <s v="Iowa"/>
    <s v="L"/>
    <s v="Magenta"/>
    <x v="3"/>
    <x v="10"/>
    <s v="No"/>
    <x v="2"/>
    <x v="0"/>
    <x v="0"/>
    <x v="30"/>
    <x v="1"/>
    <x v="1"/>
    <x v="2"/>
    <n v="43"/>
    <n v="0"/>
  </r>
  <r>
    <n v="1396"/>
    <x v="36"/>
    <x v="0"/>
    <s v="Scarf"/>
    <x v="3"/>
    <n v="32"/>
    <s v="West Virginia"/>
    <s v="L"/>
    <s v="Turquoise"/>
    <x v="1"/>
    <x v="11"/>
    <s v="No"/>
    <x v="2"/>
    <x v="0"/>
    <x v="0"/>
    <x v="19"/>
    <x v="3"/>
    <x v="4"/>
    <x v="2"/>
    <n v="32"/>
    <n v="0"/>
  </r>
  <r>
    <n v="1397"/>
    <x v="43"/>
    <x v="0"/>
    <s v="Pants"/>
    <x v="0"/>
    <n v="30"/>
    <s v="Wisconsin"/>
    <s v="XL"/>
    <s v="Lavender"/>
    <x v="0"/>
    <x v="21"/>
    <s v="No"/>
    <x v="2"/>
    <x v="0"/>
    <x v="0"/>
    <x v="3"/>
    <x v="5"/>
    <x v="5"/>
    <x v="2"/>
    <n v="30"/>
    <n v="0"/>
  </r>
  <r>
    <n v="1398"/>
    <x v="0"/>
    <x v="0"/>
    <s v="Sunglasses"/>
    <x v="3"/>
    <n v="67"/>
    <s v="Massachusetts"/>
    <s v="S"/>
    <s v="Magenta"/>
    <x v="2"/>
    <x v="10"/>
    <s v="No"/>
    <x v="5"/>
    <x v="0"/>
    <x v="0"/>
    <x v="42"/>
    <x v="3"/>
    <x v="2"/>
    <x v="0"/>
    <n v="67"/>
    <n v="0"/>
  </r>
  <r>
    <n v="1399"/>
    <x v="11"/>
    <x v="0"/>
    <s v="Dress"/>
    <x v="0"/>
    <n v="45"/>
    <s v="Texas"/>
    <s v="M"/>
    <s v="Cyan"/>
    <x v="2"/>
    <x v="25"/>
    <s v="No"/>
    <x v="1"/>
    <x v="0"/>
    <x v="0"/>
    <x v="29"/>
    <x v="2"/>
    <x v="1"/>
    <x v="2"/>
    <n v="45"/>
    <n v="0"/>
  </r>
  <r>
    <n v="1400"/>
    <x v="1"/>
    <x v="0"/>
    <s v="Hat"/>
    <x v="3"/>
    <n v="81"/>
    <s v="Nebraska"/>
    <s v="M"/>
    <s v="Olive"/>
    <x v="0"/>
    <x v="0"/>
    <s v="No"/>
    <x v="5"/>
    <x v="0"/>
    <x v="0"/>
    <x v="26"/>
    <x v="0"/>
    <x v="2"/>
    <x v="1"/>
    <n v="81"/>
    <n v="0"/>
  </r>
  <r>
    <n v="1401"/>
    <x v="24"/>
    <x v="0"/>
    <s v="Backpack"/>
    <x v="3"/>
    <n v="23"/>
    <s v="Nevada"/>
    <s v="M"/>
    <s v="Red"/>
    <x v="3"/>
    <x v="15"/>
    <s v="No"/>
    <x v="2"/>
    <x v="0"/>
    <x v="0"/>
    <x v="17"/>
    <x v="2"/>
    <x v="6"/>
    <x v="2"/>
    <n v="23"/>
    <n v="0"/>
  </r>
  <r>
    <n v="1402"/>
    <x v="51"/>
    <x v="0"/>
    <s v="Sandals"/>
    <x v="1"/>
    <n v="59"/>
    <s v="Indiana"/>
    <s v="M"/>
    <s v="Blue"/>
    <x v="3"/>
    <x v="1"/>
    <s v="No"/>
    <x v="4"/>
    <x v="0"/>
    <x v="0"/>
    <x v="43"/>
    <x v="3"/>
    <x v="1"/>
    <x v="1"/>
    <n v="59"/>
    <n v="0"/>
  </r>
  <r>
    <n v="1403"/>
    <x v="46"/>
    <x v="0"/>
    <s v="Sunglasses"/>
    <x v="3"/>
    <n v="21"/>
    <s v="North Dakota"/>
    <s v="L"/>
    <s v="White"/>
    <x v="2"/>
    <x v="0"/>
    <s v="No"/>
    <x v="0"/>
    <x v="0"/>
    <x v="0"/>
    <x v="39"/>
    <x v="3"/>
    <x v="5"/>
    <x v="0"/>
    <n v="21"/>
    <n v="0"/>
  </r>
  <r>
    <n v="1404"/>
    <x v="8"/>
    <x v="0"/>
    <s v="Backpack"/>
    <x v="3"/>
    <n v="20"/>
    <s v="Georgia"/>
    <s v="M"/>
    <s v="Peach"/>
    <x v="1"/>
    <x v="15"/>
    <s v="No"/>
    <x v="5"/>
    <x v="0"/>
    <x v="0"/>
    <x v="41"/>
    <x v="2"/>
    <x v="4"/>
    <x v="2"/>
    <n v="20"/>
    <n v="0"/>
  </r>
  <r>
    <n v="1405"/>
    <x v="24"/>
    <x v="0"/>
    <s v="Jewelry"/>
    <x v="3"/>
    <n v="28"/>
    <s v="New Mexico"/>
    <s v="M"/>
    <s v="Charcoal"/>
    <x v="0"/>
    <x v="1"/>
    <s v="No"/>
    <x v="2"/>
    <x v="0"/>
    <x v="0"/>
    <x v="9"/>
    <x v="5"/>
    <x v="1"/>
    <x v="2"/>
    <n v="28"/>
    <n v="0"/>
  </r>
  <r>
    <n v="1406"/>
    <x v="23"/>
    <x v="0"/>
    <s v="Socks"/>
    <x v="0"/>
    <n v="100"/>
    <s v="New Hampshire"/>
    <s v="M"/>
    <s v="Peach"/>
    <x v="0"/>
    <x v="2"/>
    <s v="No"/>
    <x v="5"/>
    <x v="0"/>
    <x v="0"/>
    <x v="30"/>
    <x v="2"/>
    <x v="5"/>
    <x v="2"/>
    <n v="100"/>
    <n v="0"/>
  </r>
  <r>
    <n v="1407"/>
    <x v="45"/>
    <x v="0"/>
    <s v="Shirt"/>
    <x v="0"/>
    <n v="46"/>
    <s v="Washington"/>
    <s v="L"/>
    <s v="Turquoise"/>
    <x v="1"/>
    <x v="15"/>
    <s v="No"/>
    <x v="0"/>
    <x v="0"/>
    <x v="0"/>
    <x v="28"/>
    <x v="5"/>
    <x v="5"/>
    <x v="2"/>
    <n v="46"/>
    <n v="0"/>
  </r>
  <r>
    <n v="1408"/>
    <x v="19"/>
    <x v="0"/>
    <s v="Handbag"/>
    <x v="3"/>
    <n v="61"/>
    <s v="Nevada"/>
    <s v="XL"/>
    <s v="Charcoal"/>
    <x v="1"/>
    <x v="9"/>
    <s v="No"/>
    <x v="0"/>
    <x v="0"/>
    <x v="0"/>
    <x v="47"/>
    <x v="2"/>
    <x v="2"/>
    <x v="0"/>
    <n v="61"/>
    <n v="0"/>
  </r>
  <r>
    <n v="1409"/>
    <x v="44"/>
    <x v="0"/>
    <s v="Blouse"/>
    <x v="0"/>
    <n v="58"/>
    <s v="Maine"/>
    <s v="M"/>
    <s v="Yellow"/>
    <x v="0"/>
    <x v="7"/>
    <s v="No"/>
    <x v="1"/>
    <x v="0"/>
    <x v="0"/>
    <x v="25"/>
    <x v="0"/>
    <x v="1"/>
    <x v="0"/>
    <n v="58"/>
    <n v="0"/>
  </r>
  <r>
    <n v="1410"/>
    <x v="50"/>
    <x v="0"/>
    <s v="Backpack"/>
    <x v="3"/>
    <n v="50"/>
    <s v="Idaho"/>
    <s v="M"/>
    <s v="Blue"/>
    <x v="1"/>
    <x v="19"/>
    <s v="No"/>
    <x v="3"/>
    <x v="0"/>
    <x v="0"/>
    <x v="23"/>
    <x v="1"/>
    <x v="0"/>
    <x v="2"/>
    <n v="50"/>
    <n v="0"/>
  </r>
  <r>
    <n v="1411"/>
    <x v="12"/>
    <x v="0"/>
    <s v="Hat"/>
    <x v="3"/>
    <n v="93"/>
    <s v="Tennessee"/>
    <s v="M"/>
    <s v="Purple"/>
    <x v="2"/>
    <x v="17"/>
    <s v="No"/>
    <x v="5"/>
    <x v="0"/>
    <x v="0"/>
    <x v="27"/>
    <x v="5"/>
    <x v="2"/>
    <x v="0"/>
    <n v="93"/>
    <n v="0"/>
  </r>
  <r>
    <n v="1412"/>
    <x v="39"/>
    <x v="0"/>
    <s v="Skirt"/>
    <x v="0"/>
    <n v="24"/>
    <s v="Louisiana"/>
    <s v="L"/>
    <s v="Green"/>
    <x v="2"/>
    <x v="11"/>
    <s v="No"/>
    <x v="5"/>
    <x v="0"/>
    <x v="0"/>
    <x v="21"/>
    <x v="0"/>
    <x v="3"/>
    <x v="2"/>
    <n v="24"/>
    <n v="0"/>
  </r>
  <r>
    <n v="1413"/>
    <x v="15"/>
    <x v="0"/>
    <s v="Shorts"/>
    <x v="0"/>
    <n v="100"/>
    <s v="Michigan"/>
    <s v="M"/>
    <s v="Charcoal"/>
    <x v="2"/>
    <x v="5"/>
    <s v="No"/>
    <x v="4"/>
    <x v="0"/>
    <x v="0"/>
    <x v="34"/>
    <x v="0"/>
    <x v="2"/>
    <x v="1"/>
    <n v="100"/>
    <n v="0"/>
  </r>
  <r>
    <n v="1414"/>
    <x v="47"/>
    <x v="0"/>
    <s v="Blouse"/>
    <x v="0"/>
    <n v="79"/>
    <s v="New Hampshire"/>
    <s v="S"/>
    <s v="Indigo"/>
    <x v="3"/>
    <x v="2"/>
    <s v="No"/>
    <x v="5"/>
    <x v="0"/>
    <x v="0"/>
    <x v="45"/>
    <x v="4"/>
    <x v="3"/>
    <x v="0"/>
    <n v="79"/>
    <n v="0"/>
  </r>
  <r>
    <n v="1415"/>
    <x v="26"/>
    <x v="0"/>
    <s v="Socks"/>
    <x v="0"/>
    <n v="51"/>
    <s v="Minnesota"/>
    <s v="M"/>
    <s v="Black"/>
    <x v="2"/>
    <x v="9"/>
    <s v="No"/>
    <x v="5"/>
    <x v="0"/>
    <x v="0"/>
    <x v="35"/>
    <x v="2"/>
    <x v="4"/>
    <x v="2"/>
    <n v="51"/>
    <n v="0"/>
  </r>
  <r>
    <n v="1416"/>
    <x v="22"/>
    <x v="0"/>
    <s v="Belt"/>
    <x v="3"/>
    <n v="90"/>
    <s v="Illinois"/>
    <s v="M"/>
    <s v="Blue"/>
    <x v="0"/>
    <x v="18"/>
    <s v="No"/>
    <x v="1"/>
    <x v="0"/>
    <x v="0"/>
    <x v="45"/>
    <x v="2"/>
    <x v="6"/>
    <x v="0"/>
    <n v="90"/>
    <n v="0"/>
  </r>
  <r>
    <n v="1417"/>
    <x v="39"/>
    <x v="0"/>
    <s v="Boots"/>
    <x v="1"/>
    <n v="56"/>
    <s v="Idaho"/>
    <s v="L"/>
    <s v="Silver"/>
    <x v="2"/>
    <x v="23"/>
    <s v="No"/>
    <x v="1"/>
    <x v="0"/>
    <x v="0"/>
    <x v="15"/>
    <x v="1"/>
    <x v="3"/>
    <x v="2"/>
    <n v="56"/>
    <n v="0"/>
  </r>
  <r>
    <n v="1418"/>
    <x v="46"/>
    <x v="0"/>
    <s v="Shorts"/>
    <x v="0"/>
    <n v="25"/>
    <s v="Montana"/>
    <s v="S"/>
    <s v="Brown"/>
    <x v="1"/>
    <x v="12"/>
    <s v="No"/>
    <x v="3"/>
    <x v="0"/>
    <x v="0"/>
    <x v="33"/>
    <x v="5"/>
    <x v="0"/>
    <x v="0"/>
    <n v="25"/>
    <n v="0"/>
  </r>
  <r>
    <n v="1419"/>
    <x v="20"/>
    <x v="0"/>
    <s v="Shirt"/>
    <x v="0"/>
    <n v="75"/>
    <s v="Alabama"/>
    <s v="M"/>
    <s v="Violet"/>
    <x v="2"/>
    <x v="7"/>
    <s v="No"/>
    <x v="4"/>
    <x v="0"/>
    <x v="0"/>
    <x v="2"/>
    <x v="0"/>
    <x v="6"/>
    <x v="1"/>
    <n v="75"/>
    <n v="0"/>
  </r>
  <r>
    <n v="1420"/>
    <x v="49"/>
    <x v="0"/>
    <s v="Handbag"/>
    <x v="3"/>
    <n v="75"/>
    <s v="Montana"/>
    <s v="M"/>
    <s v="Orange"/>
    <x v="2"/>
    <x v="5"/>
    <s v="No"/>
    <x v="1"/>
    <x v="0"/>
    <x v="0"/>
    <x v="7"/>
    <x v="5"/>
    <x v="3"/>
    <x v="2"/>
    <n v="75"/>
    <n v="0"/>
  </r>
  <r>
    <n v="1421"/>
    <x v="40"/>
    <x v="0"/>
    <s v="Jeans"/>
    <x v="0"/>
    <n v="53"/>
    <s v="California"/>
    <s v="XL"/>
    <s v="Gray"/>
    <x v="2"/>
    <x v="12"/>
    <s v="No"/>
    <x v="5"/>
    <x v="0"/>
    <x v="0"/>
    <x v="24"/>
    <x v="3"/>
    <x v="6"/>
    <x v="1"/>
    <n v="53"/>
    <n v="0"/>
  </r>
  <r>
    <n v="1422"/>
    <x v="33"/>
    <x v="0"/>
    <s v="Dress"/>
    <x v="0"/>
    <n v="100"/>
    <s v="Pennsylvania"/>
    <s v="S"/>
    <s v="Gold"/>
    <x v="1"/>
    <x v="21"/>
    <s v="No"/>
    <x v="3"/>
    <x v="0"/>
    <x v="0"/>
    <x v="37"/>
    <x v="4"/>
    <x v="0"/>
    <x v="0"/>
    <n v="100"/>
    <n v="0"/>
  </r>
  <r>
    <n v="1423"/>
    <x v="42"/>
    <x v="0"/>
    <s v="Dress"/>
    <x v="0"/>
    <n v="27"/>
    <s v="Texas"/>
    <s v="L"/>
    <s v="Charcoal"/>
    <x v="3"/>
    <x v="23"/>
    <s v="No"/>
    <x v="1"/>
    <x v="0"/>
    <x v="0"/>
    <x v="35"/>
    <x v="3"/>
    <x v="4"/>
    <x v="2"/>
    <n v="27"/>
    <n v="0"/>
  </r>
  <r>
    <n v="1424"/>
    <x v="47"/>
    <x v="0"/>
    <s v="Sandals"/>
    <x v="1"/>
    <n v="60"/>
    <s v="Michigan"/>
    <s v="S"/>
    <s v="Black"/>
    <x v="3"/>
    <x v="1"/>
    <s v="No"/>
    <x v="1"/>
    <x v="0"/>
    <x v="0"/>
    <x v="45"/>
    <x v="0"/>
    <x v="6"/>
    <x v="0"/>
    <n v="60"/>
    <n v="0"/>
  </r>
  <r>
    <n v="1425"/>
    <x v="17"/>
    <x v="0"/>
    <s v="Jacket"/>
    <x v="2"/>
    <n v="23"/>
    <s v="Connecticut"/>
    <s v="S"/>
    <s v="Indigo"/>
    <x v="3"/>
    <x v="1"/>
    <s v="No"/>
    <x v="3"/>
    <x v="0"/>
    <x v="0"/>
    <x v="11"/>
    <x v="4"/>
    <x v="6"/>
    <x v="0"/>
    <n v="23"/>
    <n v="0"/>
  </r>
  <r>
    <n v="1426"/>
    <x v="35"/>
    <x v="0"/>
    <s v="Coat"/>
    <x v="2"/>
    <n v="40"/>
    <s v="Wyoming"/>
    <s v="S"/>
    <s v="White"/>
    <x v="0"/>
    <x v="18"/>
    <s v="No"/>
    <x v="2"/>
    <x v="0"/>
    <x v="0"/>
    <x v="30"/>
    <x v="2"/>
    <x v="2"/>
    <x v="0"/>
    <n v="40"/>
    <n v="0"/>
  </r>
  <r>
    <n v="1427"/>
    <x v="52"/>
    <x v="0"/>
    <s v="Pants"/>
    <x v="0"/>
    <n v="38"/>
    <s v="Michigan"/>
    <s v="M"/>
    <s v="Yellow"/>
    <x v="2"/>
    <x v="6"/>
    <s v="No"/>
    <x v="1"/>
    <x v="0"/>
    <x v="0"/>
    <x v="31"/>
    <x v="3"/>
    <x v="6"/>
    <x v="0"/>
    <n v="38"/>
    <n v="0"/>
  </r>
  <r>
    <n v="1428"/>
    <x v="18"/>
    <x v="0"/>
    <s v="Backpack"/>
    <x v="3"/>
    <n v="90"/>
    <s v="South Dakota"/>
    <s v="S"/>
    <s v="Orange"/>
    <x v="2"/>
    <x v="8"/>
    <s v="No"/>
    <x v="5"/>
    <x v="0"/>
    <x v="0"/>
    <x v="6"/>
    <x v="2"/>
    <x v="2"/>
    <x v="2"/>
    <n v="90"/>
    <n v="0"/>
  </r>
  <r>
    <n v="1429"/>
    <x v="30"/>
    <x v="0"/>
    <s v="Blouse"/>
    <x v="0"/>
    <n v="97"/>
    <s v="North Dakota"/>
    <s v="S"/>
    <s v="Green"/>
    <x v="2"/>
    <x v="8"/>
    <s v="No"/>
    <x v="0"/>
    <x v="0"/>
    <x v="0"/>
    <x v="38"/>
    <x v="3"/>
    <x v="3"/>
    <x v="1"/>
    <n v="97"/>
    <n v="0"/>
  </r>
  <r>
    <n v="1430"/>
    <x v="41"/>
    <x v="0"/>
    <s v="Skirt"/>
    <x v="0"/>
    <n v="38"/>
    <s v="Maryland"/>
    <s v="L"/>
    <s v="Gold"/>
    <x v="3"/>
    <x v="10"/>
    <s v="No"/>
    <x v="3"/>
    <x v="0"/>
    <x v="0"/>
    <x v="49"/>
    <x v="2"/>
    <x v="6"/>
    <x v="1"/>
    <n v="38"/>
    <n v="0"/>
  </r>
  <r>
    <n v="1431"/>
    <x v="39"/>
    <x v="0"/>
    <s v="Sandals"/>
    <x v="1"/>
    <n v="30"/>
    <s v="Michigan"/>
    <s v="S"/>
    <s v="Orange"/>
    <x v="2"/>
    <x v="8"/>
    <s v="No"/>
    <x v="1"/>
    <x v="0"/>
    <x v="0"/>
    <x v="35"/>
    <x v="2"/>
    <x v="0"/>
    <x v="2"/>
    <n v="30"/>
    <n v="0"/>
  </r>
  <r>
    <n v="1432"/>
    <x v="31"/>
    <x v="0"/>
    <s v="Pants"/>
    <x v="0"/>
    <n v="88"/>
    <s v="South Dakota"/>
    <s v="M"/>
    <s v="Cyan"/>
    <x v="3"/>
    <x v="3"/>
    <s v="No"/>
    <x v="0"/>
    <x v="0"/>
    <x v="0"/>
    <x v="32"/>
    <x v="0"/>
    <x v="3"/>
    <x v="2"/>
    <n v="88"/>
    <n v="0"/>
  </r>
  <r>
    <n v="1433"/>
    <x v="50"/>
    <x v="0"/>
    <s v="Hat"/>
    <x v="3"/>
    <n v="33"/>
    <s v="Florida"/>
    <s v="L"/>
    <s v="Black"/>
    <x v="0"/>
    <x v="14"/>
    <s v="No"/>
    <x v="0"/>
    <x v="0"/>
    <x v="0"/>
    <x v="18"/>
    <x v="5"/>
    <x v="3"/>
    <x v="2"/>
    <n v="33"/>
    <n v="0"/>
  </r>
  <r>
    <n v="1434"/>
    <x v="27"/>
    <x v="0"/>
    <s v="Hoodie"/>
    <x v="0"/>
    <n v="60"/>
    <s v="Minnesota"/>
    <s v="L"/>
    <s v="Yellow"/>
    <x v="0"/>
    <x v="4"/>
    <s v="No"/>
    <x v="2"/>
    <x v="0"/>
    <x v="0"/>
    <x v="24"/>
    <x v="5"/>
    <x v="1"/>
    <x v="0"/>
    <n v="60"/>
    <n v="0"/>
  </r>
  <r>
    <n v="1435"/>
    <x v="35"/>
    <x v="0"/>
    <s v="Sweater"/>
    <x v="0"/>
    <n v="64"/>
    <s v="New York"/>
    <s v="L"/>
    <s v="Maroon"/>
    <x v="2"/>
    <x v="12"/>
    <s v="No"/>
    <x v="1"/>
    <x v="0"/>
    <x v="0"/>
    <x v="33"/>
    <x v="5"/>
    <x v="4"/>
    <x v="0"/>
    <n v="64"/>
    <n v="0"/>
  </r>
  <r>
    <n v="1436"/>
    <x v="4"/>
    <x v="0"/>
    <s v="Scarf"/>
    <x v="3"/>
    <n v="95"/>
    <s v="Oregon"/>
    <s v="XL"/>
    <s v="Black"/>
    <x v="3"/>
    <x v="17"/>
    <s v="No"/>
    <x v="3"/>
    <x v="0"/>
    <x v="0"/>
    <x v="23"/>
    <x v="1"/>
    <x v="1"/>
    <x v="2"/>
    <n v="95"/>
    <n v="0"/>
  </r>
  <r>
    <n v="1437"/>
    <x v="25"/>
    <x v="0"/>
    <s v="Sneakers"/>
    <x v="1"/>
    <n v="83"/>
    <s v="Minnesota"/>
    <s v="M"/>
    <s v="Gray"/>
    <x v="0"/>
    <x v="18"/>
    <s v="No"/>
    <x v="1"/>
    <x v="0"/>
    <x v="0"/>
    <x v="2"/>
    <x v="3"/>
    <x v="0"/>
    <x v="2"/>
    <n v="83"/>
    <n v="0"/>
  </r>
  <r>
    <n v="1438"/>
    <x v="28"/>
    <x v="0"/>
    <s v="Boots"/>
    <x v="1"/>
    <n v="97"/>
    <s v="Montana"/>
    <s v="XL"/>
    <s v="Orange"/>
    <x v="0"/>
    <x v="19"/>
    <s v="No"/>
    <x v="1"/>
    <x v="0"/>
    <x v="0"/>
    <x v="0"/>
    <x v="1"/>
    <x v="2"/>
    <x v="0"/>
    <n v="97"/>
    <n v="0"/>
  </r>
  <r>
    <n v="1439"/>
    <x v="44"/>
    <x v="0"/>
    <s v="Coat"/>
    <x v="2"/>
    <n v="38"/>
    <s v="Washington"/>
    <s v="M"/>
    <s v="Cyan"/>
    <x v="1"/>
    <x v="3"/>
    <s v="No"/>
    <x v="3"/>
    <x v="0"/>
    <x v="0"/>
    <x v="37"/>
    <x v="5"/>
    <x v="5"/>
    <x v="0"/>
    <n v="38"/>
    <n v="0"/>
  </r>
  <r>
    <n v="1440"/>
    <x v="15"/>
    <x v="0"/>
    <s v="Boots"/>
    <x v="1"/>
    <n v="48"/>
    <s v="New Mexico"/>
    <s v="M"/>
    <s v="Magenta"/>
    <x v="2"/>
    <x v="6"/>
    <s v="No"/>
    <x v="2"/>
    <x v="0"/>
    <x v="0"/>
    <x v="29"/>
    <x v="1"/>
    <x v="0"/>
    <x v="1"/>
    <n v="48"/>
    <n v="0"/>
  </r>
  <r>
    <n v="1441"/>
    <x v="7"/>
    <x v="0"/>
    <s v="Sandals"/>
    <x v="1"/>
    <n v="76"/>
    <s v="Arizona"/>
    <s v="M"/>
    <s v="Pink"/>
    <x v="1"/>
    <x v="14"/>
    <s v="No"/>
    <x v="3"/>
    <x v="0"/>
    <x v="0"/>
    <x v="21"/>
    <x v="0"/>
    <x v="5"/>
    <x v="2"/>
    <n v="76"/>
    <n v="0"/>
  </r>
  <r>
    <n v="1442"/>
    <x v="50"/>
    <x v="0"/>
    <s v="Pants"/>
    <x v="0"/>
    <n v="25"/>
    <s v="Nebraska"/>
    <s v="S"/>
    <s v="Turquoise"/>
    <x v="2"/>
    <x v="23"/>
    <s v="No"/>
    <x v="1"/>
    <x v="0"/>
    <x v="0"/>
    <x v="35"/>
    <x v="0"/>
    <x v="6"/>
    <x v="2"/>
    <n v="25"/>
    <n v="0"/>
  </r>
  <r>
    <n v="1443"/>
    <x v="10"/>
    <x v="0"/>
    <s v="Hoodie"/>
    <x v="0"/>
    <n v="92"/>
    <s v="Idaho"/>
    <s v="S"/>
    <s v="Violet"/>
    <x v="1"/>
    <x v="11"/>
    <s v="No"/>
    <x v="4"/>
    <x v="0"/>
    <x v="0"/>
    <x v="38"/>
    <x v="2"/>
    <x v="2"/>
    <x v="0"/>
    <n v="92"/>
    <n v="0"/>
  </r>
  <r>
    <n v="1444"/>
    <x v="44"/>
    <x v="0"/>
    <s v="Sandals"/>
    <x v="1"/>
    <n v="47"/>
    <s v="Idaho"/>
    <s v="L"/>
    <s v="Teal"/>
    <x v="3"/>
    <x v="19"/>
    <s v="No"/>
    <x v="2"/>
    <x v="0"/>
    <x v="0"/>
    <x v="1"/>
    <x v="1"/>
    <x v="5"/>
    <x v="0"/>
    <n v="47"/>
    <n v="0"/>
  </r>
  <r>
    <n v="1445"/>
    <x v="45"/>
    <x v="0"/>
    <s v="Sweater"/>
    <x v="0"/>
    <n v="36"/>
    <s v="Vermont"/>
    <s v="L"/>
    <s v="Pink"/>
    <x v="3"/>
    <x v="22"/>
    <s v="No"/>
    <x v="0"/>
    <x v="0"/>
    <x v="0"/>
    <x v="8"/>
    <x v="1"/>
    <x v="3"/>
    <x v="2"/>
    <n v="36"/>
    <n v="0"/>
  </r>
  <r>
    <n v="1446"/>
    <x v="14"/>
    <x v="0"/>
    <s v="Belt"/>
    <x v="3"/>
    <n v="51"/>
    <s v="Arkansas"/>
    <s v="M"/>
    <s v="Gold"/>
    <x v="3"/>
    <x v="0"/>
    <s v="No"/>
    <x v="4"/>
    <x v="0"/>
    <x v="0"/>
    <x v="37"/>
    <x v="2"/>
    <x v="2"/>
    <x v="0"/>
    <n v="51"/>
    <n v="0"/>
  </r>
  <r>
    <n v="1447"/>
    <x v="6"/>
    <x v="0"/>
    <s v="Jeans"/>
    <x v="0"/>
    <n v="35"/>
    <s v="Wyoming"/>
    <s v="XL"/>
    <s v="Red"/>
    <x v="2"/>
    <x v="4"/>
    <s v="No"/>
    <x v="0"/>
    <x v="0"/>
    <x v="0"/>
    <x v="49"/>
    <x v="2"/>
    <x v="3"/>
    <x v="0"/>
    <n v="35"/>
    <n v="0"/>
  </r>
  <r>
    <n v="1448"/>
    <x v="51"/>
    <x v="0"/>
    <s v="Hoodie"/>
    <x v="0"/>
    <n v="57"/>
    <s v="New Mexico"/>
    <s v="S"/>
    <s v="Beige"/>
    <x v="2"/>
    <x v="21"/>
    <s v="No"/>
    <x v="2"/>
    <x v="0"/>
    <x v="0"/>
    <x v="29"/>
    <x v="3"/>
    <x v="5"/>
    <x v="1"/>
    <n v="57"/>
    <n v="0"/>
  </r>
  <r>
    <n v="1449"/>
    <x v="14"/>
    <x v="0"/>
    <s v="Boots"/>
    <x v="1"/>
    <n v="95"/>
    <s v="West Virginia"/>
    <s v="M"/>
    <s v="Black"/>
    <x v="2"/>
    <x v="15"/>
    <s v="No"/>
    <x v="1"/>
    <x v="0"/>
    <x v="0"/>
    <x v="47"/>
    <x v="2"/>
    <x v="6"/>
    <x v="0"/>
    <n v="95"/>
    <n v="0"/>
  </r>
  <r>
    <n v="1450"/>
    <x v="20"/>
    <x v="0"/>
    <s v="Socks"/>
    <x v="0"/>
    <n v="41"/>
    <s v="New York"/>
    <s v="L"/>
    <s v="Lavender"/>
    <x v="0"/>
    <x v="25"/>
    <s v="No"/>
    <x v="5"/>
    <x v="0"/>
    <x v="0"/>
    <x v="41"/>
    <x v="1"/>
    <x v="6"/>
    <x v="1"/>
    <n v="41"/>
    <n v="0"/>
  </r>
  <r>
    <n v="1451"/>
    <x v="15"/>
    <x v="0"/>
    <s v="Dress"/>
    <x v="0"/>
    <n v="44"/>
    <s v="Illinois"/>
    <s v="S"/>
    <s v="Teal"/>
    <x v="0"/>
    <x v="23"/>
    <s v="No"/>
    <x v="1"/>
    <x v="0"/>
    <x v="0"/>
    <x v="29"/>
    <x v="1"/>
    <x v="3"/>
    <x v="1"/>
    <n v="44"/>
    <n v="0"/>
  </r>
  <r>
    <n v="1452"/>
    <x v="22"/>
    <x v="0"/>
    <s v="Jacket"/>
    <x v="2"/>
    <n v="34"/>
    <s v="Utah"/>
    <s v="M"/>
    <s v="Maroon"/>
    <x v="3"/>
    <x v="25"/>
    <s v="No"/>
    <x v="2"/>
    <x v="0"/>
    <x v="0"/>
    <x v="31"/>
    <x v="3"/>
    <x v="3"/>
    <x v="0"/>
    <n v="34"/>
    <n v="0"/>
  </r>
  <r>
    <n v="1453"/>
    <x v="52"/>
    <x v="0"/>
    <s v="Jacket"/>
    <x v="2"/>
    <n v="25"/>
    <s v="Colorado"/>
    <s v="L"/>
    <s v="Blue"/>
    <x v="1"/>
    <x v="10"/>
    <s v="No"/>
    <x v="4"/>
    <x v="0"/>
    <x v="0"/>
    <x v="47"/>
    <x v="4"/>
    <x v="3"/>
    <x v="0"/>
    <n v="25"/>
    <n v="0"/>
  </r>
  <r>
    <n v="1454"/>
    <x v="24"/>
    <x v="0"/>
    <s v="Boots"/>
    <x v="1"/>
    <n v="93"/>
    <s v="Virginia"/>
    <s v="S"/>
    <s v="Teal"/>
    <x v="0"/>
    <x v="4"/>
    <s v="No"/>
    <x v="4"/>
    <x v="0"/>
    <x v="0"/>
    <x v="23"/>
    <x v="4"/>
    <x v="0"/>
    <x v="2"/>
    <n v="93"/>
    <n v="0"/>
  </r>
  <r>
    <n v="1455"/>
    <x v="17"/>
    <x v="0"/>
    <s v="Sneakers"/>
    <x v="1"/>
    <n v="50"/>
    <s v="Georgia"/>
    <s v="L"/>
    <s v="Maroon"/>
    <x v="0"/>
    <x v="3"/>
    <s v="No"/>
    <x v="1"/>
    <x v="0"/>
    <x v="0"/>
    <x v="14"/>
    <x v="2"/>
    <x v="2"/>
    <x v="0"/>
    <n v="50"/>
    <n v="0"/>
  </r>
  <r>
    <n v="1456"/>
    <x v="52"/>
    <x v="0"/>
    <s v="Pants"/>
    <x v="0"/>
    <n v="79"/>
    <s v="Alabama"/>
    <s v="L"/>
    <s v="Silver"/>
    <x v="3"/>
    <x v="8"/>
    <s v="No"/>
    <x v="0"/>
    <x v="0"/>
    <x v="0"/>
    <x v="43"/>
    <x v="3"/>
    <x v="6"/>
    <x v="0"/>
    <n v="79"/>
    <n v="0"/>
  </r>
  <r>
    <n v="1457"/>
    <x v="35"/>
    <x v="0"/>
    <s v="Coat"/>
    <x v="2"/>
    <n v="100"/>
    <s v="Montana"/>
    <s v="S"/>
    <s v="Olive"/>
    <x v="1"/>
    <x v="2"/>
    <s v="No"/>
    <x v="5"/>
    <x v="0"/>
    <x v="0"/>
    <x v="48"/>
    <x v="3"/>
    <x v="6"/>
    <x v="0"/>
    <n v="100"/>
    <n v="0"/>
  </r>
  <r>
    <n v="1458"/>
    <x v="44"/>
    <x v="0"/>
    <s v="Shirt"/>
    <x v="0"/>
    <n v="57"/>
    <s v="Pennsylvania"/>
    <s v="S"/>
    <s v="Gray"/>
    <x v="1"/>
    <x v="10"/>
    <s v="No"/>
    <x v="0"/>
    <x v="0"/>
    <x v="0"/>
    <x v="39"/>
    <x v="0"/>
    <x v="0"/>
    <x v="0"/>
    <n v="57"/>
    <n v="0"/>
  </r>
  <r>
    <n v="1459"/>
    <x v="25"/>
    <x v="0"/>
    <s v="Sweater"/>
    <x v="0"/>
    <n v="28"/>
    <s v="Missouri"/>
    <s v="M"/>
    <s v="Peach"/>
    <x v="1"/>
    <x v="3"/>
    <s v="No"/>
    <x v="4"/>
    <x v="0"/>
    <x v="0"/>
    <x v="11"/>
    <x v="0"/>
    <x v="1"/>
    <x v="2"/>
    <n v="28"/>
    <n v="0"/>
  </r>
  <r>
    <n v="1460"/>
    <x v="30"/>
    <x v="0"/>
    <s v="Shoes"/>
    <x v="1"/>
    <n v="35"/>
    <s v="Maine"/>
    <s v="L"/>
    <s v="Yellow"/>
    <x v="0"/>
    <x v="6"/>
    <s v="No"/>
    <x v="0"/>
    <x v="0"/>
    <x v="0"/>
    <x v="27"/>
    <x v="0"/>
    <x v="0"/>
    <x v="1"/>
    <n v="35"/>
    <n v="0"/>
  </r>
  <r>
    <n v="1461"/>
    <x v="27"/>
    <x v="0"/>
    <s v="Boots"/>
    <x v="1"/>
    <n v="85"/>
    <s v="Pennsylvania"/>
    <s v="L"/>
    <s v="Violet"/>
    <x v="3"/>
    <x v="12"/>
    <s v="No"/>
    <x v="3"/>
    <x v="0"/>
    <x v="0"/>
    <x v="42"/>
    <x v="0"/>
    <x v="4"/>
    <x v="0"/>
    <n v="85"/>
    <n v="0"/>
  </r>
  <r>
    <n v="1462"/>
    <x v="22"/>
    <x v="0"/>
    <s v="Sunglasses"/>
    <x v="3"/>
    <n v="95"/>
    <s v="Oregon"/>
    <s v="S"/>
    <s v="Red"/>
    <x v="2"/>
    <x v="16"/>
    <s v="No"/>
    <x v="4"/>
    <x v="0"/>
    <x v="0"/>
    <x v="38"/>
    <x v="0"/>
    <x v="3"/>
    <x v="0"/>
    <n v="95"/>
    <n v="0"/>
  </r>
  <r>
    <n v="1463"/>
    <x v="21"/>
    <x v="0"/>
    <s v="Sneakers"/>
    <x v="1"/>
    <n v="90"/>
    <s v="Utah"/>
    <s v="S"/>
    <s v="Charcoal"/>
    <x v="2"/>
    <x v="6"/>
    <s v="No"/>
    <x v="4"/>
    <x v="0"/>
    <x v="0"/>
    <x v="1"/>
    <x v="0"/>
    <x v="3"/>
    <x v="2"/>
    <n v="90"/>
    <n v="0"/>
  </r>
  <r>
    <n v="1464"/>
    <x v="22"/>
    <x v="0"/>
    <s v="Jewelry"/>
    <x v="3"/>
    <n v="49"/>
    <s v="Oklahoma"/>
    <s v="M"/>
    <s v="Beige"/>
    <x v="2"/>
    <x v="8"/>
    <s v="No"/>
    <x v="5"/>
    <x v="0"/>
    <x v="0"/>
    <x v="43"/>
    <x v="4"/>
    <x v="5"/>
    <x v="0"/>
    <n v="49"/>
    <n v="0"/>
  </r>
  <r>
    <n v="1465"/>
    <x v="23"/>
    <x v="0"/>
    <s v="Belt"/>
    <x v="3"/>
    <n v="92"/>
    <s v="Montana"/>
    <s v="M"/>
    <s v="Peach"/>
    <x v="0"/>
    <x v="12"/>
    <s v="No"/>
    <x v="4"/>
    <x v="0"/>
    <x v="0"/>
    <x v="2"/>
    <x v="4"/>
    <x v="3"/>
    <x v="2"/>
    <n v="92"/>
    <n v="0"/>
  </r>
  <r>
    <n v="1466"/>
    <x v="5"/>
    <x v="0"/>
    <s v="Gloves"/>
    <x v="3"/>
    <n v="72"/>
    <s v="Nebraska"/>
    <s v="XL"/>
    <s v="Violet"/>
    <x v="0"/>
    <x v="20"/>
    <s v="No"/>
    <x v="5"/>
    <x v="0"/>
    <x v="0"/>
    <x v="38"/>
    <x v="1"/>
    <x v="4"/>
    <x v="2"/>
    <n v="72"/>
    <n v="0"/>
  </r>
  <r>
    <n v="1467"/>
    <x v="44"/>
    <x v="0"/>
    <s v="Shorts"/>
    <x v="0"/>
    <n v="71"/>
    <s v="Alabama"/>
    <s v="M"/>
    <s v="Green"/>
    <x v="2"/>
    <x v="9"/>
    <s v="No"/>
    <x v="5"/>
    <x v="0"/>
    <x v="0"/>
    <x v="35"/>
    <x v="3"/>
    <x v="2"/>
    <x v="0"/>
    <n v="71"/>
    <n v="0"/>
  </r>
  <r>
    <n v="1468"/>
    <x v="11"/>
    <x v="0"/>
    <s v="Jewelry"/>
    <x v="3"/>
    <n v="27"/>
    <s v="Ohio"/>
    <s v="XL"/>
    <s v="Olive"/>
    <x v="0"/>
    <x v="10"/>
    <s v="No"/>
    <x v="5"/>
    <x v="0"/>
    <x v="0"/>
    <x v="20"/>
    <x v="5"/>
    <x v="0"/>
    <x v="2"/>
    <n v="27"/>
    <n v="0"/>
  </r>
  <r>
    <n v="1469"/>
    <x v="32"/>
    <x v="0"/>
    <s v="Gloves"/>
    <x v="3"/>
    <n v="39"/>
    <s v="Arkansas"/>
    <s v="S"/>
    <s v="Silver"/>
    <x v="3"/>
    <x v="20"/>
    <s v="No"/>
    <x v="0"/>
    <x v="0"/>
    <x v="0"/>
    <x v="15"/>
    <x v="1"/>
    <x v="0"/>
    <x v="2"/>
    <n v="39"/>
    <n v="0"/>
  </r>
  <r>
    <n v="1470"/>
    <x v="48"/>
    <x v="0"/>
    <s v="Jewelry"/>
    <x v="3"/>
    <n v="98"/>
    <s v="Mississippi"/>
    <s v="M"/>
    <s v="Purple"/>
    <x v="0"/>
    <x v="14"/>
    <s v="No"/>
    <x v="3"/>
    <x v="0"/>
    <x v="0"/>
    <x v="4"/>
    <x v="3"/>
    <x v="6"/>
    <x v="2"/>
    <n v="98"/>
    <n v="0"/>
  </r>
  <r>
    <n v="1471"/>
    <x v="49"/>
    <x v="0"/>
    <s v="Sandals"/>
    <x v="1"/>
    <n v="27"/>
    <s v="California"/>
    <s v="M"/>
    <s v="Silver"/>
    <x v="1"/>
    <x v="20"/>
    <s v="No"/>
    <x v="2"/>
    <x v="0"/>
    <x v="0"/>
    <x v="28"/>
    <x v="1"/>
    <x v="6"/>
    <x v="2"/>
    <n v="27"/>
    <n v="0"/>
  </r>
  <r>
    <n v="1472"/>
    <x v="18"/>
    <x v="0"/>
    <s v="Jewelry"/>
    <x v="3"/>
    <n v="71"/>
    <s v="Alaska"/>
    <s v="S"/>
    <s v="Gray"/>
    <x v="1"/>
    <x v="11"/>
    <s v="No"/>
    <x v="4"/>
    <x v="0"/>
    <x v="0"/>
    <x v="26"/>
    <x v="0"/>
    <x v="6"/>
    <x v="2"/>
    <n v="71"/>
    <n v="0"/>
  </r>
  <r>
    <n v="1473"/>
    <x v="31"/>
    <x v="0"/>
    <s v="Hat"/>
    <x v="3"/>
    <n v="24"/>
    <s v="Indiana"/>
    <s v="L"/>
    <s v="Turquoise"/>
    <x v="1"/>
    <x v="1"/>
    <s v="No"/>
    <x v="5"/>
    <x v="0"/>
    <x v="0"/>
    <x v="47"/>
    <x v="1"/>
    <x v="1"/>
    <x v="2"/>
    <n v="24"/>
    <n v="0"/>
  </r>
  <r>
    <n v="1474"/>
    <x v="28"/>
    <x v="0"/>
    <s v="Shorts"/>
    <x v="0"/>
    <n v="63"/>
    <s v="Wisconsin"/>
    <s v="M"/>
    <s v="Violet"/>
    <x v="3"/>
    <x v="24"/>
    <s v="No"/>
    <x v="0"/>
    <x v="0"/>
    <x v="0"/>
    <x v="41"/>
    <x v="2"/>
    <x v="6"/>
    <x v="0"/>
    <n v="63"/>
    <n v="0"/>
  </r>
  <r>
    <n v="1475"/>
    <x v="18"/>
    <x v="0"/>
    <s v="Sweater"/>
    <x v="0"/>
    <n v="72"/>
    <s v="New Jersey"/>
    <s v="S"/>
    <s v="Pink"/>
    <x v="3"/>
    <x v="20"/>
    <s v="No"/>
    <x v="2"/>
    <x v="0"/>
    <x v="0"/>
    <x v="49"/>
    <x v="2"/>
    <x v="5"/>
    <x v="2"/>
    <n v="72"/>
    <n v="0"/>
  </r>
  <r>
    <n v="1476"/>
    <x v="42"/>
    <x v="0"/>
    <s v="Blouse"/>
    <x v="0"/>
    <n v="61"/>
    <s v="Rhode Island"/>
    <s v="M"/>
    <s v="Teal"/>
    <x v="1"/>
    <x v="17"/>
    <s v="No"/>
    <x v="0"/>
    <x v="0"/>
    <x v="0"/>
    <x v="37"/>
    <x v="1"/>
    <x v="5"/>
    <x v="2"/>
    <n v="61"/>
    <n v="0"/>
  </r>
  <r>
    <n v="1477"/>
    <x v="31"/>
    <x v="0"/>
    <s v="Hat"/>
    <x v="3"/>
    <n v="56"/>
    <s v="Wyoming"/>
    <s v="M"/>
    <s v="Magenta"/>
    <x v="3"/>
    <x v="7"/>
    <s v="No"/>
    <x v="2"/>
    <x v="0"/>
    <x v="0"/>
    <x v="27"/>
    <x v="2"/>
    <x v="5"/>
    <x v="2"/>
    <n v="56"/>
    <n v="0"/>
  </r>
  <r>
    <n v="1478"/>
    <x v="41"/>
    <x v="0"/>
    <s v="Belt"/>
    <x v="3"/>
    <n v="32"/>
    <s v="Oregon"/>
    <s v="XL"/>
    <s v="Silver"/>
    <x v="2"/>
    <x v="24"/>
    <s v="No"/>
    <x v="3"/>
    <x v="0"/>
    <x v="0"/>
    <x v="43"/>
    <x v="3"/>
    <x v="6"/>
    <x v="1"/>
    <n v="32"/>
    <n v="0"/>
  </r>
  <r>
    <n v="1479"/>
    <x v="48"/>
    <x v="0"/>
    <s v="Gloves"/>
    <x v="3"/>
    <n v="23"/>
    <s v="Washington"/>
    <s v="M"/>
    <s v="Blue"/>
    <x v="2"/>
    <x v="19"/>
    <s v="No"/>
    <x v="1"/>
    <x v="0"/>
    <x v="0"/>
    <x v="21"/>
    <x v="0"/>
    <x v="4"/>
    <x v="2"/>
    <n v="23"/>
    <n v="0"/>
  </r>
  <r>
    <n v="1480"/>
    <x v="39"/>
    <x v="0"/>
    <s v="Coat"/>
    <x v="2"/>
    <n v="100"/>
    <s v="Washington"/>
    <s v="L"/>
    <s v="Black"/>
    <x v="1"/>
    <x v="17"/>
    <s v="No"/>
    <x v="3"/>
    <x v="0"/>
    <x v="0"/>
    <x v="1"/>
    <x v="4"/>
    <x v="1"/>
    <x v="2"/>
    <n v="100"/>
    <n v="0"/>
  </r>
  <r>
    <n v="1481"/>
    <x v="31"/>
    <x v="0"/>
    <s v="Jewelry"/>
    <x v="3"/>
    <n v="74"/>
    <s v="New Hampshire"/>
    <s v="M"/>
    <s v="Gold"/>
    <x v="3"/>
    <x v="15"/>
    <s v="No"/>
    <x v="0"/>
    <x v="0"/>
    <x v="0"/>
    <x v="8"/>
    <x v="1"/>
    <x v="3"/>
    <x v="2"/>
    <n v="74"/>
    <n v="0"/>
  </r>
  <r>
    <n v="1482"/>
    <x v="14"/>
    <x v="0"/>
    <s v="Skirt"/>
    <x v="0"/>
    <n v="33"/>
    <s v="Maryland"/>
    <s v="S"/>
    <s v="Gray"/>
    <x v="1"/>
    <x v="13"/>
    <s v="No"/>
    <x v="3"/>
    <x v="0"/>
    <x v="0"/>
    <x v="4"/>
    <x v="3"/>
    <x v="3"/>
    <x v="0"/>
    <n v="33"/>
    <n v="0"/>
  </r>
  <r>
    <n v="1483"/>
    <x v="48"/>
    <x v="0"/>
    <s v="Gloves"/>
    <x v="3"/>
    <n v="67"/>
    <s v="Wisconsin"/>
    <s v="S"/>
    <s v="Magenta"/>
    <x v="1"/>
    <x v="7"/>
    <s v="No"/>
    <x v="4"/>
    <x v="0"/>
    <x v="0"/>
    <x v="34"/>
    <x v="4"/>
    <x v="1"/>
    <x v="2"/>
    <n v="67"/>
    <n v="0"/>
  </r>
  <r>
    <n v="1484"/>
    <x v="31"/>
    <x v="0"/>
    <s v="Jewelry"/>
    <x v="3"/>
    <n v="61"/>
    <s v="Massachusetts"/>
    <s v="S"/>
    <s v="Yellow"/>
    <x v="2"/>
    <x v="10"/>
    <s v="No"/>
    <x v="2"/>
    <x v="0"/>
    <x v="0"/>
    <x v="45"/>
    <x v="5"/>
    <x v="4"/>
    <x v="2"/>
    <n v="61"/>
    <n v="0"/>
  </r>
  <r>
    <n v="1485"/>
    <x v="34"/>
    <x v="0"/>
    <s v="Shorts"/>
    <x v="0"/>
    <n v="46"/>
    <s v="Nebraska"/>
    <s v="M"/>
    <s v="Teal"/>
    <x v="2"/>
    <x v="14"/>
    <s v="No"/>
    <x v="5"/>
    <x v="0"/>
    <x v="0"/>
    <x v="17"/>
    <x v="0"/>
    <x v="6"/>
    <x v="2"/>
    <n v="46"/>
    <n v="0"/>
  </r>
  <r>
    <n v="1486"/>
    <x v="40"/>
    <x v="0"/>
    <s v="Gloves"/>
    <x v="3"/>
    <n v="56"/>
    <s v="Nebraska"/>
    <s v="L"/>
    <s v="Red"/>
    <x v="1"/>
    <x v="23"/>
    <s v="No"/>
    <x v="3"/>
    <x v="0"/>
    <x v="0"/>
    <x v="35"/>
    <x v="1"/>
    <x v="0"/>
    <x v="1"/>
    <n v="56"/>
    <n v="0"/>
  </r>
  <r>
    <n v="1487"/>
    <x v="15"/>
    <x v="0"/>
    <s v="Sneakers"/>
    <x v="1"/>
    <n v="73"/>
    <s v="Idaho"/>
    <s v="S"/>
    <s v="Yellow"/>
    <x v="1"/>
    <x v="16"/>
    <s v="No"/>
    <x v="1"/>
    <x v="0"/>
    <x v="0"/>
    <x v="2"/>
    <x v="0"/>
    <x v="6"/>
    <x v="1"/>
    <n v="73"/>
    <n v="0"/>
  </r>
  <r>
    <n v="1488"/>
    <x v="37"/>
    <x v="0"/>
    <s v="Skirt"/>
    <x v="0"/>
    <n v="44"/>
    <s v="Arizona"/>
    <s v="L"/>
    <s v="Black"/>
    <x v="2"/>
    <x v="12"/>
    <s v="No"/>
    <x v="5"/>
    <x v="0"/>
    <x v="0"/>
    <x v="8"/>
    <x v="3"/>
    <x v="2"/>
    <x v="2"/>
    <n v="44"/>
    <n v="0"/>
  </r>
  <r>
    <n v="1489"/>
    <x v="51"/>
    <x v="0"/>
    <s v="Hat"/>
    <x v="3"/>
    <n v="44"/>
    <s v="Hawaii"/>
    <s v="L"/>
    <s v="Pink"/>
    <x v="0"/>
    <x v="17"/>
    <s v="No"/>
    <x v="3"/>
    <x v="0"/>
    <x v="0"/>
    <x v="10"/>
    <x v="2"/>
    <x v="1"/>
    <x v="1"/>
    <n v="44"/>
    <n v="0"/>
  </r>
  <r>
    <n v="1490"/>
    <x v="41"/>
    <x v="0"/>
    <s v="Jewelry"/>
    <x v="3"/>
    <n v="26"/>
    <s v="Missouri"/>
    <s v="XL"/>
    <s v="Magenta"/>
    <x v="2"/>
    <x v="7"/>
    <s v="No"/>
    <x v="2"/>
    <x v="0"/>
    <x v="0"/>
    <x v="38"/>
    <x v="0"/>
    <x v="3"/>
    <x v="1"/>
    <n v="26"/>
    <n v="0"/>
  </r>
  <r>
    <n v="1491"/>
    <x v="17"/>
    <x v="0"/>
    <s v="Sneakers"/>
    <x v="1"/>
    <n v="52"/>
    <s v="Louisiana"/>
    <s v="L"/>
    <s v="Olive"/>
    <x v="1"/>
    <x v="8"/>
    <s v="No"/>
    <x v="0"/>
    <x v="0"/>
    <x v="0"/>
    <x v="28"/>
    <x v="0"/>
    <x v="4"/>
    <x v="0"/>
    <n v="52"/>
    <n v="0"/>
  </r>
  <r>
    <n v="1492"/>
    <x v="7"/>
    <x v="0"/>
    <s v="Shirt"/>
    <x v="0"/>
    <n v="54"/>
    <s v="Arkansas"/>
    <s v="S"/>
    <s v="Black"/>
    <x v="2"/>
    <x v="2"/>
    <s v="No"/>
    <x v="1"/>
    <x v="0"/>
    <x v="0"/>
    <x v="9"/>
    <x v="4"/>
    <x v="3"/>
    <x v="2"/>
    <n v="54"/>
    <n v="0"/>
  </r>
  <r>
    <n v="1493"/>
    <x v="46"/>
    <x v="0"/>
    <s v="Jacket"/>
    <x v="2"/>
    <n v="38"/>
    <s v="North Carolina"/>
    <s v="M"/>
    <s v="Maroon"/>
    <x v="2"/>
    <x v="9"/>
    <s v="No"/>
    <x v="1"/>
    <x v="0"/>
    <x v="0"/>
    <x v="35"/>
    <x v="0"/>
    <x v="3"/>
    <x v="0"/>
    <n v="38"/>
    <n v="0"/>
  </r>
  <r>
    <n v="1494"/>
    <x v="27"/>
    <x v="0"/>
    <s v="Belt"/>
    <x v="3"/>
    <n v="44"/>
    <s v="North Dakota"/>
    <s v="S"/>
    <s v="Gold"/>
    <x v="3"/>
    <x v="2"/>
    <s v="No"/>
    <x v="3"/>
    <x v="0"/>
    <x v="0"/>
    <x v="12"/>
    <x v="2"/>
    <x v="3"/>
    <x v="0"/>
    <n v="44"/>
    <n v="0"/>
  </r>
  <r>
    <n v="1495"/>
    <x v="49"/>
    <x v="0"/>
    <s v="T-shirt"/>
    <x v="0"/>
    <n v="76"/>
    <s v="Montana"/>
    <s v="M"/>
    <s v="Gray"/>
    <x v="1"/>
    <x v="21"/>
    <s v="No"/>
    <x v="2"/>
    <x v="0"/>
    <x v="0"/>
    <x v="2"/>
    <x v="4"/>
    <x v="0"/>
    <x v="2"/>
    <n v="76"/>
    <n v="0"/>
  </r>
  <r>
    <n v="1496"/>
    <x v="4"/>
    <x v="0"/>
    <s v="Jewelry"/>
    <x v="3"/>
    <n v="23"/>
    <s v="Rhode Island"/>
    <s v="M"/>
    <s v="Brown"/>
    <x v="0"/>
    <x v="9"/>
    <s v="No"/>
    <x v="2"/>
    <x v="0"/>
    <x v="0"/>
    <x v="49"/>
    <x v="3"/>
    <x v="1"/>
    <x v="2"/>
    <n v="23"/>
    <n v="0"/>
  </r>
  <r>
    <n v="1497"/>
    <x v="6"/>
    <x v="0"/>
    <s v="T-shirt"/>
    <x v="0"/>
    <n v="98"/>
    <s v="Idaho"/>
    <s v="M"/>
    <s v="Purple"/>
    <x v="0"/>
    <x v="16"/>
    <s v="No"/>
    <x v="3"/>
    <x v="0"/>
    <x v="0"/>
    <x v="44"/>
    <x v="0"/>
    <x v="4"/>
    <x v="0"/>
    <n v="98"/>
    <n v="0"/>
  </r>
  <r>
    <n v="1498"/>
    <x v="28"/>
    <x v="0"/>
    <s v="Jacket"/>
    <x v="2"/>
    <n v="33"/>
    <s v="Michigan"/>
    <s v="S"/>
    <s v="Magenta"/>
    <x v="1"/>
    <x v="22"/>
    <s v="No"/>
    <x v="4"/>
    <x v="0"/>
    <x v="0"/>
    <x v="20"/>
    <x v="5"/>
    <x v="6"/>
    <x v="0"/>
    <n v="33"/>
    <n v="0"/>
  </r>
  <r>
    <n v="1499"/>
    <x v="35"/>
    <x v="0"/>
    <s v="Sweater"/>
    <x v="0"/>
    <n v="32"/>
    <s v="Illinois"/>
    <s v="M"/>
    <s v="Teal"/>
    <x v="2"/>
    <x v="0"/>
    <s v="No"/>
    <x v="3"/>
    <x v="0"/>
    <x v="0"/>
    <x v="15"/>
    <x v="0"/>
    <x v="0"/>
    <x v="0"/>
    <n v="32"/>
    <n v="0"/>
  </r>
  <r>
    <n v="1500"/>
    <x v="1"/>
    <x v="0"/>
    <s v="Boots"/>
    <x v="1"/>
    <n v="85"/>
    <s v="Georgia"/>
    <s v="S"/>
    <s v="Olive"/>
    <x v="3"/>
    <x v="23"/>
    <s v="No"/>
    <x v="1"/>
    <x v="0"/>
    <x v="0"/>
    <x v="37"/>
    <x v="2"/>
    <x v="6"/>
    <x v="1"/>
    <n v="85"/>
    <n v="0"/>
  </r>
  <r>
    <n v="1501"/>
    <x v="6"/>
    <x v="0"/>
    <s v="Jeans"/>
    <x v="0"/>
    <n v="69"/>
    <s v="Alabama"/>
    <s v="L"/>
    <s v="Maroon"/>
    <x v="2"/>
    <x v="6"/>
    <s v="No"/>
    <x v="2"/>
    <x v="0"/>
    <x v="0"/>
    <x v="17"/>
    <x v="5"/>
    <x v="5"/>
    <x v="0"/>
    <n v="69"/>
    <n v="0"/>
  </r>
  <r>
    <n v="1502"/>
    <x v="43"/>
    <x v="0"/>
    <s v="Jeans"/>
    <x v="0"/>
    <n v="55"/>
    <s v="Alaska"/>
    <s v="XL"/>
    <s v="Silver"/>
    <x v="1"/>
    <x v="2"/>
    <s v="No"/>
    <x v="3"/>
    <x v="0"/>
    <x v="0"/>
    <x v="21"/>
    <x v="5"/>
    <x v="6"/>
    <x v="2"/>
    <n v="55"/>
    <n v="0"/>
  </r>
  <r>
    <n v="1503"/>
    <x v="43"/>
    <x v="0"/>
    <s v="Pants"/>
    <x v="0"/>
    <n v="66"/>
    <s v="Massachusetts"/>
    <s v="M"/>
    <s v="Black"/>
    <x v="2"/>
    <x v="4"/>
    <s v="No"/>
    <x v="5"/>
    <x v="0"/>
    <x v="0"/>
    <x v="41"/>
    <x v="1"/>
    <x v="0"/>
    <x v="2"/>
    <n v="66"/>
    <n v="0"/>
  </r>
  <r>
    <n v="1504"/>
    <x v="2"/>
    <x v="0"/>
    <s v="Jacket"/>
    <x v="2"/>
    <n v="30"/>
    <s v="Michigan"/>
    <s v="M"/>
    <s v="Maroon"/>
    <x v="3"/>
    <x v="20"/>
    <s v="No"/>
    <x v="4"/>
    <x v="0"/>
    <x v="0"/>
    <x v="15"/>
    <x v="1"/>
    <x v="3"/>
    <x v="2"/>
    <n v="30"/>
    <n v="0"/>
  </r>
  <r>
    <n v="1505"/>
    <x v="52"/>
    <x v="0"/>
    <s v="Jacket"/>
    <x v="2"/>
    <n v="80"/>
    <s v="Alaska"/>
    <s v="M"/>
    <s v="Teal"/>
    <x v="0"/>
    <x v="19"/>
    <s v="No"/>
    <x v="2"/>
    <x v="0"/>
    <x v="0"/>
    <x v="9"/>
    <x v="4"/>
    <x v="5"/>
    <x v="0"/>
    <n v="80"/>
    <n v="0"/>
  </r>
  <r>
    <n v="1506"/>
    <x v="5"/>
    <x v="0"/>
    <s v="Belt"/>
    <x v="3"/>
    <n v="20"/>
    <s v="North Dakota"/>
    <s v="M"/>
    <s v="Teal"/>
    <x v="2"/>
    <x v="21"/>
    <s v="No"/>
    <x v="0"/>
    <x v="0"/>
    <x v="0"/>
    <x v="30"/>
    <x v="1"/>
    <x v="5"/>
    <x v="2"/>
    <n v="20"/>
    <n v="0"/>
  </r>
  <r>
    <n v="1507"/>
    <x v="25"/>
    <x v="0"/>
    <s v="Shirt"/>
    <x v="0"/>
    <n v="30"/>
    <s v="South Carolina"/>
    <s v="L"/>
    <s v="Beige"/>
    <x v="3"/>
    <x v="21"/>
    <s v="No"/>
    <x v="4"/>
    <x v="0"/>
    <x v="0"/>
    <x v="12"/>
    <x v="3"/>
    <x v="3"/>
    <x v="2"/>
    <n v="30"/>
    <n v="0"/>
  </r>
  <r>
    <n v="1508"/>
    <x v="17"/>
    <x v="0"/>
    <s v="Dress"/>
    <x v="0"/>
    <n v="86"/>
    <s v="Pennsylvania"/>
    <s v="S"/>
    <s v="Maroon"/>
    <x v="0"/>
    <x v="18"/>
    <s v="No"/>
    <x v="4"/>
    <x v="0"/>
    <x v="0"/>
    <x v="22"/>
    <x v="0"/>
    <x v="2"/>
    <x v="0"/>
    <n v="86"/>
    <n v="0"/>
  </r>
  <r>
    <n v="1509"/>
    <x v="25"/>
    <x v="0"/>
    <s v="Blouse"/>
    <x v="0"/>
    <n v="84"/>
    <s v="Colorado"/>
    <s v="L"/>
    <s v="Beige"/>
    <x v="1"/>
    <x v="14"/>
    <s v="No"/>
    <x v="5"/>
    <x v="0"/>
    <x v="0"/>
    <x v="35"/>
    <x v="1"/>
    <x v="6"/>
    <x v="2"/>
    <n v="84"/>
    <n v="0"/>
  </r>
  <r>
    <n v="1510"/>
    <x v="30"/>
    <x v="0"/>
    <s v="Dress"/>
    <x v="0"/>
    <n v="54"/>
    <s v="New Hampshire"/>
    <s v="XL"/>
    <s v="White"/>
    <x v="2"/>
    <x v="12"/>
    <s v="No"/>
    <x v="1"/>
    <x v="0"/>
    <x v="0"/>
    <x v="12"/>
    <x v="5"/>
    <x v="2"/>
    <x v="1"/>
    <n v="54"/>
    <n v="0"/>
  </r>
  <r>
    <n v="1511"/>
    <x v="0"/>
    <x v="0"/>
    <s v="Blouse"/>
    <x v="0"/>
    <n v="30"/>
    <s v="Maryland"/>
    <s v="XL"/>
    <s v="Gray"/>
    <x v="3"/>
    <x v="21"/>
    <s v="No"/>
    <x v="1"/>
    <x v="0"/>
    <x v="0"/>
    <x v="4"/>
    <x v="0"/>
    <x v="2"/>
    <x v="0"/>
    <n v="30"/>
    <n v="0"/>
  </r>
  <r>
    <n v="1512"/>
    <x v="50"/>
    <x v="0"/>
    <s v="Dress"/>
    <x v="0"/>
    <n v="91"/>
    <s v="Georgia"/>
    <s v="M"/>
    <s v="Violet"/>
    <x v="0"/>
    <x v="15"/>
    <s v="No"/>
    <x v="0"/>
    <x v="0"/>
    <x v="0"/>
    <x v="26"/>
    <x v="2"/>
    <x v="1"/>
    <x v="2"/>
    <n v="91"/>
    <n v="0"/>
  </r>
  <r>
    <n v="1513"/>
    <x v="52"/>
    <x v="0"/>
    <s v="Sneakers"/>
    <x v="1"/>
    <n v="23"/>
    <s v="Wisconsin"/>
    <s v="L"/>
    <s v="Silver"/>
    <x v="0"/>
    <x v="20"/>
    <s v="No"/>
    <x v="3"/>
    <x v="0"/>
    <x v="0"/>
    <x v="27"/>
    <x v="3"/>
    <x v="4"/>
    <x v="0"/>
    <n v="23"/>
    <n v="0"/>
  </r>
  <r>
    <n v="1514"/>
    <x v="40"/>
    <x v="0"/>
    <s v="Socks"/>
    <x v="0"/>
    <n v="35"/>
    <s v="Texas"/>
    <s v="M"/>
    <s v="Red"/>
    <x v="1"/>
    <x v="7"/>
    <s v="No"/>
    <x v="1"/>
    <x v="0"/>
    <x v="0"/>
    <x v="46"/>
    <x v="1"/>
    <x v="5"/>
    <x v="1"/>
    <n v="35"/>
    <n v="0"/>
  </r>
  <r>
    <n v="1515"/>
    <x v="8"/>
    <x v="0"/>
    <s v="Shoes"/>
    <x v="1"/>
    <n v="90"/>
    <s v="Utah"/>
    <s v="L"/>
    <s v="Brown"/>
    <x v="0"/>
    <x v="20"/>
    <s v="No"/>
    <x v="4"/>
    <x v="0"/>
    <x v="0"/>
    <x v="43"/>
    <x v="0"/>
    <x v="1"/>
    <x v="2"/>
    <n v="90"/>
    <n v="0"/>
  </r>
  <r>
    <n v="1516"/>
    <x v="31"/>
    <x v="0"/>
    <s v="Jeans"/>
    <x v="0"/>
    <n v="93"/>
    <s v="Indiana"/>
    <s v="S"/>
    <s v="Turquoise"/>
    <x v="3"/>
    <x v="20"/>
    <s v="No"/>
    <x v="4"/>
    <x v="0"/>
    <x v="0"/>
    <x v="11"/>
    <x v="1"/>
    <x v="1"/>
    <x v="2"/>
    <n v="93"/>
    <n v="0"/>
  </r>
  <r>
    <n v="1517"/>
    <x v="30"/>
    <x v="0"/>
    <s v="Jeans"/>
    <x v="0"/>
    <n v="68"/>
    <s v="Nevada"/>
    <s v="L"/>
    <s v="Indigo"/>
    <x v="0"/>
    <x v="9"/>
    <s v="No"/>
    <x v="0"/>
    <x v="0"/>
    <x v="0"/>
    <x v="36"/>
    <x v="4"/>
    <x v="4"/>
    <x v="1"/>
    <n v="68"/>
    <n v="0"/>
  </r>
  <r>
    <n v="1518"/>
    <x v="9"/>
    <x v="0"/>
    <s v="Gloves"/>
    <x v="3"/>
    <n v="41"/>
    <s v="New Hampshire"/>
    <s v="M"/>
    <s v="Violet"/>
    <x v="1"/>
    <x v="23"/>
    <s v="No"/>
    <x v="3"/>
    <x v="0"/>
    <x v="0"/>
    <x v="45"/>
    <x v="1"/>
    <x v="3"/>
    <x v="0"/>
    <n v="41"/>
    <n v="0"/>
  </r>
  <r>
    <n v="1519"/>
    <x v="33"/>
    <x v="0"/>
    <s v="Belt"/>
    <x v="3"/>
    <n v="73"/>
    <s v="New York"/>
    <s v="M"/>
    <s v="Yellow"/>
    <x v="0"/>
    <x v="7"/>
    <s v="No"/>
    <x v="2"/>
    <x v="0"/>
    <x v="0"/>
    <x v="0"/>
    <x v="0"/>
    <x v="0"/>
    <x v="0"/>
    <n v="73"/>
    <n v="0"/>
  </r>
  <r>
    <n v="1520"/>
    <x v="2"/>
    <x v="0"/>
    <s v="Sunglasses"/>
    <x v="3"/>
    <n v="73"/>
    <s v="Texas"/>
    <s v="L"/>
    <s v="Cyan"/>
    <x v="3"/>
    <x v="8"/>
    <s v="No"/>
    <x v="2"/>
    <x v="0"/>
    <x v="0"/>
    <x v="19"/>
    <x v="3"/>
    <x v="1"/>
    <x v="2"/>
    <n v="73"/>
    <n v="0"/>
  </r>
  <r>
    <n v="1521"/>
    <x v="3"/>
    <x v="0"/>
    <s v="Hat"/>
    <x v="3"/>
    <n v="66"/>
    <s v="Iowa"/>
    <s v="M"/>
    <s v="Brown"/>
    <x v="2"/>
    <x v="14"/>
    <s v="No"/>
    <x v="4"/>
    <x v="0"/>
    <x v="0"/>
    <x v="30"/>
    <x v="1"/>
    <x v="3"/>
    <x v="1"/>
    <n v="66"/>
    <n v="0"/>
  </r>
  <r>
    <n v="1522"/>
    <x v="26"/>
    <x v="0"/>
    <s v="Backpack"/>
    <x v="3"/>
    <n v="59"/>
    <s v="Washington"/>
    <s v="M"/>
    <s v="White"/>
    <x v="2"/>
    <x v="2"/>
    <s v="No"/>
    <x v="4"/>
    <x v="0"/>
    <x v="0"/>
    <x v="16"/>
    <x v="4"/>
    <x v="1"/>
    <x v="2"/>
    <n v="59"/>
    <n v="0"/>
  </r>
  <r>
    <n v="1523"/>
    <x v="21"/>
    <x v="0"/>
    <s v="Shorts"/>
    <x v="0"/>
    <n v="72"/>
    <s v="Tennessee"/>
    <s v="L"/>
    <s v="Yellow"/>
    <x v="1"/>
    <x v="6"/>
    <s v="No"/>
    <x v="1"/>
    <x v="0"/>
    <x v="0"/>
    <x v="36"/>
    <x v="5"/>
    <x v="5"/>
    <x v="2"/>
    <n v="72"/>
    <n v="0"/>
  </r>
  <r>
    <n v="1524"/>
    <x v="22"/>
    <x v="0"/>
    <s v="Socks"/>
    <x v="0"/>
    <n v="88"/>
    <s v="Georgia"/>
    <s v="M"/>
    <s v="White"/>
    <x v="2"/>
    <x v="13"/>
    <s v="No"/>
    <x v="4"/>
    <x v="0"/>
    <x v="0"/>
    <x v="31"/>
    <x v="5"/>
    <x v="2"/>
    <x v="0"/>
    <n v="88"/>
    <n v="0"/>
  </r>
  <r>
    <n v="1525"/>
    <x v="40"/>
    <x v="0"/>
    <s v="Socks"/>
    <x v="0"/>
    <n v="76"/>
    <s v="Massachusetts"/>
    <s v="L"/>
    <s v="Pink"/>
    <x v="2"/>
    <x v="14"/>
    <s v="No"/>
    <x v="1"/>
    <x v="0"/>
    <x v="0"/>
    <x v="49"/>
    <x v="1"/>
    <x v="4"/>
    <x v="1"/>
    <n v="76"/>
    <n v="0"/>
  </r>
  <r>
    <n v="1526"/>
    <x v="26"/>
    <x v="0"/>
    <s v="Belt"/>
    <x v="3"/>
    <n v="31"/>
    <s v="Oregon"/>
    <s v="M"/>
    <s v="Indigo"/>
    <x v="0"/>
    <x v="12"/>
    <s v="No"/>
    <x v="4"/>
    <x v="0"/>
    <x v="0"/>
    <x v="17"/>
    <x v="1"/>
    <x v="0"/>
    <x v="2"/>
    <n v="31"/>
    <n v="0"/>
  </r>
  <r>
    <n v="1527"/>
    <x v="38"/>
    <x v="0"/>
    <s v="Jacket"/>
    <x v="2"/>
    <n v="22"/>
    <s v="Oklahoma"/>
    <s v="L"/>
    <s v="White"/>
    <x v="2"/>
    <x v="0"/>
    <s v="No"/>
    <x v="2"/>
    <x v="0"/>
    <x v="0"/>
    <x v="46"/>
    <x v="3"/>
    <x v="5"/>
    <x v="2"/>
    <n v="22"/>
    <n v="0"/>
  </r>
  <r>
    <n v="1528"/>
    <x v="8"/>
    <x v="0"/>
    <s v="Hat"/>
    <x v="3"/>
    <n v="75"/>
    <s v="Wisconsin"/>
    <s v="L"/>
    <s v="Red"/>
    <x v="3"/>
    <x v="9"/>
    <s v="No"/>
    <x v="4"/>
    <x v="0"/>
    <x v="0"/>
    <x v="42"/>
    <x v="5"/>
    <x v="0"/>
    <x v="2"/>
    <n v="75"/>
    <n v="0"/>
  </r>
  <r>
    <n v="1529"/>
    <x v="28"/>
    <x v="0"/>
    <s v="T-shirt"/>
    <x v="0"/>
    <n v="75"/>
    <s v="Oregon"/>
    <s v="S"/>
    <s v="Red"/>
    <x v="1"/>
    <x v="17"/>
    <s v="No"/>
    <x v="5"/>
    <x v="0"/>
    <x v="0"/>
    <x v="39"/>
    <x v="0"/>
    <x v="4"/>
    <x v="0"/>
    <n v="75"/>
    <n v="0"/>
  </r>
  <r>
    <n v="1530"/>
    <x v="30"/>
    <x v="0"/>
    <s v="Backpack"/>
    <x v="3"/>
    <n v="63"/>
    <s v="Georgia"/>
    <s v="M"/>
    <s v="Lavender"/>
    <x v="0"/>
    <x v="0"/>
    <s v="No"/>
    <x v="1"/>
    <x v="0"/>
    <x v="0"/>
    <x v="26"/>
    <x v="2"/>
    <x v="4"/>
    <x v="1"/>
    <n v="63"/>
    <n v="0"/>
  </r>
  <r>
    <n v="1531"/>
    <x v="35"/>
    <x v="0"/>
    <s v="Coat"/>
    <x v="2"/>
    <n v="21"/>
    <s v="New Mexico"/>
    <s v="M"/>
    <s v="Teal"/>
    <x v="1"/>
    <x v="20"/>
    <s v="No"/>
    <x v="2"/>
    <x v="0"/>
    <x v="0"/>
    <x v="17"/>
    <x v="4"/>
    <x v="3"/>
    <x v="0"/>
    <n v="21"/>
    <n v="0"/>
  </r>
  <r>
    <n v="1532"/>
    <x v="6"/>
    <x v="0"/>
    <s v="Backpack"/>
    <x v="3"/>
    <n v="83"/>
    <s v="Mississippi"/>
    <s v="S"/>
    <s v="Violet"/>
    <x v="1"/>
    <x v="9"/>
    <s v="No"/>
    <x v="2"/>
    <x v="0"/>
    <x v="0"/>
    <x v="6"/>
    <x v="3"/>
    <x v="4"/>
    <x v="0"/>
    <n v="83"/>
    <n v="0"/>
  </r>
  <r>
    <n v="1533"/>
    <x v="33"/>
    <x v="0"/>
    <s v="Jacket"/>
    <x v="2"/>
    <n v="46"/>
    <s v="Wisconsin"/>
    <s v="S"/>
    <s v="Silver"/>
    <x v="0"/>
    <x v="14"/>
    <s v="No"/>
    <x v="2"/>
    <x v="0"/>
    <x v="0"/>
    <x v="36"/>
    <x v="3"/>
    <x v="6"/>
    <x v="0"/>
    <n v="46"/>
    <n v="0"/>
  </r>
  <r>
    <n v="1534"/>
    <x v="2"/>
    <x v="0"/>
    <s v="Shoes"/>
    <x v="1"/>
    <n v="59"/>
    <s v="New Hampshire"/>
    <s v="M"/>
    <s v="Gold"/>
    <x v="2"/>
    <x v="15"/>
    <s v="No"/>
    <x v="4"/>
    <x v="0"/>
    <x v="0"/>
    <x v="20"/>
    <x v="4"/>
    <x v="3"/>
    <x v="2"/>
    <n v="59"/>
    <n v="0"/>
  </r>
  <r>
    <n v="1535"/>
    <x v="0"/>
    <x v="0"/>
    <s v="Blouse"/>
    <x v="0"/>
    <n v="66"/>
    <s v="Wyoming"/>
    <s v="M"/>
    <s v="Green"/>
    <x v="2"/>
    <x v="23"/>
    <s v="No"/>
    <x v="1"/>
    <x v="0"/>
    <x v="0"/>
    <x v="8"/>
    <x v="0"/>
    <x v="0"/>
    <x v="0"/>
    <n v="66"/>
    <n v="0"/>
  </r>
  <r>
    <n v="1536"/>
    <x v="24"/>
    <x v="0"/>
    <s v="Sandals"/>
    <x v="1"/>
    <n v="74"/>
    <s v="West Virginia"/>
    <s v="S"/>
    <s v="Turquoise"/>
    <x v="3"/>
    <x v="17"/>
    <s v="No"/>
    <x v="4"/>
    <x v="0"/>
    <x v="0"/>
    <x v="6"/>
    <x v="0"/>
    <x v="5"/>
    <x v="2"/>
    <n v="74"/>
    <n v="0"/>
  </r>
  <r>
    <n v="1537"/>
    <x v="20"/>
    <x v="0"/>
    <s v="Sunglasses"/>
    <x v="3"/>
    <n v="82"/>
    <s v="Michigan"/>
    <s v="M"/>
    <s v="Indigo"/>
    <x v="2"/>
    <x v="5"/>
    <s v="No"/>
    <x v="5"/>
    <x v="0"/>
    <x v="0"/>
    <x v="14"/>
    <x v="1"/>
    <x v="3"/>
    <x v="1"/>
    <n v="82"/>
    <n v="0"/>
  </r>
  <r>
    <n v="1538"/>
    <x v="33"/>
    <x v="0"/>
    <s v="Shoes"/>
    <x v="1"/>
    <n v="89"/>
    <s v="Alaska"/>
    <s v="L"/>
    <s v="Black"/>
    <x v="1"/>
    <x v="4"/>
    <s v="No"/>
    <x v="2"/>
    <x v="0"/>
    <x v="0"/>
    <x v="16"/>
    <x v="0"/>
    <x v="2"/>
    <x v="0"/>
    <n v="89"/>
    <n v="0"/>
  </r>
  <r>
    <n v="1539"/>
    <x v="19"/>
    <x v="0"/>
    <s v="Dress"/>
    <x v="0"/>
    <n v="65"/>
    <s v="Illinois"/>
    <s v="L"/>
    <s v="Charcoal"/>
    <x v="3"/>
    <x v="4"/>
    <s v="No"/>
    <x v="3"/>
    <x v="0"/>
    <x v="0"/>
    <x v="17"/>
    <x v="0"/>
    <x v="4"/>
    <x v="0"/>
    <n v="65"/>
    <n v="0"/>
  </r>
  <r>
    <n v="1540"/>
    <x v="45"/>
    <x v="0"/>
    <s v="Belt"/>
    <x v="3"/>
    <n v="55"/>
    <s v="Hawaii"/>
    <s v="M"/>
    <s v="Turquoise"/>
    <x v="1"/>
    <x v="16"/>
    <s v="No"/>
    <x v="4"/>
    <x v="0"/>
    <x v="0"/>
    <x v="5"/>
    <x v="1"/>
    <x v="6"/>
    <x v="2"/>
    <n v="55"/>
    <n v="0"/>
  </r>
  <r>
    <n v="1541"/>
    <x v="48"/>
    <x v="0"/>
    <s v="Shorts"/>
    <x v="0"/>
    <n v="95"/>
    <s v="Colorado"/>
    <s v="M"/>
    <s v="Red"/>
    <x v="0"/>
    <x v="3"/>
    <s v="No"/>
    <x v="2"/>
    <x v="0"/>
    <x v="0"/>
    <x v="0"/>
    <x v="4"/>
    <x v="5"/>
    <x v="2"/>
    <n v="95"/>
    <n v="0"/>
  </r>
  <r>
    <n v="1542"/>
    <x v="41"/>
    <x v="0"/>
    <s v="Handbag"/>
    <x v="3"/>
    <n v="77"/>
    <s v="Illinois"/>
    <s v="S"/>
    <s v="Indigo"/>
    <x v="0"/>
    <x v="3"/>
    <s v="No"/>
    <x v="5"/>
    <x v="0"/>
    <x v="0"/>
    <x v="31"/>
    <x v="1"/>
    <x v="4"/>
    <x v="1"/>
    <n v="77"/>
    <n v="0"/>
  </r>
  <r>
    <n v="1543"/>
    <x v="35"/>
    <x v="0"/>
    <s v="Blouse"/>
    <x v="0"/>
    <n v="44"/>
    <s v="Hawaii"/>
    <s v="M"/>
    <s v="Maroon"/>
    <x v="0"/>
    <x v="1"/>
    <s v="No"/>
    <x v="2"/>
    <x v="0"/>
    <x v="0"/>
    <x v="34"/>
    <x v="3"/>
    <x v="1"/>
    <x v="0"/>
    <n v="44"/>
    <n v="0"/>
  </r>
  <r>
    <n v="1544"/>
    <x v="19"/>
    <x v="0"/>
    <s v="Jeans"/>
    <x v="0"/>
    <n v="89"/>
    <s v="Wisconsin"/>
    <s v="M"/>
    <s v="Indigo"/>
    <x v="3"/>
    <x v="17"/>
    <s v="No"/>
    <x v="3"/>
    <x v="0"/>
    <x v="0"/>
    <x v="37"/>
    <x v="0"/>
    <x v="2"/>
    <x v="0"/>
    <n v="89"/>
    <n v="0"/>
  </r>
  <r>
    <n v="1545"/>
    <x v="11"/>
    <x v="0"/>
    <s v="Jewelry"/>
    <x v="3"/>
    <n v="24"/>
    <s v="Arkansas"/>
    <s v="M"/>
    <s v="Maroon"/>
    <x v="1"/>
    <x v="20"/>
    <s v="No"/>
    <x v="3"/>
    <x v="0"/>
    <x v="0"/>
    <x v="14"/>
    <x v="5"/>
    <x v="4"/>
    <x v="2"/>
    <n v="24"/>
    <n v="0"/>
  </r>
  <r>
    <n v="1546"/>
    <x v="39"/>
    <x v="0"/>
    <s v="Belt"/>
    <x v="3"/>
    <n v="43"/>
    <s v="Delaware"/>
    <s v="M"/>
    <s v="Black"/>
    <x v="0"/>
    <x v="8"/>
    <s v="No"/>
    <x v="5"/>
    <x v="0"/>
    <x v="0"/>
    <x v="3"/>
    <x v="4"/>
    <x v="2"/>
    <x v="2"/>
    <n v="43"/>
    <n v="0"/>
  </r>
  <r>
    <n v="1547"/>
    <x v="52"/>
    <x v="0"/>
    <s v="Sneakers"/>
    <x v="1"/>
    <n v="51"/>
    <s v="Oregon"/>
    <s v="XL"/>
    <s v="Purple"/>
    <x v="2"/>
    <x v="22"/>
    <s v="No"/>
    <x v="0"/>
    <x v="0"/>
    <x v="0"/>
    <x v="14"/>
    <x v="4"/>
    <x v="2"/>
    <x v="0"/>
    <n v="51"/>
    <n v="0"/>
  </r>
  <r>
    <n v="1548"/>
    <x v="5"/>
    <x v="0"/>
    <s v="Hat"/>
    <x v="3"/>
    <n v="46"/>
    <s v="South Carolina"/>
    <s v="L"/>
    <s v="Teal"/>
    <x v="2"/>
    <x v="1"/>
    <s v="No"/>
    <x v="3"/>
    <x v="0"/>
    <x v="0"/>
    <x v="19"/>
    <x v="1"/>
    <x v="3"/>
    <x v="2"/>
    <n v="46"/>
    <n v="0"/>
  </r>
  <r>
    <n v="1549"/>
    <x v="28"/>
    <x v="0"/>
    <s v="Dress"/>
    <x v="0"/>
    <n v="32"/>
    <s v="Maryland"/>
    <s v="M"/>
    <s v="Silver"/>
    <x v="2"/>
    <x v="18"/>
    <s v="No"/>
    <x v="5"/>
    <x v="0"/>
    <x v="0"/>
    <x v="34"/>
    <x v="4"/>
    <x v="1"/>
    <x v="0"/>
    <n v="32"/>
    <n v="0"/>
  </r>
  <r>
    <n v="1550"/>
    <x v="1"/>
    <x v="0"/>
    <s v="Sneakers"/>
    <x v="1"/>
    <n v="55"/>
    <s v="Kansas"/>
    <s v="M"/>
    <s v="Black"/>
    <x v="1"/>
    <x v="3"/>
    <s v="No"/>
    <x v="4"/>
    <x v="0"/>
    <x v="0"/>
    <x v="5"/>
    <x v="5"/>
    <x v="6"/>
    <x v="1"/>
    <n v="55"/>
    <n v="0"/>
  </r>
  <r>
    <n v="1551"/>
    <x v="17"/>
    <x v="0"/>
    <s v="Sunglasses"/>
    <x v="3"/>
    <n v="26"/>
    <s v="Arkansas"/>
    <s v="S"/>
    <s v="Black"/>
    <x v="2"/>
    <x v="11"/>
    <s v="No"/>
    <x v="1"/>
    <x v="0"/>
    <x v="0"/>
    <x v="19"/>
    <x v="4"/>
    <x v="3"/>
    <x v="0"/>
    <n v="26"/>
    <n v="0"/>
  </r>
  <r>
    <n v="1552"/>
    <x v="14"/>
    <x v="0"/>
    <s v="Handbag"/>
    <x v="3"/>
    <n v="29"/>
    <s v="Minnesota"/>
    <s v="M"/>
    <s v="Olive"/>
    <x v="2"/>
    <x v="18"/>
    <s v="No"/>
    <x v="4"/>
    <x v="0"/>
    <x v="0"/>
    <x v="21"/>
    <x v="2"/>
    <x v="5"/>
    <x v="0"/>
    <n v="29"/>
    <n v="0"/>
  </r>
  <r>
    <n v="1553"/>
    <x v="22"/>
    <x v="0"/>
    <s v="Blouse"/>
    <x v="0"/>
    <n v="49"/>
    <s v="New Mexico"/>
    <s v="L"/>
    <s v="Purple"/>
    <x v="1"/>
    <x v="21"/>
    <s v="No"/>
    <x v="0"/>
    <x v="0"/>
    <x v="0"/>
    <x v="41"/>
    <x v="2"/>
    <x v="5"/>
    <x v="0"/>
    <n v="49"/>
    <n v="0"/>
  </r>
  <r>
    <n v="1554"/>
    <x v="7"/>
    <x v="0"/>
    <s v="Blouse"/>
    <x v="0"/>
    <n v="45"/>
    <s v="Delaware"/>
    <s v="M"/>
    <s v="Indigo"/>
    <x v="1"/>
    <x v="6"/>
    <s v="No"/>
    <x v="1"/>
    <x v="0"/>
    <x v="0"/>
    <x v="33"/>
    <x v="5"/>
    <x v="3"/>
    <x v="2"/>
    <n v="45"/>
    <n v="0"/>
  </r>
  <r>
    <n v="1555"/>
    <x v="14"/>
    <x v="0"/>
    <s v="Shorts"/>
    <x v="0"/>
    <n v="48"/>
    <s v="Utah"/>
    <s v="S"/>
    <s v="Lavender"/>
    <x v="0"/>
    <x v="2"/>
    <s v="No"/>
    <x v="3"/>
    <x v="0"/>
    <x v="0"/>
    <x v="27"/>
    <x v="1"/>
    <x v="4"/>
    <x v="0"/>
    <n v="48"/>
    <n v="0"/>
  </r>
  <r>
    <n v="1556"/>
    <x v="49"/>
    <x v="0"/>
    <s v="Shorts"/>
    <x v="0"/>
    <n v="47"/>
    <s v="Ohio"/>
    <s v="S"/>
    <s v="Cyan"/>
    <x v="0"/>
    <x v="9"/>
    <s v="No"/>
    <x v="1"/>
    <x v="0"/>
    <x v="0"/>
    <x v="12"/>
    <x v="1"/>
    <x v="3"/>
    <x v="2"/>
    <n v="47"/>
    <n v="0"/>
  </r>
  <r>
    <n v="1557"/>
    <x v="49"/>
    <x v="0"/>
    <s v="Hoodie"/>
    <x v="0"/>
    <n v="57"/>
    <s v="Alabama"/>
    <s v="M"/>
    <s v="Gold"/>
    <x v="3"/>
    <x v="2"/>
    <s v="No"/>
    <x v="3"/>
    <x v="0"/>
    <x v="0"/>
    <x v="8"/>
    <x v="2"/>
    <x v="3"/>
    <x v="2"/>
    <n v="57"/>
    <n v="0"/>
  </r>
  <r>
    <n v="1558"/>
    <x v="7"/>
    <x v="0"/>
    <s v="Backpack"/>
    <x v="3"/>
    <n v="34"/>
    <s v="South Dakota"/>
    <s v="L"/>
    <s v="Magenta"/>
    <x v="3"/>
    <x v="1"/>
    <s v="No"/>
    <x v="2"/>
    <x v="0"/>
    <x v="0"/>
    <x v="11"/>
    <x v="3"/>
    <x v="3"/>
    <x v="2"/>
    <n v="34"/>
    <n v="0"/>
  </r>
  <r>
    <n v="1559"/>
    <x v="25"/>
    <x v="0"/>
    <s v="Sunglasses"/>
    <x v="3"/>
    <n v="75"/>
    <s v="New Mexico"/>
    <s v="XL"/>
    <s v="Teal"/>
    <x v="3"/>
    <x v="1"/>
    <s v="No"/>
    <x v="0"/>
    <x v="0"/>
    <x v="0"/>
    <x v="37"/>
    <x v="2"/>
    <x v="6"/>
    <x v="2"/>
    <n v="75"/>
    <n v="0"/>
  </r>
  <r>
    <n v="1560"/>
    <x v="49"/>
    <x v="0"/>
    <s v="Scarf"/>
    <x v="3"/>
    <n v="94"/>
    <s v="Oregon"/>
    <s v="L"/>
    <s v="Beige"/>
    <x v="3"/>
    <x v="9"/>
    <s v="No"/>
    <x v="5"/>
    <x v="0"/>
    <x v="0"/>
    <x v="2"/>
    <x v="3"/>
    <x v="0"/>
    <x v="2"/>
    <n v="94"/>
    <n v="0"/>
  </r>
  <r>
    <n v="1561"/>
    <x v="9"/>
    <x v="0"/>
    <s v="Hat"/>
    <x v="3"/>
    <n v="84"/>
    <s v="Oregon"/>
    <s v="M"/>
    <s v="Teal"/>
    <x v="0"/>
    <x v="22"/>
    <s v="No"/>
    <x v="1"/>
    <x v="0"/>
    <x v="0"/>
    <x v="35"/>
    <x v="5"/>
    <x v="1"/>
    <x v="0"/>
    <n v="84"/>
    <n v="0"/>
  </r>
  <r>
    <n v="1562"/>
    <x v="2"/>
    <x v="0"/>
    <s v="Scarf"/>
    <x v="3"/>
    <n v="38"/>
    <s v="Mississippi"/>
    <s v="M"/>
    <s v="Indigo"/>
    <x v="2"/>
    <x v="22"/>
    <s v="No"/>
    <x v="3"/>
    <x v="0"/>
    <x v="0"/>
    <x v="1"/>
    <x v="4"/>
    <x v="3"/>
    <x v="2"/>
    <n v="38"/>
    <n v="0"/>
  </r>
  <r>
    <n v="1563"/>
    <x v="43"/>
    <x v="0"/>
    <s v="Scarf"/>
    <x v="3"/>
    <n v="75"/>
    <s v="Alabama"/>
    <s v="M"/>
    <s v="Purple"/>
    <x v="0"/>
    <x v="4"/>
    <s v="No"/>
    <x v="2"/>
    <x v="0"/>
    <x v="0"/>
    <x v="2"/>
    <x v="0"/>
    <x v="4"/>
    <x v="2"/>
    <n v="75"/>
    <n v="0"/>
  </r>
  <r>
    <n v="1564"/>
    <x v="33"/>
    <x v="0"/>
    <s v="Pants"/>
    <x v="0"/>
    <n v="44"/>
    <s v="Kansas"/>
    <s v="M"/>
    <s v="Teal"/>
    <x v="3"/>
    <x v="24"/>
    <s v="No"/>
    <x v="2"/>
    <x v="0"/>
    <x v="0"/>
    <x v="6"/>
    <x v="1"/>
    <x v="1"/>
    <x v="0"/>
    <n v="44"/>
    <n v="0"/>
  </r>
  <r>
    <n v="1565"/>
    <x v="40"/>
    <x v="0"/>
    <s v="Backpack"/>
    <x v="3"/>
    <n v="33"/>
    <s v="California"/>
    <s v="XL"/>
    <s v="Turquoise"/>
    <x v="2"/>
    <x v="9"/>
    <s v="No"/>
    <x v="2"/>
    <x v="0"/>
    <x v="0"/>
    <x v="48"/>
    <x v="5"/>
    <x v="6"/>
    <x v="1"/>
    <n v="33"/>
    <n v="0"/>
  </r>
  <r>
    <n v="1566"/>
    <x v="44"/>
    <x v="0"/>
    <s v="Sunglasses"/>
    <x v="3"/>
    <n v="93"/>
    <s v="Idaho"/>
    <s v="L"/>
    <s v="Peach"/>
    <x v="3"/>
    <x v="19"/>
    <s v="No"/>
    <x v="1"/>
    <x v="0"/>
    <x v="0"/>
    <x v="26"/>
    <x v="3"/>
    <x v="2"/>
    <x v="0"/>
    <n v="93"/>
    <n v="0"/>
  </r>
  <r>
    <n v="1567"/>
    <x v="39"/>
    <x v="0"/>
    <s v="Sneakers"/>
    <x v="1"/>
    <n v="99"/>
    <s v="Wyoming"/>
    <s v="S"/>
    <s v="Green"/>
    <x v="0"/>
    <x v="21"/>
    <s v="No"/>
    <x v="1"/>
    <x v="0"/>
    <x v="0"/>
    <x v="33"/>
    <x v="1"/>
    <x v="4"/>
    <x v="2"/>
    <n v="99"/>
    <n v="0"/>
  </r>
  <r>
    <n v="1568"/>
    <x v="11"/>
    <x v="0"/>
    <s v="Backpack"/>
    <x v="3"/>
    <n v="33"/>
    <s v="Minnesota"/>
    <s v="M"/>
    <s v="Turquoise"/>
    <x v="1"/>
    <x v="7"/>
    <s v="No"/>
    <x v="3"/>
    <x v="0"/>
    <x v="0"/>
    <x v="44"/>
    <x v="1"/>
    <x v="5"/>
    <x v="2"/>
    <n v="33"/>
    <n v="0"/>
  </r>
  <r>
    <n v="1569"/>
    <x v="47"/>
    <x v="0"/>
    <s v="Sneakers"/>
    <x v="1"/>
    <n v="76"/>
    <s v="Washington"/>
    <s v="L"/>
    <s v="Yellow"/>
    <x v="1"/>
    <x v="12"/>
    <s v="No"/>
    <x v="5"/>
    <x v="0"/>
    <x v="0"/>
    <x v="6"/>
    <x v="5"/>
    <x v="5"/>
    <x v="0"/>
    <n v="76"/>
    <n v="0"/>
  </r>
  <r>
    <n v="1570"/>
    <x v="30"/>
    <x v="0"/>
    <s v="Skirt"/>
    <x v="0"/>
    <n v="63"/>
    <s v="Hawaii"/>
    <s v="M"/>
    <s v="Orange"/>
    <x v="2"/>
    <x v="3"/>
    <s v="No"/>
    <x v="3"/>
    <x v="0"/>
    <x v="0"/>
    <x v="32"/>
    <x v="5"/>
    <x v="1"/>
    <x v="1"/>
    <n v="63"/>
    <n v="0"/>
  </r>
  <r>
    <n v="1571"/>
    <x v="11"/>
    <x v="0"/>
    <s v="Pants"/>
    <x v="0"/>
    <n v="41"/>
    <s v="Missouri"/>
    <s v="L"/>
    <s v="Brown"/>
    <x v="0"/>
    <x v="6"/>
    <s v="No"/>
    <x v="2"/>
    <x v="0"/>
    <x v="0"/>
    <x v="35"/>
    <x v="4"/>
    <x v="6"/>
    <x v="2"/>
    <n v="41"/>
    <n v="0"/>
  </r>
  <r>
    <n v="1572"/>
    <x v="48"/>
    <x v="0"/>
    <s v="Jewelry"/>
    <x v="3"/>
    <n v="88"/>
    <s v="Colorado"/>
    <s v="L"/>
    <s v="Silver"/>
    <x v="0"/>
    <x v="9"/>
    <s v="No"/>
    <x v="2"/>
    <x v="0"/>
    <x v="0"/>
    <x v="47"/>
    <x v="4"/>
    <x v="0"/>
    <x v="2"/>
    <n v="88"/>
    <n v="0"/>
  </r>
  <r>
    <n v="1573"/>
    <x v="43"/>
    <x v="0"/>
    <s v="Skirt"/>
    <x v="0"/>
    <n v="92"/>
    <s v="Washington"/>
    <s v="L"/>
    <s v="White"/>
    <x v="2"/>
    <x v="23"/>
    <s v="No"/>
    <x v="4"/>
    <x v="0"/>
    <x v="0"/>
    <x v="20"/>
    <x v="5"/>
    <x v="5"/>
    <x v="2"/>
    <n v="92"/>
    <n v="0"/>
  </r>
  <r>
    <n v="1574"/>
    <x v="24"/>
    <x v="0"/>
    <s v="T-shirt"/>
    <x v="0"/>
    <n v="31"/>
    <s v="North Dakota"/>
    <s v="L"/>
    <s v="Indigo"/>
    <x v="2"/>
    <x v="24"/>
    <s v="No"/>
    <x v="4"/>
    <x v="0"/>
    <x v="0"/>
    <x v="29"/>
    <x v="5"/>
    <x v="1"/>
    <x v="2"/>
    <n v="31"/>
    <n v="0"/>
  </r>
  <r>
    <n v="1575"/>
    <x v="20"/>
    <x v="0"/>
    <s v="Skirt"/>
    <x v="0"/>
    <n v="25"/>
    <s v="Minnesota"/>
    <s v="S"/>
    <s v="Magenta"/>
    <x v="1"/>
    <x v="19"/>
    <s v="No"/>
    <x v="1"/>
    <x v="0"/>
    <x v="0"/>
    <x v="18"/>
    <x v="3"/>
    <x v="4"/>
    <x v="1"/>
    <n v="25"/>
    <n v="0"/>
  </r>
  <r>
    <n v="1576"/>
    <x v="16"/>
    <x v="0"/>
    <s v="Shirt"/>
    <x v="0"/>
    <n v="28"/>
    <s v="California"/>
    <s v="M"/>
    <s v="Turquoise"/>
    <x v="1"/>
    <x v="15"/>
    <s v="No"/>
    <x v="2"/>
    <x v="0"/>
    <x v="0"/>
    <x v="40"/>
    <x v="1"/>
    <x v="0"/>
    <x v="0"/>
    <n v="28"/>
    <n v="0"/>
  </r>
  <r>
    <n v="1577"/>
    <x v="19"/>
    <x v="0"/>
    <s v="Dress"/>
    <x v="0"/>
    <n v="75"/>
    <s v="Michigan"/>
    <s v="M"/>
    <s v="White"/>
    <x v="1"/>
    <x v="18"/>
    <s v="No"/>
    <x v="4"/>
    <x v="0"/>
    <x v="0"/>
    <x v="13"/>
    <x v="3"/>
    <x v="5"/>
    <x v="0"/>
    <n v="75"/>
    <n v="0"/>
  </r>
  <r>
    <n v="1578"/>
    <x v="33"/>
    <x v="0"/>
    <s v="Boots"/>
    <x v="1"/>
    <n v="34"/>
    <s v="Delaware"/>
    <s v="S"/>
    <s v="Olive"/>
    <x v="1"/>
    <x v="17"/>
    <s v="No"/>
    <x v="3"/>
    <x v="0"/>
    <x v="0"/>
    <x v="22"/>
    <x v="0"/>
    <x v="0"/>
    <x v="0"/>
    <n v="34"/>
    <n v="0"/>
  </r>
  <r>
    <n v="1579"/>
    <x v="46"/>
    <x v="0"/>
    <s v="Pants"/>
    <x v="0"/>
    <n v="97"/>
    <s v="California"/>
    <s v="S"/>
    <s v="Maroon"/>
    <x v="0"/>
    <x v="8"/>
    <s v="No"/>
    <x v="4"/>
    <x v="0"/>
    <x v="0"/>
    <x v="1"/>
    <x v="3"/>
    <x v="3"/>
    <x v="0"/>
    <n v="97"/>
    <n v="0"/>
  </r>
  <r>
    <n v="1580"/>
    <x v="25"/>
    <x v="0"/>
    <s v="Jacket"/>
    <x v="2"/>
    <n v="80"/>
    <s v="Oklahoma"/>
    <s v="M"/>
    <s v="Violet"/>
    <x v="2"/>
    <x v="0"/>
    <s v="No"/>
    <x v="1"/>
    <x v="0"/>
    <x v="0"/>
    <x v="49"/>
    <x v="4"/>
    <x v="5"/>
    <x v="2"/>
    <n v="80"/>
    <n v="0"/>
  </r>
  <r>
    <n v="1581"/>
    <x v="13"/>
    <x v="0"/>
    <s v="Sneakers"/>
    <x v="1"/>
    <n v="71"/>
    <s v="North Dakota"/>
    <s v="L"/>
    <s v="Cyan"/>
    <x v="2"/>
    <x v="18"/>
    <s v="No"/>
    <x v="3"/>
    <x v="0"/>
    <x v="0"/>
    <x v="48"/>
    <x v="1"/>
    <x v="2"/>
    <x v="0"/>
    <n v="71"/>
    <n v="0"/>
  </r>
  <r>
    <n v="1582"/>
    <x v="28"/>
    <x v="0"/>
    <s v="Jewelry"/>
    <x v="3"/>
    <n v="77"/>
    <s v="Ohio"/>
    <s v="L"/>
    <s v="Teal"/>
    <x v="3"/>
    <x v="19"/>
    <s v="No"/>
    <x v="1"/>
    <x v="0"/>
    <x v="0"/>
    <x v="15"/>
    <x v="1"/>
    <x v="3"/>
    <x v="0"/>
    <n v="77"/>
    <n v="0"/>
  </r>
  <r>
    <n v="1583"/>
    <x v="48"/>
    <x v="0"/>
    <s v="Belt"/>
    <x v="3"/>
    <n v="41"/>
    <s v="Hawaii"/>
    <s v="L"/>
    <s v="Red"/>
    <x v="1"/>
    <x v="25"/>
    <s v="No"/>
    <x v="2"/>
    <x v="0"/>
    <x v="0"/>
    <x v="30"/>
    <x v="1"/>
    <x v="5"/>
    <x v="2"/>
    <n v="41"/>
    <n v="0"/>
  </r>
  <r>
    <n v="1584"/>
    <x v="43"/>
    <x v="0"/>
    <s v="Scarf"/>
    <x v="3"/>
    <n v="92"/>
    <s v="Maryland"/>
    <s v="XL"/>
    <s v="Yellow"/>
    <x v="2"/>
    <x v="24"/>
    <s v="No"/>
    <x v="2"/>
    <x v="0"/>
    <x v="0"/>
    <x v="6"/>
    <x v="0"/>
    <x v="2"/>
    <x v="2"/>
    <n v="92"/>
    <n v="0"/>
  </r>
  <r>
    <n v="1585"/>
    <x v="38"/>
    <x v="0"/>
    <s v="Blouse"/>
    <x v="0"/>
    <n v="95"/>
    <s v="Hawaii"/>
    <s v="S"/>
    <s v="Silver"/>
    <x v="1"/>
    <x v="0"/>
    <s v="No"/>
    <x v="5"/>
    <x v="0"/>
    <x v="0"/>
    <x v="15"/>
    <x v="2"/>
    <x v="3"/>
    <x v="2"/>
    <n v="95"/>
    <n v="0"/>
  </r>
  <r>
    <n v="1586"/>
    <x v="43"/>
    <x v="0"/>
    <s v="Sweater"/>
    <x v="0"/>
    <n v="25"/>
    <s v="Alabama"/>
    <s v="M"/>
    <s v="Charcoal"/>
    <x v="3"/>
    <x v="21"/>
    <s v="No"/>
    <x v="2"/>
    <x v="0"/>
    <x v="0"/>
    <x v="19"/>
    <x v="5"/>
    <x v="0"/>
    <x v="2"/>
    <n v="25"/>
    <n v="0"/>
  </r>
  <r>
    <n v="1587"/>
    <x v="15"/>
    <x v="0"/>
    <s v="Boots"/>
    <x v="1"/>
    <n v="77"/>
    <s v="Oklahoma"/>
    <s v="M"/>
    <s v="Purple"/>
    <x v="3"/>
    <x v="17"/>
    <s v="No"/>
    <x v="0"/>
    <x v="0"/>
    <x v="0"/>
    <x v="33"/>
    <x v="4"/>
    <x v="1"/>
    <x v="1"/>
    <n v="77"/>
    <n v="0"/>
  </r>
  <r>
    <n v="1588"/>
    <x v="38"/>
    <x v="0"/>
    <s v="Socks"/>
    <x v="0"/>
    <n v="99"/>
    <s v="Alabama"/>
    <s v="M"/>
    <s v="Beige"/>
    <x v="2"/>
    <x v="1"/>
    <s v="No"/>
    <x v="1"/>
    <x v="0"/>
    <x v="0"/>
    <x v="42"/>
    <x v="2"/>
    <x v="0"/>
    <x v="2"/>
    <n v="99"/>
    <n v="0"/>
  </r>
  <r>
    <n v="1589"/>
    <x v="39"/>
    <x v="0"/>
    <s v="Belt"/>
    <x v="3"/>
    <n v="24"/>
    <s v="Vermont"/>
    <s v="L"/>
    <s v="Cyan"/>
    <x v="0"/>
    <x v="4"/>
    <s v="No"/>
    <x v="2"/>
    <x v="0"/>
    <x v="0"/>
    <x v="35"/>
    <x v="0"/>
    <x v="5"/>
    <x v="2"/>
    <n v="24"/>
    <n v="0"/>
  </r>
  <r>
    <n v="1590"/>
    <x v="32"/>
    <x v="0"/>
    <s v="Sneakers"/>
    <x v="1"/>
    <n v="72"/>
    <s v="Ohio"/>
    <s v="M"/>
    <s v="Silver"/>
    <x v="2"/>
    <x v="2"/>
    <s v="No"/>
    <x v="5"/>
    <x v="0"/>
    <x v="0"/>
    <x v="26"/>
    <x v="1"/>
    <x v="1"/>
    <x v="2"/>
    <n v="72"/>
    <n v="0"/>
  </r>
  <r>
    <n v="1591"/>
    <x v="22"/>
    <x v="0"/>
    <s v="Jeans"/>
    <x v="0"/>
    <n v="80"/>
    <s v="Wisconsin"/>
    <s v="S"/>
    <s v="Pink"/>
    <x v="0"/>
    <x v="21"/>
    <s v="No"/>
    <x v="1"/>
    <x v="0"/>
    <x v="0"/>
    <x v="6"/>
    <x v="3"/>
    <x v="2"/>
    <x v="0"/>
    <n v="80"/>
    <n v="0"/>
  </r>
  <r>
    <n v="1592"/>
    <x v="20"/>
    <x v="0"/>
    <s v="Skirt"/>
    <x v="0"/>
    <n v="100"/>
    <s v="South Dakota"/>
    <s v="L"/>
    <s v="Gold"/>
    <x v="0"/>
    <x v="3"/>
    <s v="No"/>
    <x v="2"/>
    <x v="0"/>
    <x v="0"/>
    <x v="37"/>
    <x v="3"/>
    <x v="2"/>
    <x v="1"/>
    <n v="100"/>
    <n v="0"/>
  </r>
  <r>
    <n v="1593"/>
    <x v="19"/>
    <x v="0"/>
    <s v="Shoes"/>
    <x v="1"/>
    <n v="83"/>
    <s v="Iowa"/>
    <s v="M"/>
    <s v="Cyan"/>
    <x v="2"/>
    <x v="13"/>
    <s v="No"/>
    <x v="1"/>
    <x v="0"/>
    <x v="0"/>
    <x v="9"/>
    <x v="4"/>
    <x v="6"/>
    <x v="0"/>
    <n v="83"/>
    <n v="0"/>
  </r>
  <r>
    <n v="1594"/>
    <x v="12"/>
    <x v="0"/>
    <s v="Dress"/>
    <x v="0"/>
    <n v="95"/>
    <s v="Maryland"/>
    <s v="M"/>
    <s v="Black"/>
    <x v="1"/>
    <x v="8"/>
    <s v="No"/>
    <x v="4"/>
    <x v="0"/>
    <x v="0"/>
    <x v="29"/>
    <x v="4"/>
    <x v="5"/>
    <x v="0"/>
    <n v="95"/>
    <n v="0"/>
  </r>
  <r>
    <n v="1595"/>
    <x v="37"/>
    <x v="0"/>
    <s v="Handbag"/>
    <x v="3"/>
    <n v="41"/>
    <s v="Colorado"/>
    <s v="XL"/>
    <s v="Charcoal"/>
    <x v="2"/>
    <x v="18"/>
    <s v="No"/>
    <x v="5"/>
    <x v="0"/>
    <x v="0"/>
    <x v="35"/>
    <x v="1"/>
    <x v="0"/>
    <x v="2"/>
    <n v="41"/>
    <n v="0"/>
  </r>
  <r>
    <n v="1596"/>
    <x v="50"/>
    <x v="0"/>
    <s v="Backpack"/>
    <x v="3"/>
    <n v="35"/>
    <s v="Wisconsin"/>
    <s v="S"/>
    <s v="Magenta"/>
    <x v="1"/>
    <x v="1"/>
    <s v="No"/>
    <x v="3"/>
    <x v="0"/>
    <x v="0"/>
    <x v="24"/>
    <x v="5"/>
    <x v="0"/>
    <x v="2"/>
    <n v="35"/>
    <n v="0"/>
  </r>
  <r>
    <n v="1597"/>
    <x v="32"/>
    <x v="0"/>
    <s v="Jewelry"/>
    <x v="3"/>
    <n v="30"/>
    <s v="Mississippi"/>
    <s v="S"/>
    <s v="Pink"/>
    <x v="3"/>
    <x v="10"/>
    <s v="No"/>
    <x v="5"/>
    <x v="0"/>
    <x v="0"/>
    <x v="28"/>
    <x v="5"/>
    <x v="5"/>
    <x v="2"/>
    <n v="30"/>
    <n v="0"/>
  </r>
  <r>
    <n v="1598"/>
    <x v="49"/>
    <x v="0"/>
    <s v="Hat"/>
    <x v="3"/>
    <n v="21"/>
    <s v="Mississippi"/>
    <s v="XL"/>
    <s v="Maroon"/>
    <x v="0"/>
    <x v="5"/>
    <s v="No"/>
    <x v="5"/>
    <x v="0"/>
    <x v="0"/>
    <x v="11"/>
    <x v="4"/>
    <x v="3"/>
    <x v="2"/>
    <n v="21"/>
    <n v="0"/>
  </r>
  <r>
    <n v="1599"/>
    <x v="36"/>
    <x v="0"/>
    <s v="Jewelry"/>
    <x v="3"/>
    <n v="85"/>
    <s v="California"/>
    <s v="M"/>
    <s v="Teal"/>
    <x v="3"/>
    <x v="7"/>
    <s v="No"/>
    <x v="0"/>
    <x v="0"/>
    <x v="0"/>
    <x v="33"/>
    <x v="0"/>
    <x v="4"/>
    <x v="2"/>
    <n v="85"/>
    <n v="0"/>
  </r>
  <r>
    <n v="1600"/>
    <x v="39"/>
    <x v="0"/>
    <s v="Shirt"/>
    <x v="0"/>
    <n v="54"/>
    <s v="Delaware"/>
    <s v="M"/>
    <s v="Orange"/>
    <x v="0"/>
    <x v="11"/>
    <s v="No"/>
    <x v="4"/>
    <x v="0"/>
    <x v="0"/>
    <x v="17"/>
    <x v="5"/>
    <x v="4"/>
    <x v="2"/>
    <n v="54"/>
    <n v="0"/>
  </r>
  <r>
    <n v="1601"/>
    <x v="30"/>
    <x v="0"/>
    <s v="Boots"/>
    <x v="1"/>
    <n v="26"/>
    <s v="Montana"/>
    <s v="S"/>
    <s v="Yellow"/>
    <x v="1"/>
    <x v="10"/>
    <s v="No"/>
    <x v="2"/>
    <x v="0"/>
    <x v="0"/>
    <x v="37"/>
    <x v="3"/>
    <x v="1"/>
    <x v="1"/>
    <n v="26"/>
    <n v="0"/>
  </r>
  <r>
    <n v="1602"/>
    <x v="13"/>
    <x v="0"/>
    <s v="Shirt"/>
    <x v="0"/>
    <n v="59"/>
    <s v="Indiana"/>
    <s v="XL"/>
    <s v="Red"/>
    <x v="1"/>
    <x v="3"/>
    <s v="No"/>
    <x v="5"/>
    <x v="0"/>
    <x v="0"/>
    <x v="42"/>
    <x v="2"/>
    <x v="5"/>
    <x v="0"/>
    <n v="59"/>
    <n v="0"/>
  </r>
  <r>
    <n v="1603"/>
    <x v="22"/>
    <x v="0"/>
    <s v="Sunglasses"/>
    <x v="3"/>
    <n v="48"/>
    <s v="West Virginia"/>
    <s v="S"/>
    <s v="Charcoal"/>
    <x v="0"/>
    <x v="11"/>
    <s v="No"/>
    <x v="1"/>
    <x v="0"/>
    <x v="0"/>
    <x v="21"/>
    <x v="0"/>
    <x v="0"/>
    <x v="0"/>
    <n v="48"/>
    <n v="0"/>
  </r>
  <r>
    <n v="1604"/>
    <x v="51"/>
    <x v="0"/>
    <s v="Shorts"/>
    <x v="0"/>
    <n v="98"/>
    <s v="Iowa"/>
    <s v="L"/>
    <s v="Black"/>
    <x v="2"/>
    <x v="24"/>
    <s v="No"/>
    <x v="2"/>
    <x v="0"/>
    <x v="0"/>
    <x v="14"/>
    <x v="5"/>
    <x v="4"/>
    <x v="1"/>
    <n v="98"/>
    <n v="0"/>
  </r>
  <r>
    <n v="1605"/>
    <x v="20"/>
    <x v="0"/>
    <s v="Sweater"/>
    <x v="0"/>
    <n v="92"/>
    <s v="Maine"/>
    <s v="M"/>
    <s v="White"/>
    <x v="2"/>
    <x v="6"/>
    <s v="No"/>
    <x v="4"/>
    <x v="0"/>
    <x v="0"/>
    <x v="29"/>
    <x v="2"/>
    <x v="6"/>
    <x v="1"/>
    <n v="92"/>
    <n v="0"/>
  </r>
  <r>
    <n v="1606"/>
    <x v="27"/>
    <x v="0"/>
    <s v="Belt"/>
    <x v="3"/>
    <n v="46"/>
    <s v="Connecticut"/>
    <s v="M"/>
    <s v="Lavender"/>
    <x v="0"/>
    <x v="23"/>
    <s v="No"/>
    <x v="2"/>
    <x v="0"/>
    <x v="0"/>
    <x v="28"/>
    <x v="2"/>
    <x v="4"/>
    <x v="0"/>
    <n v="46"/>
    <n v="0"/>
  </r>
  <r>
    <n v="1607"/>
    <x v="0"/>
    <x v="0"/>
    <s v="T-shirt"/>
    <x v="0"/>
    <n v="21"/>
    <s v="Kansas"/>
    <s v="S"/>
    <s v="White"/>
    <x v="1"/>
    <x v="24"/>
    <s v="No"/>
    <x v="3"/>
    <x v="0"/>
    <x v="0"/>
    <x v="7"/>
    <x v="3"/>
    <x v="0"/>
    <x v="0"/>
    <n v="21"/>
    <n v="0"/>
  </r>
  <r>
    <n v="1608"/>
    <x v="34"/>
    <x v="0"/>
    <s v="Shorts"/>
    <x v="0"/>
    <n v="72"/>
    <s v="Vermont"/>
    <s v="S"/>
    <s v="Gray"/>
    <x v="3"/>
    <x v="2"/>
    <s v="No"/>
    <x v="1"/>
    <x v="0"/>
    <x v="0"/>
    <x v="34"/>
    <x v="5"/>
    <x v="3"/>
    <x v="2"/>
    <n v="72"/>
    <n v="0"/>
  </r>
  <r>
    <n v="1609"/>
    <x v="8"/>
    <x v="0"/>
    <s v="Sandals"/>
    <x v="1"/>
    <n v="58"/>
    <s v="Nebraska"/>
    <s v="XL"/>
    <s v="Cyan"/>
    <x v="3"/>
    <x v="12"/>
    <s v="No"/>
    <x v="2"/>
    <x v="0"/>
    <x v="0"/>
    <x v="45"/>
    <x v="4"/>
    <x v="4"/>
    <x v="2"/>
    <n v="58"/>
    <n v="0"/>
  </r>
  <r>
    <n v="1610"/>
    <x v="23"/>
    <x v="0"/>
    <s v="Shirt"/>
    <x v="0"/>
    <n v="93"/>
    <s v="Nevada"/>
    <s v="S"/>
    <s v="Brown"/>
    <x v="3"/>
    <x v="7"/>
    <s v="No"/>
    <x v="3"/>
    <x v="0"/>
    <x v="0"/>
    <x v="35"/>
    <x v="0"/>
    <x v="5"/>
    <x v="2"/>
    <n v="93"/>
    <n v="0"/>
  </r>
  <r>
    <n v="1611"/>
    <x v="30"/>
    <x v="0"/>
    <s v="Socks"/>
    <x v="0"/>
    <n v="31"/>
    <s v="Tennessee"/>
    <s v="L"/>
    <s v="Purple"/>
    <x v="1"/>
    <x v="23"/>
    <s v="No"/>
    <x v="4"/>
    <x v="0"/>
    <x v="0"/>
    <x v="43"/>
    <x v="3"/>
    <x v="2"/>
    <x v="1"/>
    <n v="31"/>
    <n v="0"/>
  </r>
  <r>
    <n v="1612"/>
    <x v="38"/>
    <x v="0"/>
    <s v="Pants"/>
    <x v="0"/>
    <n v="26"/>
    <s v="Arkansas"/>
    <s v="L"/>
    <s v="Yellow"/>
    <x v="0"/>
    <x v="9"/>
    <s v="No"/>
    <x v="2"/>
    <x v="0"/>
    <x v="0"/>
    <x v="49"/>
    <x v="5"/>
    <x v="5"/>
    <x v="2"/>
    <n v="26"/>
    <n v="0"/>
  </r>
  <r>
    <n v="1613"/>
    <x v="20"/>
    <x v="0"/>
    <s v="Skirt"/>
    <x v="0"/>
    <n v="68"/>
    <s v="Wisconsin"/>
    <s v="M"/>
    <s v="Indigo"/>
    <x v="2"/>
    <x v="14"/>
    <s v="No"/>
    <x v="3"/>
    <x v="0"/>
    <x v="0"/>
    <x v="8"/>
    <x v="0"/>
    <x v="5"/>
    <x v="1"/>
    <n v="68"/>
    <n v="0"/>
  </r>
  <r>
    <n v="1614"/>
    <x v="8"/>
    <x v="0"/>
    <s v="Jewelry"/>
    <x v="3"/>
    <n v="31"/>
    <s v="Illinois"/>
    <s v="S"/>
    <s v="Black"/>
    <x v="2"/>
    <x v="17"/>
    <s v="No"/>
    <x v="2"/>
    <x v="0"/>
    <x v="0"/>
    <x v="49"/>
    <x v="2"/>
    <x v="0"/>
    <x v="2"/>
    <n v="31"/>
    <n v="0"/>
  </r>
  <r>
    <n v="1615"/>
    <x v="11"/>
    <x v="0"/>
    <s v="T-shirt"/>
    <x v="0"/>
    <n v="41"/>
    <s v="Kansas"/>
    <s v="S"/>
    <s v="Gray"/>
    <x v="2"/>
    <x v="23"/>
    <s v="No"/>
    <x v="1"/>
    <x v="0"/>
    <x v="0"/>
    <x v="17"/>
    <x v="1"/>
    <x v="4"/>
    <x v="2"/>
    <n v="41"/>
    <n v="0"/>
  </r>
  <r>
    <n v="1616"/>
    <x v="14"/>
    <x v="0"/>
    <s v="Jewelry"/>
    <x v="3"/>
    <n v="62"/>
    <s v="New York"/>
    <s v="M"/>
    <s v="Indigo"/>
    <x v="3"/>
    <x v="4"/>
    <s v="No"/>
    <x v="3"/>
    <x v="0"/>
    <x v="0"/>
    <x v="24"/>
    <x v="1"/>
    <x v="4"/>
    <x v="0"/>
    <n v="62"/>
    <n v="0"/>
  </r>
  <r>
    <n v="1617"/>
    <x v="8"/>
    <x v="0"/>
    <s v="Hat"/>
    <x v="3"/>
    <n v="41"/>
    <s v="Colorado"/>
    <s v="M"/>
    <s v="Green"/>
    <x v="1"/>
    <x v="23"/>
    <s v="No"/>
    <x v="3"/>
    <x v="0"/>
    <x v="0"/>
    <x v="16"/>
    <x v="1"/>
    <x v="3"/>
    <x v="2"/>
    <n v="41"/>
    <n v="0"/>
  </r>
  <r>
    <n v="1618"/>
    <x v="49"/>
    <x v="0"/>
    <s v="Blouse"/>
    <x v="0"/>
    <n v="64"/>
    <s v="Wisconsin"/>
    <s v="M"/>
    <s v="Peach"/>
    <x v="0"/>
    <x v="24"/>
    <s v="No"/>
    <x v="3"/>
    <x v="0"/>
    <x v="0"/>
    <x v="16"/>
    <x v="2"/>
    <x v="0"/>
    <x v="2"/>
    <n v="64"/>
    <n v="0"/>
  </r>
  <r>
    <n v="1619"/>
    <x v="6"/>
    <x v="0"/>
    <s v="Sandals"/>
    <x v="1"/>
    <n v="72"/>
    <s v="Michigan"/>
    <s v="L"/>
    <s v="Purple"/>
    <x v="2"/>
    <x v="16"/>
    <s v="No"/>
    <x v="3"/>
    <x v="0"/>
    <x v="0"/>
    <x v="30"/>
    <x v="5"/>
    <x v="3"/>
    <x v="0"/>
    <n v="72"/>
    <n v="0"/>
  </r>
  <r>
    <n v="1620"/>
    <x v="9"/>
    <x v="0"/>
    <s v="Handbag"/>
    <x v="3"/>
    <n v="78"/>
    <s v="Hawaii"/>
    <s v="L"/>
    <s v="Beige"/>
    <x v="0"/>
    <x v="1"/>
    <s v="No"/>
    <x v="5"/>
    <x v="0"/>
    <x v="0"/>
    <x v="16"/>
    <x v="0"/>
    <x v="4"/>
    <x v="0"/>
    <n v="78"/>
    <n v="0"/>
  </r>
  <r>
    <n v="1621"/>
    <x v="15"/>
    <x v="0"/>
    <s v="Hat"/>
    <x v="3"/>
    <n v="47"/>
    <s v="Virginia"/>
    <s v="M"/>
    <s v="Charcoal"/>
    <x v="0"/>
    <x v="0"/>
    <s v="No"/>
    <x v="4"/>
    <x v="0"/>
    <x v="0"/>
    <x v="46"/>
    <x v="3"/>
    <x v="6"/>
    <x v="1"/>
    <n v="47"/>
    <n v="0"/>
  </r>
  <r>
    <n v="1622"/>
    <x v="33"/>
    <x v="0"/>
    <s v="Scarf"/>
    <x v="3"/>
    <n v="46"/>
    <s v="Ohio"/>
    <s v="L"/>
    <s v="Gray"/>
    <x v="2"/>
    <x v="20"/>
    <s v="No"/>
    <x v="4"/>
    <x v="0"/>
    <x v="0"/>
    <x v="25"/>
    <x v="5"/>
    <x v="0"/>
    <x v="0"/>
    <n v="46"/>
    <n v="0"/>
  </r>
  <r>
    <n v="1623"/>
    <x v="18"/>
    <x v="0"/>
    <s v="Shorts"/>
    <x v="0"/>
    <n v="43"/>
    <s v="Missouri"/>
    <s v="S"/>
    <s v="Brown"/>
    <x v="0"/>
    <x v="17"/>
    <s v="No"/>
    <x v="5"/>
    <x v="0"/>
    <x v="0"/>
    <x v="10"/>
    <x v="4"/>
    <x v="6"/>
    <x v="2"/>
    <n v="43"/>
    <n v="0"/>
  </r>
  <r>
    <n v="1624"/>
    <x v="14"/>
    <x v="0"/>
    <s v="Backpack"/>
    <x v="3"/>
    <n v="58"/>
    <s v="Indiana"/>
    <s v="M"/>
    <s v="Cyan"/>
    <x v="2"/>
    <x v="1"/>
    <s v="No"/>
    <x v="2"/>
    <x v="0"/>
    <x v="0"/>
    <x v="16"/>
    <x v="5"/>
    <x v="2"/>
    <x v="0"/>
    <n v="58"/>
    <n v="0"/>
  </r>
  <r>
    <n v="1625"/>
    <x v="21"/>
    <x v="0"/>
    <s v="Sweater"/>
    <x v="0"/>
    <n v="32"/>
    <s v="Florida"/>
    <s v="M"/>
    <s v="White"/>
    <x v="0"/>
    <x v="15"/>
    <s v="No"/>
    <x v="1"/>
    <x v="0"/>
    <x v="0"/>
    <x v="19"/>
    <x v="3"/>
    <x v="6"/>
    <x v="2"/>
    <n v="32"/>
    <n v="0"/>
  </r>
  <r>
    <n v="1626"/>
    <x v="50"/>
    <x v="0"/>
    <s v="Skirt"/>
    <x v="0"/>
    <n v="45"/>
    <s v="Minnesota"/>
    <s v="L"/>
    <s v="Beige"/>
    <x v="0"/>
    <x v="21"/>
    <s v="No"/>
    <x v="2"/>
    <x v="0"/>
    <x v="0"/>
    <x v="35"/>
    <x v="3"/>
    <x v="4"/>
    <x v="2"/>
    <n v="45"/>
    <n v="0"/>
  </r>
  <r>
    <n v="1627"/>
    <x v="45"/>
    <x v="0"/>
    <s v="Sneakers"/>
    <x v="1"/>
    <n v="35"/>
    <s v="Nevada"/>
    <s v="L"/>
    <s v="Orange"/>
    <x v="2"/>
    <x v="5"/>
    <s v="No"/>
    <x v="2"/>
    <x v="0"/>
    <x v="0"/>
    <x v="24"/>
    <x v="2"/>
    <x v="4"/>
    <x v="2"/>
    <n v="35"/>
    <n v="0"/>
  </r>
  <r>
    <n v="1628"/>
    <x v="28"/>
    <x v="0"/>
    <s v="Sunglasses"/>
    <x v="3"/>
    <n v="21"/>
    <s v="Maine"/>
    <s v="M"/>
    <s v="Olive"/>
    <x v="0"/>
    <x v="3"/>
    <s v="No"/>
    <x v="2"/>
    <x v="0"/>
    <x v="0"/>
    <x v="6"/>
    <x v="2"/>
    <x v="2"/>
    <x v="0"/>
    <n v="21"/>
    <n v="0"/>
  </r>
  <r>
    <n v="1629"/>
    <x v="4"/>
    <x v="0"/>
    <s v="Dress"/>
    <x v="0"/>
    <n v="64"/>
    <s v="Massachusetts"/>
    <s v="S"/>
    <s v="Teal"/>
    <x v="0"/>
    <x v="0"/>
    <s v="No"/>
    <x v="2"/>
    <x v="0"/>
    <x v="0"/>
    <x v="22"/>
    <x v="1"/>
    <x v="5"/>
    <x v="2"/>
    <n v="64"/>
    <n v="0"/>
  </r>
  <r>
    <n v="1630"/>
    <x v="25"/>
    <x v="0"/>
    <s v="Blouse"/>
    <x v="0"/>
    <n v="88"/>
    <s v="North Dakota"/>
    <s v="S"/>
    <s v="Silver"/>
    <x v="1"/>
    <x v="13"/>
    <s v="No"/>
    <x v="2"/>
    <x v="0"/>
    <x v="0"/>
    <x v="21"/>
    <x v="0"/>
    <x v="3"/>
    <x v="2"/>
    <n v="88"/>
    <n v="0"/>
  </r>
  <r>
    <n v="1631"/>
    <x v="6"/>
    <x v="0"/>
    <s v="Shoes"/>
    <x v="1"/>
    <n v="48"/>
    <s v="New Jersey"/>
    <s v="M"/>
    <s v="Gold"/>
    <x v="2"/>
    <x v="3"/>
    <s v="No"/>
    <x v="5"/>
    <x v="0"/>
    <x v="0"/>
    <x v="32"/>
    <x v="0"/>
    <x v="6"/>
    <x v="0"/>
    <n v="48"/>
    <n v="0"/>
  </r>
  <r>
    <n v="1632"/>
    <x v="13"/>
    <x v="0"/>
    <s v="Sweater"/>
    <x v="0"/>
    <n v="36"/>
    <s v="Indiana"/>
    <s v="L"/>
    <s v="Violet"/>
    <x v="2"/>
    <x v="20"/>
    <s v="No"/>
    <x v="4"/>
    <x v="0"/>
    <x v="0"/>
    <x v="22"/>
    <x v="4"/>
    <x v="0"/>
    <x v="0"/>
    <n v="36"/>
    <n v="0"/>
  </r>
  <r>
    <n v="1633"/>
    <x v="25"/>
    <x v="0"/>
    <s v="Gloves"/>
    <x v="3"/>
    <n v="28"/>
    <s v="Oregon"/>
    <s v="S"/>
    <s v="White"/>
    <x v="2"/>
    <x v="10"/>
    <s v="No"/>
    <x v="4"/>
    <x v="0"/>
    <x v="0"/>
    <x v="16"/>
    <x v="5"/>
    <x v="6"/>
    <x v="2"/>
    <n v="28"/>
    <n v="0"/>
  </r>
  <r>
    <n v="1634"/>
    <x v="22"/>
    <x v="0"/>
    <s v="Socks"/>
    <x v="0"/>
    <n v="80"/>
    <s v="North Dakota"/>
    <s v="M"/>
    <s v="Peach"/>
    <x v="1"/>
    <x v="14"/>
    <s v="No"/>
    <x v="4"/>
    <x v="0"/>
    <x v="0"/>
    <x v="42"/>
    <x v="5"/>
    <x v="4"/>
    <x v="0"/>
    <n v="80"/>
    <n v="0"/>
  </r>
  <r>
    <n v="1635"/>
    <x v="48"/>
    <x v="0"/>
    <s v="Coat"/>
    <x v="2"/>
    <n v="23"/>
    <s v="South Carolina"/>
    <s v="S"/>
    <s v="Orange"/>
    <x v="2"/>
    <x v="15"/>
    <s v="No"/>
    <x v="5"/>
    <x v="0"/>
    <x v="0"/>
    <x v="48"/>
    <x v="1"/>
    <x v="6"/>
    <x v="2"/>
    <n v="23"/>
    <n v="0"/>
  </r>
  <r>
    <n v="1636"/>
    <x v="33"/>
    <x v="0"/>
    <s v="Sunglasses"/>
    <x v="3"/>
    <n v="24"/>
    <s v="North Carolina"/>
    <s v="L"/>
    <s v="Violet"/>
    <x v="2"/>
    <x v="4"/>
    <s v="No"/>
    <x v="3"/>
    <x v="0"/>
    <x v="0"/>
    <x v="19"/>
    <x v="1"/>
    <x v="2"/>
    <x v="0"/>
    <n v="24"/>
    <n v="0"/>
  </r>
  <r>
    <n v="1637"/>
    <x v="44"/>
    <x v="0"/>
    <s v="Boots"/>
    <x v="1"/>
    <n v="22"/>
    <s v="North Dakota"/>
    <s v="L"/>
    <s v="Green"/>
    <x v="3"/>
    <x v="17"/>
    <s v="No"/>
    <x v="1"/>
    <x v="0"/>
    <x v="0"/>
    <x v="3"/>
    <x v="1"/>
    <x v="0"/>
    <x v="0"/>
    <n v="22"/>
    <n v="0"/>
  </r>
  <r>
    <n v="1638"/>
    <x v="25"/>
    <x v="0"/>
    <s v="Dress"/>
    <x v="0"/>
    <n v="21"/>
    <s v="Massachusetts"/>
    <s v="M"/>
    <s v="Peach"/>
    <x v="1"/>
    <x v="1"/>
    <s v="No"/>
    <x v="2"/>
    <x v="0"/>
    <x v="0"/>
    <x v="18"/>
    <x v="0"/>
    <x v="0"/>
    <x v="2"/>
    <n v="21"/>
    <n v="0"/>
  </r>
  <r>
    <n v="1639"/>
    <x v="33"/>
    <x v="0"/>
    <s v="Jacket"/>
    <x v="2"/>
    <n v="51"/>
    <s v="Tennessee"/>
    <s v="M"/>
    <s v="Black"/>
    <x v="1"/>
    <x v="12"/>
    <s v="No"/>
    <x v="1"/>
    <x v="0"/>
    <x v="0"/>
    <x v="27"/>
    <x v="0"/>
    <x v="1"/>
    <x v="0"/>
    <n v="51"/>
    <n v="0"/>
  </r>
  <r>
    <n v="1640"/>
    <x v="38"/>
    <x v="0"/>
    <s v="Gloves"/>
    <x v="3"/>
    <n v="65"/>
    <s v="Missouri"/>
    <s v="L"/>
    <s v="Blue"/>
    <x v="2"/>
    <x v="13"/>
    <s v="No"/>
    <x v="1"/>
    <x v="0"/>
    <x v="0"/>
    <x v="16"/>
    <x v="3"/>
    <x v="2"/>
    <x v="2"/>
    <n v="65"/>
    <n v="0"/>
  </r>
  <r>
    <n v="1641"/>
    <x v="13"/>
    <x v="0"/>
    <s v="Scarf"/>
    <x v="3"/>
    <n v="51"/>
    <s v="Tennessee"/>
    <s v="S"/>
    <s v="Magenta"/>
    <x v="1"/>
    <x v="17"/>
    <s v="No"/>
    <x v="4"/>
    <x v="0"/>
    <x v="0"/>
    <x v="21"/>
    <x v="3"/>
    <x v="1"/>
    <x v="0"/>
    <n v="51"/>
    <n v="0"/>
  </r>
  <r>
    <n v="1642"/>
    <x v="2"/>
    <x v="0"/>
    <s v="Hoodie"/>
    <x v="0"/>
    <n v="32"/>
    <s v="Colorado"/>
    <s v="L"/>
    <s v="Violet"/>
    <x v="2"/>
    <x v="23"/>
    <s v="No"/>
    <x v="1"/>
    <x v="0"/>
    <x v="0"/>
    <x v="43"/>
    <x v="4"/>
    <x v="6"/>
    <x v="2"/>
    <n v="32"/>
    <n v="0"/>
  </r>
  <r>
    <n v="1643"/>
    <x v="20"/>
    <x v="0"/>
    <s v="Coat"/>
    <x v="2"/>
    <n v="70"/>
    <s v="Mississippi"/>
    <s v="M"/>
    <s v="Beige"/>
    <x v="1"/>
    <x v="19"/>
    <s v="No"/>
    <x v="5"/>
    <x v="0"/>
    <x v="0"/>
    <x v="20"/>
    <x v="3"/>
    <x v="0"/>
    <x v="1"/>
    <n v="70"/>
    <n v="0"/>
  </r>
  <r>
    <n v="1644"/>
    <x v="21"/>
    <x v="0"/>
    <s v="Scarf"/>
    <x v="3"/>
    <n v="77"/>
    <s v="Ohio"/>
    <s v="L"/>
    <s v="Pink"/>
    <x v="2"/>
    <x v="20"/>
    <s v="No"/>
    <x v="4"/>
    <x v="0"/>
    <x v="0"/>
    <x v="49"/>
    <x v="3"/>
    <x v="5"/>
    <x v="2"/>
    <n v="77"/>
    <n v="0"/>
  </r>
  <r>
    <n v="1645"/>
    <x v="33"/>
    <x v="0"/>
    <s v="Coat"/>
    <x v="2"/>
    <n v="90"/>
    <s v="North Carolina"/>
    <s v="S"/>
    <s v="Beige"/>
    <x v="2"/>
    <x v="20"/>
    <s v="No"/>
    <x v="2"/>
    <x v="0"/>
    <x v="0"/>
    <x v="33"/>
    <x v="5"/>
    <x v="5"/>
    <x v="0"/>
    <n v="90"/>
    <n v="0"/>
  </r>
  <r>
    <n v="1646"/>
    <x v="10"/>
    <x v="0"/>
    <s v="Scarf"/>
    <x v="3"/>
    <n v="36"/>
    <s v="Ohio"/>
    <s v="L"/>
    <s v="Green"/>
    <x v="2"/>
    <x v="11"/>
    <s v="No"/>
    <x v="3"/>
    <x v="0"/>
    <x v="0"/>
    <x v="13"/>
    <x v="0"/>
    <x v="6"/>
    <x v="0"/>
    <n v="36"/>
    <n v="0"/>
  </r>
  <r>
    <n v="1647"/>
    <x v="44"/>
    <x v="0"/>
    <s v="Handbag"/>
    <x v="3"/>
    <n v="77"/>
    <s v="Nebraska"/>
    <s v="S"/>
    <s v="Silver"/>
    <x v="2"/>
    <x v="18"/>
    <s v="No"/>
    <x v="3"/>
    <x v="0"/>
    <x v="0"/>
    <x v="41"/>
    <x v="4"/>
    <x v="6"/>
    <x v="0"/>
    <n v="77"/>
    <n v="0"/>
  </r>
  <r>
    <n v="1648"/>
    <x v="50"/>
    <x v="0"/>
    <s v="Boots"/>
    <x v="1"/>
    <n v="78"/>
    <s v="Hawaii"/>
    <s v="M"/>
    <s v="Purple"/>
    <x v="2"/>
    <x v="8"/>
    <s v="No"/>
    <x v="5"/>
    <x v="0"/>
    <x v="0"/>
    <x v="6"/>
    <x v="5"/>
    <x v="3"/>
    <x v="2"/>
    <n v="78"/>
    <n v="0"/>
  </r>
  <r>
    <n v="1649"/>
    <x v="24"/>
    <x v="0"/>
    <s v="Pants"/>
    <x v="0"/>
    <n v="69"/>
    <s v="Oklahoma"/>
    <s v="M"/>
    <s v="Gray"/>
    <x v="2"/>
    <x v="5"/>
    <s v="No"/>
    <x v="0"/>
    <x v="0"/>
    <x v="0"/>
    <x v="17"/>
    <x v="2"/>
    <x v="5"/>
    <x v="2"/>
    <n v="69"/>
    <n v="0"/>
  </r>
  <r>
    <n v="1650"/>
    <x v="44"/>
    <x v="0"/>
    <s v="T-shirt"/>
    <x v="0"/>
    <n v="63"/>
    <s v="Wisconsin"/>
    <s v="M"/>
    <s v="White"/>
    <x v="2"/>
    <x v="8"/>
    <s v="No"/>
    <x v="1"/>
    <x v="0"/>
    <x v="0"/>
    <x v="35"/>
    <x v="2"/>
    <x v="3"/>
    <x v="0"/>
    <n v="63"/>
    <n v="0"/>
  </r>
  <r>
    <n v="1651"/>
    <x v="52"/>
    <x v="0"/>
    <s v="Scarf"/>
    <x v="3"/>
    <n v="36"/>
    <s v="Arkansas"/>
    <s v="M"/>
    <s v="Silver"/>
    <x v="0"/>
    <x v="23"/>
    <s v="No"/>
    <x v="2"/>
    <x v="0"/>
    <x v="0"/>
    <x v="15"/>
    <x v="2"/>
    <x v="0"/>
    <x v="0"/>
    <n v="36"/>
    <n v="0"/>
  </r>
  <r>
    <n v="1652"/>
    <x v="35"/>
    <x v="0"/>
    <s v="Coat"/>
    <x v="2"/>
    <n v="80"/>
    <s v="Texas"/>
    <s v="M"/>
    <s v="Blue"/>
    <x v="0"/>
    <x v="20"/>
    <s v="No"/>
    <x v="3"/>
    <x v="0"/>
    <x v="0"/>
    <x v="38"/>
    <x v="5"/>
    <x v="5"/>
    <x v="0"/>
    <n v="80"/>
    <n v="0"/>
  </r>
  <r>
    <n v="1653"/>
    <x v="13"/>
    <x v="0"/>
    <s v="Sweater"/>
    <x v="0"/>
    <n v="35"/>
    <s v="New Mexico"/>
    <s v="M"/>
    <s v="Orange"/>
    <x v="2"/>
    <x v="17"/>
    <s v="No"/>
    <x v="2"/>
    <x v="0"/>
    <x v="0"/>
    <x v="43"/>
    <x v="4"/>
    <x v="0"/>
    <x v="0"/>
    <n v="35"/>
    <n v="0"/>
  </r>
  <r>
    <n v="1654"/>
    <x v="18"/>
    <x v="0"/>
    <s v="Belt"/>
    <x v="3"/>
    <n v="93"/>
    <s v="Colorado"/>
    <s v="L"/>
    <s v="Silver"/>
    <x v="0"/>
    <x v="21"/>
    <s v="No"/>
    <x v="4"/>
    <x v="0"/>
    <x v="0"/>
    <x v="32"/>
    <x v="5"/>
    <x v="4"/>
    <x v="2"/>
    <n v="93"/>
    <n v="0"/>
  </r>
  <r>
    <n v="1655"/>
    <x v="49"/>
    <x v="0"/>
    <s v="Belt"/>
    <x v="3"/>
    <n v="25"/>
    <s v="Indiana"/>
    <s v="L"/>
    <s v="Gray"/>
    <x v="1"/>
    <x v="5"/>
    <s v="No"/>
    <x v="5"/>
    <x v="0"/>
    <x v="0"/>
    <x v="0"/>
    <x v="2"/>
    <x v="3"/>
    <x v="2"/>
    <n v="25"/>
    <n v="0"/>
  </r>
  <r>
    <n v="1656"/>
    <x v="43"/>
    <x v="0"/>
    <s v="Sweater"/>
    <x v="0"/>
    <n v="81"/>
    <s v="Arizona"/>
    <s v="L"/>
    <s v="Gold"/>
    <x v="1"/>
    <x v="4"/>
    <s v="No"/>
    <x v="2"/>
    <x v="0"/>
    <x v="0"/>
    <x v="7"/>
    <x v="3"/>
    <x v="5"/>
    <x v="2"/>
    <n v="81"/>
    <n v="0"/>
  </r>
  <r>
    <n v="1657"/>
    <x v="3"/>
    <x v="0"/>
    <s v="Blouse"/>
    <x v="0"/>
    <n v="42"/>
    <s v="Indiana"/>
    <s v="L"/>
    <s v="Brown"/>
    <x v="1"/>
    <x v="5"/>
    <s v="No"/>
    <x v="4"/>
    <x v="0"/>
    <x v="0"/>
    <x v="23"/>
    <x v="3"/>
    <x v="6"/>
    <x v="1"/>
    <n v="42"/>
    <n v="0"/>
  </r>
  <r>
    <n v="1658"/>
    <x v="28"/>
    <x v="0"/>
    <s v="Skirt"/>
    <x v="0"/>
    <n v="36"/>
    <s v="Indiana"/>
    <s v="L"/>
    <s v="Turquoise"/>
    <x v="1"/>
    <x v="4"/>
    <s v="No"/>
    <x v="5"/>
    <x v="0"/>
    <x v="0"/>
    <x v="7"/>
    <x v="5"/>
    <x v="4"/>
    <x v="0"/>
    <n v="36"/>
    <n v="0"/>
  </r>
  <r>
    <n v="1659"/>
    <x v="45"/>
    <x v="0"/>
    <s v="Jewelry"/>
    <x v="3"/>
    <n v="66"/>
    <s v="Alaska"/>
    <s v="S"/>
    <s v="Pink"/>
    <x v="1"/>
    <x v="7"/>
    <s v="No"/>
    <x v="5"/>
    <x v="0"/>
    <x v="0"/>
    <x v="39"/>
    <x v="1"/>
    <x v="1"/>
    <x v="2"/>
    <n v="66"/>
    <n v="0"/>
  </r>
  <r>
    <n v="1660"/>
    <x v="10"/>
    <x v="0"/>
    <s v="Gloves"/>
    <x v="3"/>
    <n v="37"/>
    <s v="Utah"/>
    <s v="M"/>
    <s v="Black"/>
    <x v="3"/>
    <x v="20"/>
    <s v="No"/>
    <x v="2"/>
    <x v="0"/>
    <x v="0"/>
    <x v="12"/>
    <x v="0"/>
    <x v="2"/>
    <x v="0"/>
    <n v="37"/>
    <n v="0"/>
  </r>
  <r>
    <n v="1661"/>
    <x v="35"/>
    <x v="0"/>
    <s v="T-shirt"/>
    <x v="0"/>
    <n v="45"/>
    <s v="Louisiana"/>
    <s v="L"/>
    <s v="Yellow"/>
    <x v="0"/>
    <x v="7"/>
    <s v="No"/>
    <x v="3"/>
    <x v="0"/>
    <x v="0"/>
    <x v="10"/>
    <x v="0"/>
    <x v="5"/>
    <x v="0"/>
    <n v="45"/>
    <n v="0"/>
  </r>
  <r>
    <n v="1662"/>
    <x v="14"/>
    <x v="0"/>
    <s v="Gloves"/>
    <x v="3"/>
    <n v="86"/>
    <s v="Iowa"/>
    <s v="S"/>
    <s v="Beige"/>
    <x v="2"/>
    <x v="2"/>
    <s v="No"/>
    <x v="4"/>
    <x v="0"/>
    <x v="0"/>
    <x v="33"/>
    <x v="5"/>
    <x v="3"/>
    <x v="0"/>
    <n v="86"/>
    <n v="0"/>
  </r>
  <r>
    <n v="1663"/>
    <x v="6"/>
    <x v="0"/>
    <s v="Sunglasses"/>
    <x v="3"/>
    <n v="24"/>
    <s v="New Mexico"/>
    <s v="M"/>
    <s v="Olive"/>
    <x v="0"/>
    <x v="12"/>
    <s v="No"/>
    <x v="1"/>
    <x v="0"/>
    <x v="0"/>
    <x v="15"/>
    <x v="5"/>
    <x v="0"/>
    <x v="0"/>
    <n v="24"/>
    <n v="0"/>
  </r>
  <r>
    <n v="1664"/>
    <x v="49"/>
    <x v="0"/>
    <s v="Shirt"/>
    <x v="0"/>
    <n v="22"/>
    <s v="Maine"/>
    <s v="XL"/>
    <s v="Gold"/>
    <x v="2"/>
    <x v="1"/>
    <s v="No"/>
    <x v="3"/>
    <x v="0"/>
    <x v="0"/>
    <x v="43"/>
    <x v="1"/>
    <x v="4"/>
    <x v="2"/>
    <n v="22"/>
    <n v="0"/>
  </r>
  <r>
    <n v="1665"/>
    <x v="1"/>
    <x v="0"/>
    <s v="Handbag"/>
    <x v="3"/>
    <n v="53"/>
    <s v="Minnesota"/>
    <s v="M"/>
    <s v="Purple"/>
    <x v="1"/>
    <x v="16"/>
    <s v="No"/>
    <x v="2"/>
    <x v="0"/>
    <x v="0"/>
    <x v="31"/>
    <x v="3"/>
    <x v="1"/>
    <x v="1"/>
    <n v="53"/>
    <n v="0"/>
  </r>
  <r>
    <n v="1666"/>
    <x v="37"/>
    <x v="0"/>
    <s v="Jacket"/>
    <x v="2"/>
    <n v="41"/>
    <s v="New Mexico"/>
    <s v="L"/>
    <s v="Pink"/>
    <x v="3"/>
    <x v="23"/>
    <s v="No"/>
    <x v="2"/>
    <x v="0"/>
    <x v="0"/>
    <x v="3"/>
    <x v="0"/>
    <x v="5"/>
    <x v="2"/>
    <n v="41"/>
    <n v="0"/>
  </r>
  <r>
    <n v="1667"/>
    <x v="47"/>
    <x v="0"/>
    <s v="Skirt"/>
    <x v="0"/>
    <n v="64"/>
    <s v="Arkansas"/>
    <s v="M"/>
    <s v="Blue"/>
    <x v="2"/>
    <x v="0"/>
    <s v="No"/>
    <x v="5"/>
    <x v="0"/>
    <x v="0"/>
    <x v="39"/>
    <x v="3"/>
    <x v="2"/>
    <x v="0"/>
    <n v="64"/>
    <n v="0"/>
  </r>
  <r>
    <n v="1668"/>
    <x v="47"/>
    <x v="0"/>
    <s v="Handbag"/>
    <x v="3"/>
    <n v="40"/>
    <s v="Oklahoma"/>
    <s v="L"/>
    <s v="Brown"/>
    <x v="0"/>
    <x v="23"/>
    <s v="No"/>
    <x v="4"/>
    <x v="0"/>
    <x v="0"/>
    <x v="37"/>
    <x v="4"/>
    <x v="6"/>
    <x v="0"/>
    <n v="40"/>
    <n v="0"/>
  </r>
  <r>
    <n v="1669"/>
    <x v="17"/>
    <x v="0"/>
    <s v="Blouse"/>
    <x v="0"/>
    <n v="33"/>
    <s v="Utah"/>
    <s v="L"/>
    <s v="Charcoal"/>
    <x v="2"/>
    <x v="17"/>
    <s v="No"/>
    <x v="3"/>
    <x v="0"/>
    <x v="0"/>
    <x v="40"/>
    <x v="5"/>
    <x v="0"/>
    <x v="0"/>
    <n v="33"/>
    <n v="0"/>
  </r>
  <r>
    <n v="1670"/>
    <x v="32"/>
    <x v="0"/>
    <s v="T-shirt"/>
    <x v="0"/>
    <n v="59"/>
    <s v="Wisconsin"/>
    <s v="L"/>
    <s v="Maroon"/>
    <x v="0"/>
    <x v="2"/>
    <s v="No"/>
    <x v="5"/>
    <x v="0"/>
    <x v="0"/>
    <x v="17"/>
    <x v="4"/>
    <x v="3"/>
    <x v="2"/>
    <n v="59"/>
    <n v="0"/>
  </r>
  <r>
    <n v="1671"/>
    <x v="40"/>
    <x v="0"/>
    <s v="Pants"/>
    <x v="0"/>
    <n v="73"/>
    <s v="Utah"/>
    <s v="L"/>
    <s v="Cyan"/>
    <x v="3"/>
    <x v="15"/>
    <s v="No"/>
    <x v="1"/>
    <x v="0"/>
    <x v="0"/>
    <x v="41"/>
    <x v="1"/>
    <x v="1"/>
    <x v="1"/>
    <n v="73"/>
    <n v="0"/>
  </r>
  <r>
    <n v="1672"/>
    <x v="18"/>
    <x v="0"/>
    <s v="Hoodie"/>
    <x v="0"/>
    <n v="22"/>
    <s v="Utah"/>
    <s v="M"/>
    <s v="Olive"/>
    <x v="0"/>
    <x v="17"/>
    <s v="No"/>
    <x v="1"/>
    <x v="0"/>
    <x v="0"/>
    <x v="29"/>
    <x v="4"/>
    <x v="1"/>
    <x v="2"/>
    <n v="22"/>
    <n v="0"/>
  </r>
  <r>
    <n v="1673"/>
    <x v="20"/>
    <x v="0"/>
    <s v="Boots"/>
    <x v="1"/>
    <n v="73"/>
    <s v="South Carolina"/>
    <s v="L"/>
    <s v="Gold"/>
    <x v="3"/>
    <x v="22"/>
    <s v="No"/>
    <x v="1"/>
    <x v="0"/>
    <x v="0"/>
    <x v="28"/>
    <x v="0"/>
    <x v="3"/>
    <x v="1"/>
    <n v="73"/>
    <n v="0"/>
  </r>
  <r>
    <n v="1674"/>
    <x v="3"/>
    <x v="0"/>
    <s v="Blouse"/>
    <x v="0"/>
    <n v="62"/>
    <s v="Hawaii"/>
    <s v="M"/>
    <s v="Violet"/>
    <x v="3"/>
    <x v="23"/>
    <s v="No"/>
    <x v="2"/>
    <x v="0"/>
    <x v="0"/>
    <x v="3"/>
    <x v="0"/>
    <x v="4"/>
    <x v="1"/>
    <n v="62"/>
    <n v="0"/>
  </r>
  <r>
    <n v="1675"/>
    <x v="25"/>
    <x v="0"/>
    <s v="Coat"/>
    <x v="2"/>
    <n v="56"/>
    <s v="Alaska"/>
    <s v="M"/>
    <s v="Peach"/>
    <x v="0"/>
    <x v="4"/>
    <s v="No"/>
    <x v="1"/>
    <x v="0"/>
    <x v="0"/>
    <x v="9"/>
    <x v="5"/>
    <x v="0"/>
    <x v="2"/>
    <n v="56"/>
    <n v="0"/>
  </r>
  <r>
    <n v="1676"/>
    <x v="25"/>
    <x v="0"/>
    <s v="Pants"/>
    <x v="0"/>
    <n v="90"/>
    <s v="Colorado"/>
    <s v="M"/>
    <s v="Beige"/>
    <x v="1"/>
    <x v="10"/>
    <s v="No"/>
    <x v="2"/>
    <x v="0"/>
    <x v="0"/>
    <x v="33"/>
    <x v="2"/>
    <x v="2"/>
    <x v="2"/>
    <n v="90"/>
    <n v="0"/>
  </r>
  <r>
    <n v="1677"/>
    <x v="7"/>
    <x v="0"/>
    <s v="Sunglasses"/>
    <x v="3"/>
    <n v="44"/>
    <s v="West Virginia"/>
    <s v="M"/>
    <s v="Cyan"/>
    <x v="0"/>
    <x v="0"/>
    <s v="No"/>
    <x v="2"/>
    <x v="0"/>
    <x v="0"/>
    <x v="11"/>
    <x v="4"/>
    <x v="1"/>
    <x v="2"/>
    <n v="44"/>
    <n v="0"/>
  </r>
  <r>
    <n v="1678"/>
    <x v="13"/>
    <x v="0"/>
    <s v="Jeans"/>
    <x v="0"/>
    <n v="35"/>
    <s v="Oregon"/>
    <s v="L"/>
    <s v="Silver"/>
    <x v="2"/>
    <x v="13"/>
    <s v="No"/>
    <x v="2"/>
    <x v="1"/>
    <x v="1"/>
    <x v="23"/>
    <x v="5"/>
    <x v="1"/>
    <x v="0"/>
    <n v="35"/>
    <n v="0"/>
  </r>
  <r>
    <n v="1679"/>
    <x v="38"/>
    <x v="0"/>
    <s v="Pants"/>
    <x v="0"/>
    <n v="71"/>
    <s v="Ohio"/>
    <s v="S"/>
    <s v="Magenta"/>
    <x v="2"/>
    <x v="6"/>
    <s v="No"/>
    <x v="4"/>
    <x v="1"/>
    <x v="1"/>
    <x v="48"/>
    <x v="0"/>
    <x v="0"/>
    <x v="2"/>
    <n v="71"/>
    <n v="0"/>
  </r>
  <r>
    <n v="1680"/>
    <x v="52"/>
    <x v="0"/>
    <s v="Dress"/>
    <x v="0"/>
    <n v="52"/>
    <s v="Massachusetts"/>
    <s v="S"/>
    <s v="Black"/>
    <x v="3"/>
    <x v="9"/>
    <s v="No"/>
    <x v="2"/>
    <x v="1"/>
    <x v="1"/>
    <x v="37"/>
    <x v="5"/>
    <x v="4"/>
    <x v="0"/>
    <n v="52"/>
    <n v="0"/>
  </r>
  <r>
    <n v="1681"/>
    <x v="12"/>
    <x v="0"/>
    <s v="Shoes"/>
    <x v="1"/>
    <n v="37"/>
    <s v="Louisiana"/>
    <s v="M"/>
    <s v="Olive"/>
    <x v="2"/>
    <x v="23"/>
    <s v="No"/>
    <x v="5"/>
    <x v="1"/>
    <x v="1"/>
    <x v="49"/>
    <x v="2"/>
    <x v="2"/>
    <x v="0"/>
    <n v="37"/>
    <n v="0"/>
  </r>
  <r>
    <n v="1682"/>
    <x v="41"/>
    <x v="0"/>
    <s v="Sneakers"/>
    <x v="1"/>
    <n v="95"/>
    <s v="Virginia"/>
    <s v="L"/>
    <s v="Green"/>
    <x v="0"/>
    <x v="18"/>
    <s v="No"/>
    <x v="4"/>
    <x v="1"/>
    <x v="1"/>
    <x v="0"/>
    <x v="2"/>
    <x v="4"/>
    <x v="1"/>
    <n v="95"/>
    <n v="0"/>
  </r>
  <r>
    <n v="1683"/>
    <x v="13"/>
    <x v="0"/>
    <s v="Socks"/>
    <x v="0"/>
    <n v="97"/>
    <s v="New York"/>
    <s v="M"/>
    <s v="Yellow"/>
    <x v="3"/>
    <x v="8"/>
    <s v="No"/>
    <x v="4"/>
    <x v="1"/>
    <x v="1"/>
    <x v="10"/>
    <x v="2"/>
    <x v="4"/>
    <x v="0"/>
    <n v="97"/>
    <n v="0"/>
  </r>
  <r>
    <n v="1684"/>
    <x v="51"/>
    <x v="0"/>
    <s v="Coat"/>
    <x v="2"/>
    <n v="57"/>
    <s v="Arkansas"/>
    <s v="S"/>
    <s v="Lavender"/>
    <x v="1"/>
    <x v="1"/>
    <s v="No"/>
    <x v="2"/>
    <x v="1"/>
    <x v="1"/>
    <x v="10"/>
    <x v="0"/>
    <x v="3"/>
    <x v="1"/>
    <n v="57"/>
    <n v="0"/>
  </r>
  <r>
    <n v="1685"/>
    <x v="11"/>
    <x v="0"/>
    <s v="Shirt"/>
    <x v="0"/>
    <n v="93"/>
    <s v="New Mexico"/>
    <s v="M"/>
    <s v="Indigo"/>
    <x v="1"/>
    <x v="12"/>
    <s v="No"/>
    <x v="3"/>
    <x v="1"/>
    <x v="1"/>
    <x v="40"/>
    <x v="3"/>
    <x v="1"/>
    <x v="2"/>
    <n v="93"/>
    <n v="0"/>
  </r>
  <r>
    <n v="1686"/>
    <x v="23"/>
    <x v="0"/>
    <s v="Blouse"/>
    <x v="0"/>
    <n v="48"/>
    <s v="Minnesota"/>
    <s v="M"/>
    <s v="Pink"/>
    <x v="0"/>
    <x v="12"/>
    <s v="No"/>
    <x v="3"/>
    <x v="1"/>
    <x v="1"/>
    <x v="34"/>
    <x v="3"/>
    <x v="4"/>
    <x v="2"/>
    <n v="48"/>
    <n v="0"/>
  </r>
  <r>
    <n v="1687"/>
    <x v="40"/>
    <x v="0"/>
    <s v="Gloves"/>
    <x v="3"/>
    <n v="75"/>
    <s v="Illinois"/>
    <s v="L"/>
    <s v="Red"/>
    <x v="3"/>
    <x v="19"/>
    <s v="No"/>
    <x v="5"/>
    <x v="1"/>
    <x v="1"/>
    <x v="29"/>
    <x v="1"/>
    <x v="2"/>
    <x v="1"/>
    <n v="75"/>
    <n v="0"/>
  </r>
  <r>
    <n v="1688"/>
    <x v="29"/>
    <x v="0"/>
    <s v="Skirt"/>
    <x v="0"/>
    <n v="70"/>
    <s v="Georgia"/>
    <s v="S"/>
    <s v="Magenta"/>
    <x v="0"/>
    <x v="18"/>
    <s v="No"/>
    <x v="1"/>
    <x v="1"/>
    <x v="1"/>
    <x v="7"/>
    <x v="3"/>
    <x v="2"/>
    <x v="0"/>
    <n v="70"/>
    <n v="0"/>
  </r>
  <r>
    <n v="1689"/>
    <x v="48"/>
    <x v="0"/>
    <s v="Handbag"/>
    <x v="3"/>
    <n v="26"/>
    <s v="Mississippi"/>
    <s v="S"/>
    <s v="Peach"/>
    <x v="0"/>
    <x v="21"/>
    <s v="No"/>
    <x v="2"/>
    <x v="1"/>
    <x v="1"/>
    <x v="21"/>
    <x v="0"/>
    <x v="0"/>
    <x v="2"/>
    <n v="26"/>
    <n v="0"/>
  </r>
  <r>
    <n v="1690"/>
    <x v="45"/>
    <x v="0"/>
    <s v="Shirt"/>
    <x v="0"/>
    <n v="73"/>
    <s v="North Carolina"/>
    <s v="L"/>
    <s v="Turquoise"/>
    <x v="0"/>
    <x v="12"/>
    <s v="No"/>
    <x v="5"/>
    <x v="1"/>
    <x v="1"/>
    <x v="18"/>
    <x v="4"/>
    <x v="5"/>
    <x v="2"/>
    <n v="73"/>
    <n v="0"/>
  </r>
  <r>
    <n v="1691"/>
    <x v="37"/>
    <x v="0"/>
    <s v="Coat"/>
    <x v="2"/>
    <n v="30"/>
    <s v="Nevada"/>
    <s v="M"/>
    <s v="Black"/>
    <x v="2"/>
    <x v="4"/>
    <s v="No"/>
    <x v="1"/>
    <x v="1"/>
    <x v="1"/>
    <x v="43"/>
    <x v="1"/>
    <x v="2"/>
    <x v="2"/>
    <n v="30"/>
    <n v="0"/>
  </r>
  <r>
    <n v="1692"/>
    <x v="14"/>
    <x v="0"/>
    <s v="Shoes"/>
    <x v="1"/>
    <n v="61"/>
    <s v="Connecticut"/>
    <s v="L"/>
    <s v="Blue"/>
    <x v="2"/>
    <x v="1"/>
    <s v="No"/>
    <x v="2"/>
    <x v="1"/>
    <x v="1"/>
    <x v="7"/>
    <x v="1"/>
    <x v="2"/>
    <x v="0"/>
    <n v="61"/>
    <n v="0"/>
  </r>
  <r>
    <n v="1693"/>
    <x v="19"/>
    <x v="0"/>
    <s v="Handbag"/>
    <x v="3"/>
    <n v="75"/>
    <s v="Utah"/>
    <s v="M"/>
    <s v="Beige"/>
    <x v="0"/>
    <x v="5"/>
    <s v="No"/>
    <x v="3"/>
    <x v="1"/>
    <x v="1"/>
    <x v="42"/>
    <x v="1"/>
    <x v="4"/>
    <x v="0"/>
    <n v="75"/>
    <n v="0"/>
  </r>
  <r>
    <n v="1694"/>
    <x v="6"/>
    <x v="0"/>
    <s v="Jacket"/>
    <x v="2"/>
    <n v="88"/>
    <s v="Tennessee"/>
    <s v="XL"/>
    <s v="Olive"/>
    <x v="3"/>
    <x v="8"/>
    <s v="No"/>
    <x v="3"/>
    <x v="1"/>
    <x v="1"/>
    <x v="24"/>
    <x v="4"/>
    <x v="0"/>
    <x v="0"/>
    <n v="88"/>
    <n v="0"/>
  </r>
  <r>
    <n v="1695"/>
    <x v="30"/>
    <x v="0"/>
    <s v="Shirt"/>
    <x v="0"/>
    <n v="67"/>
    <s v="Mississippi"/>
    <s v="M"/>
    <s v="Turquoise"/>
    <x v="2"/>
    <x v="2"/>
    <s v="No"/>
    <x v="0"/>
    <x v="1"/>
    <x v="1"/>
    <x v="41"/>
    <x v="5"/>
    <x v="0"/>
    <x v="1"/>
    <n v="67"/>
    <n v="0"/>
  </r>
  <r>
    <n v="1696"/>
    <x v="22"/>
    <x v="0"/>
    <s v="Hat"/>
    <x v="3"/>
    <n v="95"/>
    <s v="Nebraska"/>
    <s v="S"/>
    <s v="Yellow"/>
    <x v="3"/>
    <x v="10"/>
    <s v="No"/>
    <x v="4"/>
    <x v="1"/>
    <x v="1"/>
    <x v="43"/>
    <x v="3"/>
    <x v="0"/>
    <x v="0"/>
    <n v="95"/>
    <n v="0"/>
  </r>
  <r>
    <n v="1697"/>
    <x v="18"/>
    <x v="0"/>
    <s v="Sunglasses"/>
    <x v="3"/>
    <n v="69"/>
    <s v="West Virginia"/>
    <s v="S"/>
    <s v="Turquoise"/>
    <x v="1"/>
    <x v="17"/>
    <s v="No"/>
    <x v="1"/>
    <x v="1"/>
    <x v="1"/>
    <x v="22"/>
    <x v="2"/>
    <x v="4"/>
    <x v="2"/>
    <n v="69"/>
    <n v="0"/>
  </r>
  <r>
    <n v="1698"/>
    <x v="24"/>
    <x v="0"/>
    <s v="Shirt"/>
    <x v="0"/>
    <n v="87"/>
    <s v="South Carolina"/>
    <s v="L"/>
    <s v="Lavender"/>
    <x v="3"/>
    <x v="1"/>
    <s v="No"/>
    <x v="2"/>
    <x v="1"/>
    <x v="1"/>
    <x v="26"/>
    <x v="2"/>
    <x v="6"/>
    <x v="2"/>
    <n v="87"/>
    <n v="0"/>
  </r>
  <r>
    <n v="1699"/>
    <x v="15"/>
    <x v="0"/>
    <s v="Belt"/>
    <x v="3"/>
    <n v="41"/>
    <s v="Iowa"/>
    <s v="XL"/>
    <s v="Turquoise"/>
    <x v="0"/>
    <x v="6"/>
    <s v="No"/>
    <x v="3"/>
    <x v="1"/>
    <x v="1"/>
    <x v="15"/>
    <x v="4"/>
    <x v="3"/>
    <x v="1"/>
    <n v="41"/>
    <n v="0"/>
  </r>
  <r>
    <n v="1700"/>
    <x v="30"/>
    <x v="0"/>
    <s v="Sweater"/>
    <x v="0"/>
    <n v="67"/>
    <s v="North Dakota"/>
    <s v="L"/>
    <s v="Teal"/>
    <x v="1"/>
    <x v="17"/>
    <s v="No"/>
    <x v="1"/>
    <x v="1"/>
    <x v="1"/>
    <x v="11"/>
    <x v="5"/>
    <x v="2"/>
    <x v="1"/>
    <n v="67"/>
    <n v="0"/>
  </r>
  <r>
    <n v="1701"/>
    <x v="46"/>
    <x v="0"/>
    <s v="Hoodie"/>
    <x v="0"/>
    <n v="70"/>
    <s v="West Virginia"/>
    <s v="L"/>
    <s v="Black"/>
    <x v="3"/>
    <x v="7"/>
    <s v="No"/>
    <x v="0"/>
    <x v="1"/>
    <x v="1"/>
    <x v="13"/>
    <x v="4"/>
    <x v="5"/>
    <x v="0"/>
    <n v="70"/>
    <n v="0"/>
  </r>
  <r>
    <n v="1702"/>
    <x v="28"/>
    <x v="0"/>
    <s v="Handbag"/>
    <x v="3"/>
    <n v="41"/>
    <s v="Mississippi"/>
    <s v="XL"/>
    <s v="Blue"/>
    <x v="0"/>
    <x v="22"/>
    <s v="No"/>
    <x v="2"/>
    <x v="1"/>
    <x v="1"/>
    <x v="12"/>
    <x v="5"/>
    <x v="6"/>
    <x v="0"/>
    <n v="41"/>
    <n v="0"/>
  </r>
  <r>
    <n v="1703"/>
    <x v="22"/>
    <x v="0"/>
    <s v="Jeans"/>
    <x v="0"/>
    <n v="83"/>
    <s v="Alabama"/>
    <s v="XL"/>
    <s v="Yellow"/>
    <x v="2"/>
    <x v="16"/>
    <s v="No"/>
    <x v="0"/>
    <x v="1"/>
    <x v="1"/>
    <x v="26"/>
    <x v="4"/>
    <x v="1"/>
    <x v="0"/>
    <n v="83"/>
    <n v="0"/>
  </r>
  <r>
    <n v="1704"/>
    <x v="31"/>
    <x v="0"/>
    <s v="Backpack"/>
    <x v="3"/>
    <n v="22"/>
    <s v="California"/>
    <s v="M"/>
    <s v="Black"/>
    <x v="1"/>
    <x v="17"/>
    <s v="No"/>
    <x v="2"/>
    <x v="1"/>
    <x v="1"/>
    <x v="45"/>
    <x v="4"/>
    <x v="2"/>
    <x v="2"/>
    <n v="22"/>
    <n v="0"/>
  </r>
  <r>
    <n v="1705"/>
    <x v="19"/>
    <x v="0"/>
    <s v="Sneakers"/>
    <x v="1"/>
    <n v="20"/>
    <s v="Idaho"/>
    <s v="M"/>
    <s v="Lavender"/>
    <x v="2"/>
    <x v="20"/>
    <s v="No"/>
    <x v="5"/>
    <x v="1"/>
    <x v="1"/>
    <x v="5"/>
    <x v="1"/>
    <x v="6"/>
    <x v="0"/>
    <n v="20"/>
    <n v="0"/>
  </r>
  <r>
    <n v="1706"/>
    <x v="31"/>
    <x v="0"/>
    <s v="Jewelry"/>
    <x v="3"/>
    <n v="29"/>
    <s v="South Dakota"/>
    <s v="L"/>
    <s v="Cyan"/>
    <x v="2"/>
    <x v="23"/>
    <s v="No"/>
    <x v="4"/>
    <x v="1"/>
    <x v="1"/>
    <x v="3"/>
    <x v="0"/>
    <x v="4"/>
    <x v="2"/>
    <n v="29"/>
    <n v="0"/>
  </r>
  <r>
    <n v="1707"/>
    <x v="43"/>
    <x v="0"/>
    <s v="Sunglasses"/>
    <x v="3"/>
    <n v="87"/>
    <s v="North Dakota"/>
    <s v="M"/>
    <s v="Brown"/>
    <x v="1"/>
    <x v="21"/>
    <s v="No"/>
    <x v="3"/>
    <x v="1"/>
    <x v="1"/>
    <x v="29"/>
    <x v="0"/>
    <x v="0"/>
    <x v="2"/>
    <n v="87"/>
    <n v="0"/>
  </r>
  <r>
    <n v="1708"/>
    <x v="15"/>
    <x v="0"/>
    <s v="Shorts"/>
    <x v="0"/>
    <n v="81"/>
    <s v="Nevada"/>
    <s v="L"/>
    <s v="Maroon"/>
    <x v="3"/>
    <x v="8"/>
    <s v="No"/>
    <x v="4"/>
    <x v="1"/>
    <x v="1"/>
    <x v="29"/>
    <x v="1"/>
    <x v="4"/>
    <x v="1"/>
    <n v="81"/>
    <n v="0"/>
  </r>
  <r>
    <n v="1709"/>
    <x v="25"/>
    <x v="0"/>
    <s v="Boots"/>
    <x v="1"/>
    <n v="58"/>
    <s v="Florida"/>
    <s v="L"/>
    <s v="Cyan"/>
    <x v="1"/>
    <x v="4"/>
    <s v="No"/>
    <x v="0"/>
    <x v="1"/>
    <x v="1"/>
    <x v="43"/>
    <x v="2"/>
    <x v="3"/>
    <x v="2"/>
    <n v="58"/>
    <n v="0"/>
  </r>
  <r>
    <n v="1710"/>
    <x v="4"/>
    <x v="0"/>
    <s v="Skirt"/>
    <x v="0"/>
    <n v="83"/>
    <s v="Indiana"/>
    <s v="M"/>
    <s v="Pink"/>
    <x v="0"/>
    <x v="22"/>
    <s v="No"/>
    <x v="3"/>
    <x v="1"/>
    <x v="1"/>
    <x v="5"/>
    <x v="4"/>
    <x v="2"/>
    <x v="2"/>
    <n v="83"/>
    <n v="0"/>
  </r>
  <r>
    <n v="1711"/>
    <x v="1"/>
    <x v="0"/>
    <s v="Pants"/>
    <x v="0"/>
    <n v="59"/>
    <s v="Arkansas"/>
    <s v="XL"/>
    <s v="Orange"/>
    <x v="3"/>
    <x v="22"/>
    <s v="No"/>
    <x v="5"/>
    <x v="1"/>
    <x v="1"/>
    <x v="22"/>
    <x v="2"/>
    <x v="3"/>
    <x v="1"/>
    <n v="59"/>
    <n v="0"/>
  </r>
  <r>
    <n v="1712"/>
    <x v="3"/>
    <x v="0"/>
    <s v="T-shirt"/>
    <x v="0"/>
    <n v="93"/>
    <s v="North Carolina"/>
    <s v="M"/>
    <s v="Lavender"/>
    <x v="1"/>
    <x v="10"/>
    <s v="No"/>
    <x v="0"/>
    <x v="1"/>
    <x v="1"/>
    <x v="5"/>
    <x v="2"/>
    <x v="5"/>
    <x v="1"/>
    <n v="93"/>
    <n v="0"/>
  </r>
  <r>
    <n v="1713"/>
    <x v="13"/>
    <x v="0"/>
    <s v="T-shirt"/>
    <x v="0"/>
    <n v="87"/>
    <s v="Illinois"/>
    <s v="S"/>
    <s v="Beige"/>
    <x v="3"/>
    <x v="22"/>
    <s v="No"/>
    <x v="4"/>
    <x v="1"/>
    <x v="1"/>
    <x v="44"/>
    <x v="1"/>
    <x v="0"/>
    <x v="0"/>
    <n v="87"/>
    <n v="0"/>
  </r>
  <r>
    <n v="1714"/>
    <x v="34"/>
    <x v="0"/>
    <s v="Jacket"/>
    <x v="2"/>
    <n v="22"/>
    <s v="Missouri"/>
    <s v="M"/>
    <s v="Pink"/>
    <x v="0"/>
    <x v="12"/>
    <s v="No"/>
    <x v="1"/>
    <x v="1"/>
    <x v="1"/>
    <x v="10"/>
    <x v="3"/>
    <x v="3"/>
    <x v="2"/>
    <n v="22"/>
    <n v="0"/>
  </r>
  <r>
    <n v="1715"/>
    <x v="11"/>
    <x v="0"/>
    <s v="Jeans"/>
    <x v="0"/>
    <n v="71"/>
    <s v="South Dakota"/>
    <s v="S"/>
    <s v="Charcoal"/>
    <x v="2"/>
    <x v="14"/>
    <s v="No"/>
    <x v="3"/>
    <x v="1"/>
    <x v="1"/>
    <x v="28"/>
    <x v="1"/>
    <x v="5"/>
    <x v="2"/>
    <n v="71"/>
    <n v="0"/>
  </r>
  <r>
    <n v="1716"/>
    <x v="51"/>
    <x v="0"/>
    <s v="Dress"/>
    <x v="0"/>
    <n v="69"/>
    <s v="Idaho"/>
    <s v="XL"/>
    <s v="Gray"/>
    <x v="1"/>
    <x v="23"/>
    <s v="No"/>
    <x v="4"/>
    <x v="1"/>
    <x v="1"/>
    <x v="48"/>
    <x v="3"/>
    <x v="4"/>
    <x v="1"/>
    <n v="69"/>
    <n v="0"/>
  </r>
  <r>
    <n v="1717"/>
    <x v="28"/>
    <x v="0"/>
    <s v="Blouse"/>
    <x v="0"/>
    <n v="47"/>
    <s v="Connecticut"/>
    <s v="M"/>
    <s v="Cyan"/>
    <x v="0"/>
    <x v="10"/>
    <s v="No"/>
    <x v="3"/>
    <x v="1"/>
    <x v="1"/>
    <x v="48"/>
    <x v="1"/>
    <x v="6"/>
    <x v="0"/>
    <n v="47"/>
    <n v="0"/>
  </r>
  <r>
    <n v="1718"/>
    <x v="26"/>
    <x v="0"/>
    <s v="Hoodie"/>
    <x v="0"/>
    <n v="50"/>
    <s v="Hawaii"/>
    <s v="L"/>
    <s v="Orange"/>
    <x v="2"/>
    <x v="3"/>
    <s v="No"/>
    <x v="0"/>
    <x v="1"/>
    <x v="1"/>
    <x v="20"/>
    <x v="5"/>
    <x v="4"/>
    <x v="2"/>
    <n v="50"/>
    <n v="0"/>
  </r>
  <r>
    <n v="1719"/>
    <x v="22"/>
    <x v="0"/>
    <s v="T-shirt"/>
    <x v="0"/>
    <n v="96"/>
    <s v="Maryland"/>
    <s v="L"/>
    <s v="Pink"/>
    <x v="0"/>
    <x v="23"/>
    <s v="No"/>
    <x v="4"/>
    <x v="1"/>
    <x v="1"/>
    <x v="0"/>
    <x v="3"/>
    <x v="6"/>
    <x v="0"/>
    <n v="96"/>
    <n v="0"/>
  </r>
  <r>
    <n v="1720"/>
    <x v="4"/>
    <x v="0"/>
    <s v="Sweater"/>
    <x v="0"/>
    <n v="39"/>
    <s v="Maryland"/>
    <s v="M"/>
    <s v="White"/>
    <x v="0"/>
    <x v="4"/>
    <s v="No"/>
    <x v="1"/>
    <x v="1"/>
    <x v="1"/>
    <x v="6"/>
    <x v="0"/>
    <x v="3"/>
    <x v="2"/>
    <n v="39"/>
    <n v="0"/>
  </r>
  <r>
    <n v="1721"/>
    <x v="15"/>
    <x v="0"/>
    <s v="Shorts"/>
    <x v="0"/>
    <n v="84"/>
    <s v="Massachusetts"/>
    <s v="S"/>
    <s v="Beige"/>
    <x v="0"/>
    <x v="11"/>
    <s v="No"/>
    <x v="0"/>
    <x v="1"/>
    <x v="1"/>
    <x v="19"/>
    <x v="5"/>
    <x v="4"/>
    <x v="1"/>
    <n v="84"/>
    <n v="0"/>
  </r>
  <r>
    <n v="1722"/>
    <x v="50"/>
    <x v="0"/>
    <s v="Jewelry"/>
    <x v="3"/>
    <n v="28"/>
    <s v="Delaware"/>
    <s v="S"/>
    <s v="Magenta"/>
    <x v="1"/>
    <x v="24"/>
    <s v="No"/>
    <x v="1"/>
    <x v="1"/>
    <x v="1"/>
    <x v="37"/>
    <x v="2"/>
    <x v="5"/>
    <x v="2"/>
    <n v="28"/>
    <n v="0"/>
  </r>
  <r>
    <n v="1723"/>
    <x v="5"/>
    <x v="0"/>
    <s v="T-shirt"/>
    <x v="0"/>
    <n v="51"/>
    <s v="Massachusetts"/>
    <s v="L"/>
    <s v="Violet"/>
    <x v="2"/>
    <x v="13"/>
    <s v="No"/>
    <x v="3"/>
    <x v="1"/>
    <x v="1"/>
    <x v="0"/>
    <x v="1"/>
    <x v="0"/>
    <x v="2"/>
    <n v="51"/>
    <n v="0"/>
  </r>
  <r>
    <n v="1724"/>
    <x v="27"/>
    <x v="0"/>
    <s v="Scarf"/>
    <x v="3"/>
    <n v="20"/>
    <s v="New York"/>
    <s v="XL"/>
    <s v="Gold"/>
    <x v="1"/>
    <x v="13"/>
    <s v="No"/>
    <x v="3"/>
    <x v="1"/>
    <x v="1"/>
    <x v="30"/>
    <x v="3"/>
    <x v="2"/>
    <x v="0"/>
    <n v="20"/>
    <n v="0"/>
  </r>
  <r>
    <n v="1725"/>
    <x v="32"/>
    <x v="0"/>
    <s v="Shoes"/>
    <x v="1"/>
    <n v="72"/>
    <s v="Delaware"/>
    <s v="S"/>
    <s v="Teal"/>
    <x v="0"/>
    <x v="13"/>
    <s v="No"/>
    <x v="1"/>
    <x v="1"/>
    <x v="1"/>
    <x v="33"/>
    <x v="3"/>
    <x v="1"/>
    <x v="2"/>
    <n v="72"/>
    <n v="0"/>
  </r>
  <r>
    <n v="1726"/>
    <x v="4"/>
    <x v="0"/>
    <s v="Sunglasses"/>
    <x v="3"/>
    <n v="33"/>
    <s v="Massachusetts"/>
    <s v="M"/>
    <s v="Indigo"/>
    <x v="1"/>
    <x v="21"/>
    <s v="No"/>
    <x v="2"/>
    <x v="1"/>
    <x v="1"/>
    <x v="18"/>
    <x v="0"/>
    <x v="3"/>
    <x v="2"/>
    <n v="33"/>
    <n v="0"/>
  </r>
  <r>
    <n v="1727"/>
    <x v="9"/>
    <x v="0"/>
    <s v="Coat"/>
    <x v="2"/>
    <n v="28"/>
    <s v="Indiana"/>
    <s v="S"/>
    <s v="Olive"/>
    <x v="2"/>
    <x v="11"/>
    <s v="No"/>
    <x v="0"/>
    <x v="1"/>
    <x v="1"/>
    <x v="24"/>
    <x v="5"/>
    <x v="1"/>
    <x v="0"/>
    <n v="28"/>
    <n v="0"/>
  </r>
  <r>
    <n v="1728"/>
    <x v="34"/>
    <x v="0"/>
    <s v="Blouse"/>
    <x v="0"/>
    <n v="53"/>
    <s v="Virginia"/>
    <s v="S"/>
    <s v="Violet"/>
    <x v="1"/>
    <x v="17"/>
    <s v="No"/>
    <x v="0"/>
    <x v="1"/>
    <x v="1"/>
    <x v="5"/>
    <x v="3"/>
    <x v="5"/>
    <x v="2"/>
    <n v="53"/>
    <n v="0"/>
  </r>
  <r>
    <n v="1729"/>
    <x v="51"/>
    <x v="0"/>
    <s v="Jeans"/>
    <x v="0"/>
    <n v="48"/>
    <s v="Wyoming"/>
    <s v="L"/>
    <s v="Black"/>
    <x v="3"/>
    <x v="24"/>
    <s v="No"/>
    <x v="0"/>
    <x v="1"/>
    <x v="1"/>
    <x v="43"/>
    <x v="5"/>
    <x v="6"/>
    <x v="1"/>
    <n v="48"/>
    <n v="0"/>
  </r>
  <r>
    <n v="1730"/>
    <x v="36"/>
    <x v="0"/>
    <s v="Shorts"/>
    <x v="0"/>
    <n v="21"/>
    <s v="Illinois"/>
    <s v="M"/>
    <s v="Brown"/>
    <x v="0"/>
    <x v="22"/>
    <s v="No"/>
    <x v="5"/>
    <x v="1"/>
    <x v="1"/>
    <x v="45"/>
    <x v="0"/>
    <x v="0"/>
    <x v="2"/>
    <n v="21"/>
    <n v="0"/>
  </r>
  <r>
    <n v="1731"/>
    <x v="51"/>
    <x v="0"/>
    <s v="Shirt"/>
    <x v="0"/>
    <n v="22"/>
    <s v="Alabama"/>
    <s v="S"/>
    <s v="Silver"/>
    <x v="3"/>
    <x v="19"/>
    <s v="No"/>
    <x v="1"/>
    <x v="1"/>
    <x v="1"/>
    <x v="8"/>
    <x v="2"/>
    <x v="1"/>
    <x v="1"/>
    <n v="22"/>
    <n v="0"/>
  </r>
  <r>
    <n v="1732"/>
    <x v="3"/>
    <x v="0"/>
    <s v="Backpack"/>
    <x v="3"/>
    <n v="87"/>
    <s v="Idaho"/>
    <s v="M"/>
    <s v="Gray"/>
    <x v="3"/>
    <x v="0"/>
    <s v="No"/>
    <x v="2"/>
    <x v="1"/>
    <x v="1"/>
    <x v="45"/>
    <x v="1"/>
    <x v="5"/>
    <x v="1"/>
    <n v="87"/>
    <n v="0"/>
  </r>
  <r>
    <n v="1733"/>
    <x v="4"/>
    <x v="0"/>
    <s v="Belt"/>
    <x v="3"/>
    <n v="50"/>
    <s v="Rhode Island"/>
    <s v="S"/>
    <s v="Charcoal"/>
    <x v="0"/>
    <x v="5"/>
    <s v="No"/>
    <x v="1"/>
    <x v="1"/>
    <x v="1"/>
    <x v="13"/>
    <x v="1"/>
    <x v="6"/>
    <x v="2"/>
    <n v="50"/>
    <n v="0"/>
  </r>
  <r>
    <n v="1734"/>
    <x v="29"/>
    <x v="0"/>
    <s v="Blouse"/>
    <x v="0"/>
    <n v="85"/>
    <s v="New York"/>
    <s v="L"/>
    <s v="Black"/>
    <x v="2"/>
    <x v="23"/>
    <s v="No"/>
    <x v="0"/>
    <x v="1"/>
    <x v="1"/>
    <x v="17"/>
    <x v="2"/>
    <x v="2"/>
    <x v="0"/>
    <n v="85"/>
    <n v="0"/>
  </r>
  <r>
    <n v="1735"/>
    <x v="18"/>
    <x v="0"/>
    <s v="Jeans"/>
    <x v="0"/>
    <n v="98"/>
    <s v="Missouri"/>
    <s v="L"/>
    <s v="Brown"/>
    <x v="1"/>
    <x v="0"/>
    <s v="No"/>
    <x v="2"/>
    <x v="1"/>
    <x v="1"/>
    <x v="20"/>
    <x v="3"/>
    <x v="3"/>
    <x v="2"/>
    <n v="98"/>
    <n v="0"/>
  </r>
  <r>
    <n v="1736"/>
    <x v="44"/>
    <x v="0"/>
    <s v="Dress"/>
    <x v="0"/>
    <n v="34"/>
    <s v="Texas"/>
    <s v="M"/>
    <s v="Purple"/>
    <x v="0"/>
    <x v="15"/>
    <s v="No"/>
    <x v="0"/>
    <x v="1"/>
    <x v="1"/>
    <x v="4"/>
    <x v="0"/>
    <x v="2"/>
    <x v="0"/>
    <n v="34"/>
    <n v="0"/>
  </r>
  <r>
    <n v="1737"/>
    <x v="9"/>
    <x v="0"/>
    <s v="Shorts"/>
    <x v="0"/>
    <n v="61"/>
    <s v="Tennessee"/>
    <s v="M"/>
    <s v="Purple"/>
    <x v="2"/>
    <x v="5"/>
    <s v="No"/>
    <x v="4"/>
    <x v="1"/>
    <x v="1"/>
    <x v="34"/>
    <x v="1"/>
    <x v="3"/>
    <x v="0"/>
    <n v="61"/>
    <n v="0"/>
  </r>
  <r>
    <n v="1738"/>
    <x v="32"/>
    <x v="0"/>
    <s v="Jewelry"/>
    <x v="3"/>
    <n v="98"/>
    <s v="Ohio"/>
    <s v="L"/>
    <s v="Gray"/>
    <x v="2"/>
    <x v="19"/>
    <s v="No"/>
    <x v="5"/>
    <x v="1"/>
    <x v="1"/>
    <x v="16"/>
    <x v="0"/>
    <x v="4"/>
    <x v="2"/>
    <n v="98"/>
    <n v="0"/>
  </r>
  <r>
    <n v="1739"/>
    <x v="52"/>
    <x v="0"/>
    <s v="Handbag"/>
    <x v="3"/>
    <n v="61"/>
    <s v="Tennessee"/>
    <s v="M"/>
    <s v="Green"/>
    <x v="1"/>
    <x v="3"/>
    <s v="No"/>
    <x v="4"/>
    <x v="1"/>
    <x v="1"/>
    <x v="10"/>
    <x v="2"/>
    <x v="1"/>
    <x v="0"/>
    <n v="61"/>
    <n v="0"/>
  </r>
  <r>
    <n v="1740"/>
    <x v="3"/>
    <x v="0"/>
    <s v="Jewelry"/>
    <x v="3"/>
    <n v="98"/>
    <s v="Minnesota"/>
    <s v="L"/>
    <s v="Silver"/>
    <x v="0"/>
    <x v="19"/>
    <s v="No"/>
    <x v="0"/>
    <x v="1"/>
    <x v="1"/>
    <x v="2"/>
    <x v="1"/>
    <x v="1"/>
    <x v="1"/>
    <n v="98"/>
    <n v="0"/>
  </r>
  <r>
    <n v="1741"/>
    <x v="28"/>
    <x v="0"/>
    <s v="Pants"/>
    <x v="0"/>
    <n v="21"/>
    <s v="Wisconsin"/>
    <s v="L"/>
    <s v="Charcoal"/>
    <x v="3"/>
    <x v="13"/>
    <s v="No"/>
    <x v="2"/>
    <x v="1"/>
    <x v="1"/>
    <x v="9"/>
    <x v="4"/>
    <x v="6"/>
    <x v="0"/>
    <n v="21"/>
    <n v="0"/>
  </r>
  <r>
    <n v="1742"/>
    <x v="38"/>
    <x v="0"/>
    <s v="Pants"/>
    <x v="0"/>
    <n v="51"/>
    <s v="Delaware"/>
    <s v="XL"/>
    <s v="Teal"/>
    <x v="0"/>
    <x v="15"/>
    <s v="No"/>
    <x v="2"/>
    <x v="1"/>
    <x v="1"/>
    <x v="41"/>
    <x v="4"/>
    <x v="5"/>
    <x v="2"/>
    <n v="51"/>
    <n v="0"/>
  </r>
  <r>
    <n v="1743"/>
    <x v="47"/>
    <x v="0"/>
    <s v="Sandals"/>
    <x v="1"/>
    <n v="80"/>
    <s v="Kansas"/>
    <s v="XL"/>
    <s v="White"/>
    <x v="1"/>
    <x v="24"/>
    <s v="No"/>
    <x v="0"/>
    <x v="1"/>
    <x v="1"/>
    <x v="27"/>
    <x v="0"/>
    <x v="6"/>
    <x v="0"/>
    <n v="80"/>
    <n v="0"/>
  </r>
  <r>
    <n v="1744"/>
    <x v="51"/>
    <x v="0"/>
    <s v="Skirt"/>
    <x v="0"/>
    <n v="72"/>
    <s v="Missouri"/>
    <s v="XL"/>
    <s v="Brown"/>
    <x v="0"/>
    <x v="13"/>
    <s v="No"/>
    <x v="3"/>
    <x v="1"/>
    <x v="1"/>
    <x v="35"/>
    <x v="4"/>
    <x v="1"/>
    <x v="1"/>
    <n v="72"/>
    <n v="0"/>
  </r>
  <r>
    <n v="1745"/>
    <x v="9"/>
    <x v="0"/>
    <s v="Sunglasses"/>
    <x v="3"/>
    <n v="63"/>
    <s v="Michigan"/>
    <s v="L"/>
    <s v="Teal"/>
    <x v="0"/>
    <x v="21"/>
    <s v="No"/>
    <x v="3"/>
    <x v="1"/>
    <x v="1"/>
    <x v="2"/>
    <x v="3"/>
    <x v="1"/>
    <x v="0"/>
    <n v="63"/>
    <n v="0"/>
  </r>
  <r>
    <n v="1746"/>
    <x v="37"/>
    <x v="0"/>
    <s v="Skirt"/>
    <x v="0"/>
    <n v="27"/>
    <s v="West Virginia"/>
    <s v="L"/>
    <s v="Red"/>
    <x v="0"/>
    <x v="15"/>
    <s v="No"/>
    <x v="5"/>
    <x v="1"/>
    <x v="1"/>
    <x v="46"/>
    <x v="1"/>
    <x v="1"/>
    <x v="2"/>
    <n v="27"/>
    <n v="0"/>
  </r>
  <r>
    <n v="1747"/>
    <x v="13"/>
    <x v="0"/>
    <s v="Handbag"/>
    <x v="3"/>
    <n v="44"/>
    <s v="Alabama"/>
    <s v="L"/>
    <s v="Brown"/>
    <x v="2"/>
    <x v="0"/>
    <s v="No"/>
    <x v="5"/>
    <x v="1"/>
    <x v="1"/>
    <x v="12"/>
    <x v="4"/>
    <x v="0"/>
    <x v="0"/>
    <n v="44"/>
    <n v="0"/>
  </r>
  <r>
    <n v="1748"/>
    <x v="12"/>
    <x v="0"/>
    <s v="Coat"/>
    <x v="2"/>
    <n v="23"/>
    <s v="New Hampshire"/>
    <s v="M"/>
    <s v="Yellow"/>
    <x v="0"/>
    <x v="3"/>
    <s v="No"/>
    <x v="0"/>
    <x v="1"/>
    <x v="1"/>
    <x v="23"/>
    <x v="0"/>
    <x v="3"/>
    <x v="0"/>
    <n v="23"/>
    <n v="0"/>
  </r>
  <r>
    <n v="1749"/>
    <x v="50"/>
    <x v="0"/>
    <s v="Skirt"/>
    <x v="0"/>
    <n v="93"/>
    <s v="Montana"/>
    <s v="L"/>
    <s v="Teal"/>
    <x v="0"/>
    <x v="20"/>
    <s v="No"/>
    <x v="4"/>
    <x v="1"/>
    <x v="1"/>
    <x v="23"/>
    <x v="4"/>
    <x v="2"/>
    <x v="2"/>
    <n v="93"/>
    <n v="0"/>
  </r>
  <r>
    <n v="1750"/>
    <x v="49"/>
    <x v="0"/>
    <s v="Hoodie"/>
    <x v="0"/>
    <n v="70"/>
    <s v="Wyoming"/>
    <s v="L"/>
    <s v="Pink"/>
    <x v="3"/>
    <x v="4"/>
    <s v="No"/>
    <x v="4"/>
    <x v="1"/>
    <x v="1"/>
    <x v="13"/>
    <x v="5"/>
    <x v="6"/>
    <x v="2"/>
    <n v="70"/>
    <n v="0"/>
  </r>
  <r>
    <n v="1751"/>
    <x v="18"/>
    <x v="0"/>
    <s v="Sunglasses"/>
    <x v="3"/>
    <n v="85"/>
    <s v="Missouri"/>
    <s v="M"/>
    <s v="White"/>
    <x v="3"/>
    <x v="0"/>
    <s v="No"/>
    <x v="0"/>
    <x v="1"/>
    <x v="1"/>
    <x v="25"/>
    <x v="0"/>
    <x v="6"/>
    <x v="2"/>
    <n v="85"/>
    <n v="0"/>
  </r>
  <r>
    <n v="1752"/>
    <x v="9"/>
    <x v="0"/>
    <s v="Sweater"/>
    <x v="0"/>
    <n v="40"/>
    <s v="Ohio"/>
    <s v="M"/>
    <s v="Silver"/>
    <x v="0"/>
    <x v="4"/>
    <s v="No"/>
    <x v="4"/>
    <x v="1"/>
    <x v="1"/>
    <x v="11"/>
    <x v="1"/>
    <x v="2"/>
    <x v="0"/>
    <n v="40"/>
    <n v="0"/>
  </r>
  <r>
    <n v="1753"/>
    <x v="50"/>
    <x v="0"/>
    <s v="Boots"/>
    <x v="1"/>
    <n v="29"/>
    <s v="South Dakota"/>
    <s v="L"/>
    <s v="Blue"/>
    <x v="0"/>
    <x v="13"/>
    <s v="No"/>
    <x v="5"/>
    <x v="1"/>
    <x v="1"/>
    <x v="0"/>
    <x v="0"/>
    <x v="3"/>
    <x v="2"/>
    <n v="29"/>
    <n v="0"/>
  </r>
  <r>
    <n v="1754"/>
    <x v="15"/>
    <x v="0"/>
    <s v="Skirt"/>
    <x v="0"/>
    <n v="27"/>
    <s v="Colorado"/>
    <s v="L"/>
    <s v="Black"/>
    <x v="3"/>
    <x v="6"/>
    <s v="No"/>
    <x v="2"/>
    <x v="1"/>
    <x v="1"/>
    <x v="2"/>
    <x v="2"/>
    <x v="0"/>
    <x v="1"/>
    <n v="27"/>
    <n v="0"/>
  </r>
  <r>
    <n v="1755"/>
    <x v="17"/>
    <x v="0"/>
    <s v="Dress"/>
    <x v="0"/>
    <n v="93"/>
    <s v="Massachusetts"/>
    <s v="S"/>
    <s v="Beige"/>
    <x v="3"/>
    <x v="22"/>
    <s v="No"/>
    <x v="4"/>
    <x v="1"/>
    <x v="1"/>
    <x v="27"/>
    <x v="2"/>
    <x v="0"/>
    <x v="0"/>
    <n v="93"/>
    <n v="0"/>
  </r>
  <r>
    <n v="1756"/>
    <x v="19"/>
    <x v="0"/>
    <s v="Belt"/>
    <x v="3"/>
    <n v="20"/>
    <s v="Delaware"/>
    <s v="XL"/>
    <s v="Charcoal"/>
    <x v="1"/>
    <x v="12"/>
    <s v="No"/>
    <x v="2"/>
    <x v="1"/>
    <x v="1"/>
    <x v="24"/>
    <x v="1"/>
    <x v="5"/>
    <x v="0"/>
    <n v="20"/>
    <n v="0"/>
  </r>
  <r>
    <n v="1757"/>
    <x v="34"/>
    <x v="0"/>
    <s v="Jewelry"/>
    <x v="3"/>
    <n v="55"/>
    <s v="New Hampshire"/>
    <s v="S"/>
    <s v="Cyan"/>
    <x v="3"/>
    <x v="11"/>
    <s v="No"/>
    <x v="1"/>
    <x v="1"/>
    <x v="1"/>
    <x v="0"/>
    <x v="4"/>
    <x v="1"/>
    <x v="2"/>
    <n v="55"/>
    <n v="0"/>
  </r>
  <r>
    <n v="1758"/>
    <x v="1"/>
    <x v="0"/>
    <s v="Dress"/>
    <x v="0"/>
    <n v="94"/>
    <s v="Michigan"/>
    <s v="L"/>
    <s v="Yellow"/>
    <x v="3"/>
    <x v="15"/>
    <s v="No"/>
    <x v="3"/>
    <x v="1"/>
    <x v="1"/>
    <x v="26"/>
    <x v="5"/>
    <x v="2"/>
    <x v="1"/>
    <n v="94"/>
    <n v="0"/>
  </r>
  <r>
    <n v="1759"/>
    <x v="7"/>
    <x v="0"/>
    <s v="Hat"/>
    <x v="3"/>
    <n v="56"/>
    <s v="Pennsylvania"/>
    <s v="M"/>
    <s v="Silver"/>
    <x v="0"/>
    <x v="24"/>
    <s v="No"/>
    <x v="1"/>
    <x v="1"/>
    <x v="1"/>
    <x v="14"/>
    <x v="0"/>
    <x v="4"/>
    <x v="2"/>
    <n v="56"/>
    <n v="0"/>
  </r>
  <r>
    <n v="1760"/>
    <x v="33"/>
    <x v="0"/>
    <s v="Sweater"/>
    <x v="0"/>
    <n v="58"/>
    <s v="Louisiana"/>
    <s v="L"/>
    <s v="Green"/>
    <x v="1"/>
    <x v="17"/>
    <s v="No"/>
    <x v="2"/>
    <x v="1"/>
    <x v="1"/>
    <x v="43"/>
    <x v="3"/>
    <x v="1"/>
    <x v="0"/>
    <n v="58"/>
    <n v="0"/>
  </r>
  <r>
    <n v="1761"/>
    <x v="30"/>
    <x v="0"/>
    <s v="Skirt"/>
    <x v="0"/>
    <n v="44"/>
    <s v="Minnesota"/>
    <s v="XL"/>
    <s v="Peach"/>
    <x v="1"/>
    <x v="1"/>
    <s v="No"/>
    <x v="3"/>
    <x v="1"/>
    <x v="1"/>
    <x v="30"/>
    <x v="3"/>
    <x v="1"/>
    <x v="1"/>
    <n v="44"/>
    <n v="0"/>
  </r>
  <r>
    <n v="1762"/>
    <x v="3"/>
    <x v="0"/>
    <s v="Hoodie"/>
    <x v="0"/>
    <n v="95"/>
    <s v="Hawaii"/>
    <s v="S"/>
    <s v="Green"/>
    <x v="3"/>
    <x v="8"/>
    <s v="No"/>
    <x v="4"/>
    <x v="1"/>
    <x v="1"/>
    <x v="37"/>
    <x v="1"/>
    <x v="1"/>
    <x v="1"/>
    <n v="95"/>
    <n v="0"/>
  </r>
  <r>
    <n v="1763"/>
    <x v="24"/>
    <x v="0"/>
    <s v="Sandals"/>
    <x v="1"/>
    <n v="42"/>
    <s v="Idaho"/>
    <s v="M"/>
    <s v="Brown"/>
    <x v="2"/>
    <x v="0"/>
    <s v="No"/>
    <x v="0"/>
    <x v="1"/>
    <x v="1"/>
    <x v="23"/>
    <x v="4"/>
    <x v="0"/>
    <x v="2"/>
    <n v="42"/>
    <n v="0"/>
  </r>
  <r>
    <n v="1764"/>
    <x v="43"/>
    <x v="0"/>
    <s v="Jewelry"/>
    <x v="3"/>
    <n v="93"/>
    <s v="Vermont"/>
    <s v="M"/>
    <s v="Lavender"/>
    <x v="0"/>
    <x v="20"/>
    <s v="No"/>
    <x v="5"/>
    <x v="1"/>
    <x v="1"/>
    <x v="40"/>
    <x v="3"/>
    <x v="2"/>
    <x v="2"/>
    <n v="93"/>
    <n v="0"/>
  </r>
  <r>
    <n v="1765"/>
    <x v="12"/>
    <x v="0"/>
    <s v="Dress"/>
    <x v="0"/>
    <n v="56"/>
    <s v="Delaware"/>
    <s v="M"/>
    <s v="Charcoal"/>
    <x v="2"/>
    <x v="21"/>
    <s v="No"/>
    <x v="5"/>
    <x v="1"/>
    <x v="1"/>
    <x v="11"/>
    <x v="0"/>
    <x v="3"/>
    <x v="0"/>
    <n v="56"/>
    <n v="0"/>
  </r>
  <r>
    <n v="1766"/>
    <x v="33"/>
    <x v="0"/>
    <s v="Hoodie"/>
    <x v="0"/>
    <n v="88"/>
    <s v="New Mexico"/>
    <s v="M"/>
    <s v="Orange"/>
    <x v="1"/>
    <x v="7"/>
    <s v="No"/>
    <x v="4"/>
    <x v="1"/>
    <x v="1"/>
    <x v="23"/>
    <x v="0"/>
    <x v="3"/>
    <x v="0"/>
    <n v="88"/>
    <n v="0"/>
  </r>
  <r>
    <n v="1767"/>
    <x v="52"/>
    <x v="0"/>
    <s v="Sweater"/>
    <x v="0"/>
    <n v="54"/>
    <s v="Alaska"/>
    <s v="S"/>
    <s v="Cyan"/>
    <x v="0"/>
    <x v="24"/>
    <s v="No"/>
    <x v="4"/>
    <x v="1"/>
    <x v="1"/>
    <x v="46"/>
    <x v="1"/>
    <x v="4"/>
    <x v="0"/>
    <n v="54"/>
    <n v="0"/>
  </r>
  <r>
    <n v="1768"/>
    <x v="28"/>
    <x v="0"/>
    <s v="Jewelry"/>
    <x v="3"/>
    <n v="89"/>
    <s v="Minnesota"/>
    <s v="L"/>
    <s v="Lavender"/>
    <x v="3"/>
    <x v="22"/>
    <s v="No"/>
    <x v="4"/>
    <x v="1"/>
    <x v="1"/>
    <x v="15"/>
    <x v="5"/>
    <x v="0"/>
    <x v="0"/>
    <n v="89"/>
    <n v="0"/>
  </r>
  <r>
    <n v="1769"/>
    <x v="15"/>
    <x v="0"/>
    <s v="Sandals"/>
    <x v="1"/>
    <n v="45"/>
    <s v="Nebraska"/>
    <s v="M"/>
    <s v="Indigo"/>
    <x v="2"/>
    <x v="20"/>
    <s v="No"/>
    <x v="4"/>
    <x v="1"/>
    <x v="1"/>
    <x v="1"/>
    <x v="3"/>
    <x v="6"/>
    <x v="1"/>
    <n v="45"/>
    <n v="0"/>
  </r>
  <r>
    <n v="1770"/>
    <x v="45"/>
    <x v="0"/>
    <s v="Socks"/>
    <x v="0"/>
    <n v="75"/>
    <s v="Alaska"/>
    <s v="L"/>
    <s v="Brown"/>
    <x v="0"/>
    <x v="24"/>
    <s v="No"/>
    <x v="1"/>
    <x v="1"/>
    <x v="1"/>
    <x v="24"/>
    <x v="1"/>
    <x v="5"/>
    <x v="2"/>
    <n v="75"/>
    <n v="0"/>
  </r>
  <r>
    <n v="1771"/>
    <x v="10"/>
    <x v="0"/>
    <s v="Backpack"/>
    <x v="3"/>
    <n v="22"/>
    <s v="Michigan"/>
    <s v="M"/>
    <s v="Pink"/>
    <x v="3"/>
    <x v="24"/>
    <s v="No"/>
    <x v="0"/>
    <x v="1"/>
    <x v="1"/>
    <x v="11"/>
    <x v="4"/>
    <x v="1"/>
    <x v="0"/>
    <n v="22"/>
    <n v="0"/>
  </r>
  <r>
    <n v="1772"/>
    <x v="5"/>
    <x v="0"/>
    <s v="Shirt"/>
    <x v="0"/>
    <n v="82"/>
    <s v="Indiana"/>
    <s v="XL"/>
    <s v="Turquoise"/>
    <x v="3"/>
    <x v="10"/>
    <s v="No"/>
    <x v="5"/>
    <x v="1"/>
    <x v="1"/>
    <x v="44"/>
    <x v="2"/>
    <x v="2"/>
    <x v="2"/>
    <n v="82"/>
    <n v="0"/>
  </r>
  <r>
    <n v="1773"/>
    <x v="44"/>
    <x v="0"/>
    <s v="Shoes"/>
    <x v="1"/>
    <n v="34"/>
    <s v="Hawaii"/>
    <s v="M"/>
    <s v="Gold"/>
    <x v="2"/>
    <x v="0"/>
    <s v="No"/>
    <x v="4"/>
    <x v="1"/>
    <x v="1"/>
    <x v="43"/>
    <x v="4"/>
    <x v="2"/>
    <x v="0"/>
    <n v="34"/>
    <n v="0"/>
  </r>
  <r>
    <n v="1774"/>
    <x v="3"/>
    <x v="0"/>
    <s v="Coat"/>
    <x v="2"/>
    <n v="92"/>
    <s v="West Virginia"/>
    <s v="M"/>
    <s v="Blue"/>
    <x v="2"/>
    <x v="2"/>
    <s v="No"/>
    <x v="1"/>
    <x v="1"/>
    <x v="1"/>
    <x v="14"/>
    <x v="3"/>
    <x v="2"/>
    <x v="1"/>
    <n v="92"/>
    <n v="0"/>
  </r>
  <r>
    <n v="1775"/>
    <x v="5"/>
    <x v="0"/>
    <s v="Sweater"/>
    <x v="0"/>
    <n v="78"/>
    <s v="New York"/>
    <s v="M"/>
    <s v="Lavender"/>
    <x v="1"/>
    <x v="18"/>
    <s v="No"/>
    <x v="0"/>
    <x v="1"/>
    <x v="1"/>
    <x v="49"/>
    <x v="3"/>
    <x v="1"/>
    <x v="2"/>
    <n v="78"/>
    <n v="0"/>
  </r>
  <r>
    <n v="1776"/>
    <x v="20"/>
    <x v="0"/>
    <s v="Jacket"/>
    <x v="2"/>
    <n v="47"/>
    <s v="Iowa"/>
    <s v="M"/>
    <s v="Violet"/>
    <x v="1"/>
    <x v="13"/>
    <s v="No"/>
    <x v="4"/>
    <x v="1"/>
    <x v="1"/>
    <x v="45"/>
    <x v="1"/>
    <x v="4"/>
    <x v="1"/>
    <n v="47"/>
    <n v="0"/>
  </r>
  <r>
    <n v="1777"/>
    <x v="19"/>
    <x v="0"/>
    <s v="Jacket"/>
    <x v="2"/>
    <n v="64"/>
    <s v="Arizona"/>
    <s v="L"/>
    <s v="Cyan"/>
    <x v="2"/>
    <x v="23"/>
    <s v="No"/>
    <x v="1"/>
    <x v="1"/>
    <x v="1"/>
    <x v="9"/>
    <x v="0"/>
    <x v="6"/>
    <x v="0"/>
    <n v="64"/>
    <n v="0"/>
  </r>
  <r>
    <n v="1778"/>
    <x v="20"/>
    <x v="0"/>
    <s v="Sneakers"/>
    <x v="1"/>
    <n v="44"/>
    <s v="Minnesota"/>
    <s v="L"/>
    <s v="Purple"/>
    <x v="0"/>
    <x v="10"/>
    <s v="No"/>
    <x v="1"/>
    <x v="1"/>
    <x v="1"/>
    <x v="7"/>
    <x v="1"/>
    <x v="0"/>
    <x v="1"/>
    <n v="44"/>
    <n v="0"/>
  </r>
  <r>
    <n v="1779"/>
    <x v="34"/>
    <x v="0"/>
    <s v="Belt"/>
    <x v="3"/>
    <n v="94"/>
    <s v="Texas"/>
    <s v="M"/>
    <s v="Red"/>
    <x v="0"/>
    <x v="8"/>
    <s v="No"/>
    <x v="5"/>
    <x v="1"/>
    <x v="1"/>
    <x v="6"/>
    <x v="5"/>
    <x v="4"/>
    <x v="2"/>
    <n v="94"/>
    <n v="0"/>
  </r>
  <r>
    <n v="1780"/>
    <x v="26"/>
    <x v="0"/>
    <s v="Scarf"/>
    <x v="3"/>
    <n v="62"/>
    <s v="Virginia"/>
    <s v="M"/>
    <s v="Charcoal"/>
    <x v="0"/>
    <x v="24"/>
    <s v="No"/>
    <x v="1"/>
    <x v="1"/>
    <x v="1"/>
    <x v="23"/>
    <x v="0"/>
    <x v="1"/>
    <x v="2"/>
    <n v="62"/>
    <n v="0"/>
  </r>
  <r>
    <n v="1781"/>
    <x v="29"/>
    <x v="0"/>
    <s v="Jewelry"/>
    <x v="3"/>
    <n v="81"/>
    <s v="North Dakota"/>
    <s v="S"/>
    <s v="Gray"/>
    <x v="2"/>
    <x v="19"/>
    <s v="No"/>
    <x v="2"/>
    <x v="1"/>
    <x v="1"/>
    <x v="3"/>
    <x v="2"/>
    <x v="1"/>
    <x v="0"/>
    <n v="81"/>
    <n v="0"/>
  </r>
  <r>
    <n v="1782"/>
    <x v="18"/>
    <x v="0"/>
    <s v="T-shirt"/>
    <x v="0"/>
    <n v="33"/>
    <s v="Iowa"/>
    <s v="M"/>
    <s v="Pink"/>
    <x v="3"/>
    <x v="18"/>
    <s v="No"/>
    <x v="0"/>
    <x v="1"/>
    <x v="1"/>
    <x v="3"/>
    <x v="4"/>
    <x v="3"/>
    <x v="2"/>
    <n v="33"/>
    <n v="0"/>
  </r>
  <r>
    <n v="1783"/>
    <x v="16"/>
    <x v="0"/>
    <s v="Pants"/>
    <x v="0"/>
    <n v="88"/>
    <s v="Utah"/>
    <s v="M"/>
    <s v="Lavender"/>
    <x v="3"/>
    <x v="2"/>
    <s v="No"/>
    <x v="2"/>
    <x v="1"/>
    <x v="1"/>
    <x v="19"/>
    <x v="4"/>
    <x v="0"/>
    <x v="0"/>
    <n v="88"/>
    <n v="0"/>
  </r>
  <r>
    <n v="1784"/>
    <x v="32"/>
    <x v="0"/>
    <s v="Handbag"/>
    <x v="3"/>
    <n v="49"/>
    <s v="Ohio"/>
    <s v="L"/>
    <s v="Lavender"/>
    <x v="0"/>
    <x v="13"/>
    <s v="No"/>
    <x v="1"/>
    <x v="1"/>
    <x v="1"/>
    <x v="48"/>
    <x v="2"/>
    <x v="5"/>
    <x v="2"/>
    <n v="49"/>
    <n v="0"/>
  </r>
  <r>
    <n v="1785"/>
    <x v="45"/>
    <x v="0"/>
    <s v="Backpack"/>
    <x v="3"/>
    <n v="31"/>
    <s v="Louisiana"/>
    <s v="L"/>
    <s v="Yellow"/>
    <x v="2"/>
    <x v="6"/>
    <s v="No"/>
    <x v="3"/>
    <x v="1"/>
    <x v="1"/>
    <x v="7"/>
    <x v="5"/>
    <x v="3"/>
    <x v="2"/>
    <n v="31"/>
    <n v="0"/>
  </r>
  <r>
    <n v="1786"/>
    <x v="36"/>
    <x v="0"/>
    <s v="Gloves"/>
    <x v="3"/>
    <n v="29"/>
    <s v="Iowa"/>
    <s v="S"/>
    <s v="Peach"/>
    <x v="3"/>
    <x v="7"/>
    <s v="No"/>
    <x v="2"/>
    <x v="1"/>
    <x v="1"/>
    <x v="17"/>
    <x v="0"/>
    <x v="5"/>
    <x v="2"/>
    <n v="29"/>
    <n v="0"/>
  </r>
  <r>
    <n v="1787"/>
    <x v="4"/>
    <x v="0"/>
    <s v="Jacket"/>
    <x v="2"/>
    <n v="34"/>
    <s v="Maryland"/>
    <s v="M"/>
    <s v="Brown"/>
    <x v="1"/>
    <x v="12"/>
    <s v="No"/>
    <x v="4"/>
    <x v="1"/>
    <x v="1"/>
    <x v="17"/>
    <x v="0"/>
    <x v="5"/>
    <x v="2"/>
    <n v="34"/>
    <n v="0"/>
  </r>
  <r>
    <n v="1788"/>
    <x v="30"/>
    <x v="0"/>
    <s v="Sweater"/>
    <x v="0"/>
    <n v="38"/>
    <s v="Montana"/>
    <s v="L"/>
    <s v="Gold"/>
    <x v="3"/>
    <x v="8"/>
    <s v="No"/>
    <x v="4"/>
    <x v="1"/>
    <x v="1"/>
    <x v="9"/>
    <x v="4"/>
    <x v="3"/>
    <x v="1"/>
    <n v="38"/>
    <n v="0"/>
  </r>
  <r>
    <n v="1789"/>
    <x v="17"/>
    <x v="0"/>
    <s v="Blouse"/>
    <x v="0"/>
    <n v="41"/>
    <s v="Illinois"/>
    <s v="L"/>
    <s v="Pink"/>
    <x v="2"/>
    <x v="0"/>
    <s v="No"/>
    <x v="5"/>
    <x v="1"/>
    <x v="1"/>
    <x v="2"/>
    <x v="1"/>
    <x v="4"/>
    <x v="0"/>
    <n v="41"/>
    <n v="0"/>
  </r>
  <r>
    <n v="1790"/>
    <x v="16"/>
    <x v="0"/>
    <s v="Blouse"/>
    <x v="0"/>
    <n v="34"/>
    <s v="Arizona"/>
    <s v="L"/>
    <s v="Peach"/>
    <x v="1"/>
    <x v="21"/>
    <s v="No"/>
    <x v="4"/>
    <x v="1"/>
    <x v="1"/>
    <x v="34"/>
    <x v="5"/>
    <x v="3"/>
    <x v="0"/>
    <n v="34"/>
    <n v="0"/>
  </r>
  <r>
    <n v="1791"/>
    <x v="2"/>
    <x v="0"/>
    <s v="Gloves"/>
    <x v="3"/>
    <n v="26"/>
    <s v="North Carolina"/>
    <s v="S"/>
    <s v="Violet"/>
    <x v="2"/>
    <x v="18"/>
    <s v="No"/>
    <x v="5"/>
    <x v="1"/>
    <x v="1"/>
    <x v="4"/>
    <x v="3"/>
    <x v="4"/>
    <x v="2"/>
    <n v="26"/>
    <n v="0"/>
  </r>
  <r>
    <n v="1792"/>
    <x v="46"/>
    <x v="0"/>
    <s v="Jeans"/>
    <x v="0"/>
    <n v="98"/>
    <s v="Montana"/>
    <s v="S"/>
    <s v="Purple"/>
    <x v="0"/>
    <x v="17"/>
    <s v="No"/>
    <x v="5"/>
    <x v="1"/>
    <x v="1"/>
    <x v="25"/>
    <x v="1"/>
    <x v="2"/>
    <x v="0"/>
    <n v="98"/>
    <n v="0"/>
  </r>
  <r>
    <n v="1793"/>
    <x v="21"/>
    <x v="0"/>
    <s v="Sneakers"/>
    <x v="1"/>
    <n v="59"/>
    <s v="Iowa"/>
    <s v="M"/>
    <s v="Peach"/>
    <x v="3"/>
    <x v="21"/>
    <s v="No"/>
    <x v="0"/>
    <x v="1"/>
    <x v="1"/>
    <x v="17"/>
    <x v="5"/>
    <x v="6"/>
    <x v="2"/>
    <n v="59"/>
    <n v="0"/>
  </r>
  <r>
    <n v="1794"/>
    <x v="13"/>
    <x v="0"/>
    <s v="Hat"/>
    <x v="3"/>
    <n v="92"/>
    <s v="Iowa"/>
    <s v="S"/>
    <s v="White"/>
    <x v="3"/>
    <x v="22"/>
    <s v="No"/>
    <x v="5"/>
    <x v="1"/>
    <x v="1"/>
    <x v="24"/>
    <x v="1"/>
    <x v="6"/>
    <x v="0"/>
    <n v="92"/>
    <n v="0"/>
  </r>
  <r>
    <n v="1795"/>
    <x v="52"/>
    <x v="0"/>
    <s v="Backpack"/>
    <x v="3"/>
    <n v="40"/>
    <s v="Ohio"/>
    <s v="L"/>
    <s v="Indigo"/>
    <x v="1"/>
    <x v="18"/>
    <s v="No"/>
    <x v="0"/>
    <x v="1"/>
    <x v="1"/>
    <x v="33"/>
    <x v="5"/>
    <x v="0"/>
    <x v="0"/>
    <n v="40"/>
    <n v="0"/>
  </r>
  <r>
    <n v="1796"/>
    <x v="33"/>
    <x v="0"/>
    <s v="Jeans"/>
    <x v="0"/>
    <n v="20"/>
    <s v="Wisconsin"/>
    <s v="S"/>
    <s v="Violet"/>
    <x v="3"/>
    <x v="17"/>
    <s v="No"/>
    <x v="4"/>
    <x v="1"/>
    <x v="1"/>
    <x v="44"/>
    <x v="5"/>
    <x v="0"/>
    <x v="0"/>
    <n v="20"/>
    <n v="0"/>
  </r>
  <r>
    <n v="1797"/>
    <x v="46"/>
    <x v="0"/>
    <s v="Skirt"/>
    <x v="0"/>
    <n v="35"/>
    <s v="South Carolina"/>
    <s v="S"/>
    <s v="Brown"/>
    <x v="1"/>
    <x v="0"/>
    <s v="No"/>
    <x v="5"/>
    <x v="1"/>
    <x v="1"/>
    <x v="11"/>
    <x v="0"/>
    <x v="1"/>
    <x v="0"/>
    <n v="35"/>
    <n v="0"/>
  </r>
  <r>
    <n v="1798"/>
    <x v="46"/>
    <x v="0"/>
    <s v="Belt"/>
    <x v="3"/>
    <n v="35"/>
    <s v="Oregon"/>
    <s v="L"/>
    <s v="Maroon"/>
    <x v="1"/>
    <x v="20"/>
    <s v="No"/>
    <x v="4"/>
    <x v="1"/>
    <x v="1"/>
    <x v="8"/>
    <x v="0"/>
    <x v="1"/>
    <x v="0"/>
    <n v="35"/>
    <n v="0"/>
  </r>
  <r>
    <n v="1799"/>
    <x v="37"/>
    <x v="0"/>
    <s v="Dress"/>
    <x v="0"/>
    <n v="82"/>
    <s v="North Dakota"/>
    <s v="L"/>
    <s v="Magenta"/>
    <x v="0"/>
    <x v="18"/>
    <s v="No"/>
    <x v="0"/>
    <x v="1"/>
    <x v="1"/>
    <x v="43"/>
    <x v="1"/>
    <x v="1"/>
    <x v="2"/>
    <n v="82"/>
    <n v="0"/>
  </r>
  <r>
    <n v="1800"/>
    <x v="45"/>
    <x v="0"/>
    <s v="Hoodie"/>
    <x v="0"/>
    <n v="48"/>
    <s v="California"/>
    <s v="M"/>
    <s v="Charcoal"/>
    <x v="3"/>
    <x v="20"/>
    <s v="No"/>
    <x v="0"/>
    <x v="1"/>
    <x v="1"/>
    <x v="39"/>
    <x v="0"/>
    <x v="1"/>
    <x v="2"/>
    <n v="48"/>
    <n v="0"/>
  </r>
  <r>
    <n v="1801"/>
    <x v="40"/>
    <x v="0"/>
    <s v="Coat"/>
    <x v="2"/>
    <n v="58"/>
    <s v="Mississippi"/>
    <s v="XL"/>
    <s v="Indigo"/>
    <x v="0"/>
    <x v="2"/>
    <s v="No"/>
    <x v="0"/>
    <x v="1"/>
    <x v="1"/>
    <x v="48"/>
    <x v="2"/>
    <x v="1"/>
    <x v="1"/>
    <n v="58"/>
    <n v="0"/>
  </r>
  <r>
    <n v="1802"/>
    <x v="23"/>
    <x v="0"/>
    <s v="Sweater"/>
    <x v="0"/>
    <n v="57"/>
    <s v="New Jersey"/>
    <s v="M"/>
    <s v="Turquoise"/>
    <x v="1"/>
    <x v="20"/>
    <s v="No"/>
    <x v="0"/>
    <x v="1"/>
    <x v="1"/>
    <x v="26"/>
    <x v="5"/>
    <x v="0"/>
    <x v="2"/>
    <n v="57"/>
    <n v="0"/>
  </r>
  <r>
    <n v="1803"/>
    <x v="9"/>
    <x v="0"/>
    <s v="Shorts"/>
    <x v="0"/>
    <n v="96"/>
    <s v="Rhode Island"/>
    <s v="L"/>
    <s v="Turquoise"/>
    <x v="0"/>
    <x v="5"/>
    <s v="No"/>
    <x v="5"/>
    <x v="1"/>
    <x v="1"/>
    <x v="4"/>
    <x v="0"/>
    <x v="4"/>
    <x v="0"/>
    <n v="96"/>
    <n v="0"/>
  </r>
  <r>
    <n v="1804"/>
    <x v="52"/>
    <x v="0"/>
    <s v="Sneakers"/>
    <x v="1"/>
    <n v="97"/>
    <s v="New Hampshire"/>
    <s v="S"/>
    <s v="Gray"/>
    <x v="2"/>
    <x v="1"/>
    <s v="No"/>
    <x v="1"/>
    <x v="1"/>
    <x v="1"/>
    <x v="42"/>
    <x v="0"/>
    <x v="0"/>
    <x v="0"/>
    <n v="97"/>
    <n v="0"/>
  </r>
  <r>
    <n v="1805"/>
    <x v="11"/>
    <x v="0"/>
    <s v="Sweater"/>
    <x v="0"/>
    <n v="42"/>
    <s v="Louisiana"/>
    <s v="L"/>
    <s v="Peach"/>
    <x v="0"/>
    <x v="14"/>
    <s v="No"/>
    <x v="2"/>
    <x v="1"/>
    <x v="1"/>
    <x v="30"/>
    <x v="2"/>
    <x v="1"/>
    <x v="2"/>
    <n v="42"/>
    <n v="0"/>
  </r>
  <r>
    <n v="1806"/>
    <x v="38"/>
    <x v="0"/>
    <s v="T-shirt"/>
    <x v="0"/>
    <n v="62"/>
    <s v="Arizona"/>
    <s v="L"/>
    <s v="Gold"/>
    <x v="1"/>
    <x v="8"/>
    <s v="No"/>
    <x v="5"/>
    <x v="1"/>
    <x v="1"/>
    <x v="15"/>
    <x v="5"/>
    <x v="1"/>
    <x v="2"/>
    <n v="62"/>
    <n v="0"/>
  </r>
  <r>
    <n v="1807"/>
    <x v="44"/>
    <x v="0"/>
    <s v="Handbag"/>
    <x v="3"/>
    <n v="67"/>
    <s v="Rhode Island"/>
    <s v="M"/>
    <s v="Green"/>
    <x v="3"/>
    <x v="20"/>
    <s v="No"/>
    <x v="3"/>
    <x v="1"/>
    <x v="1"/>
    <x v="37"/>
    <x v="0"/>
    <x v="2"/>
    <x v="0"/>
    <n v="67"/>
    <n v="0"/>
  </r>
  <r>
    <n v="1808"/>
    <x v="50"/>
    <x v="0"/>
    <s v="Sneakers"/>
    <x v="1"/>
    <n v="46"/>
    <s v="Vermont"/>
    <s v="L"/>
    <s v="Gold"/>
    <x v="2"/>
    <x v="1"/>
    <s v="No"/>
    <x v="3"/>
    <x v="1"/>
    <x v="1"/>
    <x v="10"/>
    <x v="0"/>
    <x v="0"/>
    <x v="2"/>
    <n v="46"/>
    <n v="0"/>
  </r>
  <r>
    <n v="1809"/>
    <x v="29"/>
    <x v="0"/>
    <s v="Jacket"/>
    <x v="2"/>
    <n v="71"/>
    <s v="Tennessee"/>
    <s v="M"/>
    <s v="Lavender"/>
    <x v="1"/>
    <x v="24"/>
    <s v="No"/>
    <x v="2"/>
    <x v="1"/>
    <x v="1"/>
    <x v="22"/>
    <x v="5"/>
    <x v="5"/>
    <x v="0"/>
    <n v="71"/>
    <n v="0"/>
  </r>
  <r>
    <n v="1810"/>
    <x v="44"/>
    <x v="0"/>
    <s v="Backpack"/>
    <x v="3"/>
    <n v="99"/>
    <s v="Alaska"/>
    <s v="S"/>
    <s v="Blue"/>
    <x v="3"/>
    <x v="23"/>
    <s v="No"/>
    <x v="1"/>
    <x v="1"/>
    <x v="1"/>
    <x v="49"/>
    <x v="5"/>
    <x v="0"/>
    <x v="0"/>
    <n v="99"/>
    <n v="0"/>
  </r>
  <r>
    <n v="1811"/>
    <x v="38"/>
    <x v="0"/>
    <s v="Jeans"/>
    <x v="0"/>
    <n v="28"/>
    <s v="Maryland"/>
    <s v="M"/>
    <s v="Magenta"/>
    <x v="3"/>
    <x v="2"/>
    <s v="No"/>
    <x v="3"/>
    <x v="1"/>
    <x v="1"/>
    <x v="20"/>
    <x v="1"/>
    <x v="4"/>
    <x v="2"/>
    <n v="28"/>
    <n v="0"/>
  </r>
  <r>
    <n v="1812"/>
    <x v="32"/>
    <x v="0"/>
    <s v="Belt"/>
    <x v="3"/>
    <n v="77"/>
    <s v="Wisconsin"/>
    <s v="L"/>
    <s v="Blue"/>
    <x v="2"/>
    <x v="15"/>
    <s v="No"/>
    <x v="3"/>
    <x v="1"/>
    <x v="1"/>
    <x v="42"/>
    <x v="4"/>
    <x v="2"/>
    <x v="2"/>
    <n v="77"/>
    <n v="0"/>
  </r>
  <r>
    <n v="1813"/>
    <x v="2"/>
    <x v="0"/>
    <s v="Boots"/>
    <x v="1"/>
    <n v="63"/>
    <s v="Nevada"/>
    <s v="S"/>
    <s v="Blue"/>
    <x v="2"/>
    <x v="8"/>
    <s v="No"/>
    <x v="0"/>
    <x v="1"/>
    <x v="1"/>
    <x v="27"/>
    <x v="3"/>
    <x v="4"/>
    <x v="2"/>
    <n v="63"/>
    <n v="0"/>
  </r>
  <r>
    <n v="1814"/>
    <x v="37"/>
    <x v="0"/>
    <s v="Shorts"/>
    <x v="0"/>
    <n v="62"/>
    <s v="Illinois"/>
    <s v="M"/>
    <s v="Olive"/>
    <x v="1"/>
    <x v="1"/>
    <s v="No"/>
    <x v="1"/>
    <x v="1"/>
    <x v="1"/>
    <x v="37"/>
    <x v="3"/>
    <x v="1"/>
    <x v="2"/>
    <n v="62"/>
    <n v="0"/>
  </r>
  <r>
    <n v="1815"/>
    <x v="45"/>
    <x v="0"/>
    <s v="Jeans"/>
    <x v="0"/>
    <n v="92"/>
    <s v="Montana"/>
    <s v="M"/>
    <s v="White"/>
    <x v="2"/>
    <x v="22"/>
    <s v="No"/>
    <x v="1"/>
    <x v="1"/>
    <x v="1"/>
    <x v="37"/>
    <x v="1"/>
    <x v="3"/>
    <x v="2"/>
    <n v="92"/>
    <n v="0"/>
  </r>
  <r>
    <n v="1816"/>
    <x v="47"/>
    <x v="0"/>
    <s v="Shoes"/>
    <x v="1"/>
    <n v="72"/>
    <s v="New Mexico"/>
    <s v="L"/>
    <s v="White"/>
    <x v="0"/>
    <x v="9"/>
    <s v="No"/>
    <x v="4"/>
    <x v="1"/>
    <x v="1"/>
    <x v="26"/>
    <x v="2"/>
    <x v="6"/>
    <x v="0"/>
    <n v="72"/>
    <n v="0"/>
  </r>
  <r>
    <n v="1817"/>
    <x v="8"/>
    <x v="0"/>
    <s v="Hat"/>
    <x v="3"/>
    <n v="79"/>
    <s v="Virginia"/>
    <s v="M"/>
    <s v="Purple"/>
    <x v="2"/>
    <x v="17"/>
    <s v="No"/>
    <x v="0"/>
    <x v="1"/>
    <x v="1"/>
    <x v="7"/>
    <x v="1"/>
    <x v="1"/>
    <x v="2"/>
    <n v="79"/>
    <n v="0"/>
  </r>
  <r>
    <n v="1818"/>
    <x v="45"/>
    <x v="0"/>
    <s v="T-shirt"/>
    <x v="0"/>
    <n v="27"/>
    <s v="Delaware"/>
    <s v="M"/>
    <s v="White"/>
    <x v="2"/>
    <x v="10"/>
    <s v="No"/>
    <x v="1"/>
    <x v="1"/>
    <x v="1"/>
    <x v="41"/>
    <x v="1"/>
    <x v="1"/>
    <x v="2"/>
    <n v="27"/>
    <n v="0"/>
  </r>
  <r>
    <n v="1819"/>
    <x v="44"/>
    <x v="0"/>
    <s v="Sunglasses"/>
    <x v="3"/>
    <n v="39"/>
    <s v="North Carolina"/>
    <s v="M"/>
    <s v="White"/>
    <x v="3"/>
    <x v="22"/>
    <s v="No"/>
    <x v="0"/>
    <x v="1"/>
    <x v="1"/>
    <x v="39"/>
    <x v="5"/>
    <x v="6"/>
    <x v="0"/>
    <n v="39"/>
    <n v="0"/>
  </r>
  <r>
    <n v="1820"/>
    <x v="47"/>
    <x v="0"/>
    <s v="Socks"/>
    <x v="0"/>
    <n v="86"/>
    <s v="Nevada"/>
    <s v="S"/>
    <s v="Peach"/>
    <x v="1"/>
    <x v="9"/>
    <s v="No"/>
    <x v="2"/>
    <x v="1"/>
    <x v="1"/>
    <x v="16"/>
    <x v="1"/>
    <x v="3"/>
    <x v="0"/>
    <n v="86"/>
    <n v="0"/>
  </r>
  <r>
    <n v="1821"/>
    <x v="1"/>
    <x v="0"/>
    <s v="Shirt"/>
    <x v="0"/>
    <n v="94"/>
    <s v="Washington"/>
    <s v="XL"/>
    <s v="Gold"/>
    <x v="3"/>
    <x v="16"/>
    <s v="No"/>
    <x v="0"/>
    <x v="1"/>
    <x v="1"/>
    <x v="4"/>
    <x v="3"/>
    <x v="5"/>
    <x v="1"/>
    <n v="94"/>
    <n v="0"/>
  </r>
  <r>
    <n v="1822"/>
    <x v="9"/>
    <x v="0"/>
    <s v="Shorts"/>
    <x v="0"/>
    <n v="53"/>
    <s v="Maine"/>
    <s v="M"/>
    <s v="Teal"/>
    <x v="1"/>
    <x v="11"/>
    <s v="No"/>
    <x v="0"/>
    <x v="1"/>
    <x v="1"/>
    <x v="32"/>
    <x v="3"/>
    <x v="3"/>
    <x v="0"/>
    <n v="53"/>
    <n v="0"/>
  </r>
  <r>
    <n v="1823"/>
    <x v="17"/>
    <x v="0"/>
    <s v="Shirt"/>
    <x v="0"/>
    <n v="85"/>
    <s v="Connecticut"/>
    <s v="S"/>
    <s v="Cyan"/>
    <x v="2"/>
    <x v="14"/>
    <s v="No"/>
    <x v="3"/>
    <x v="1"/>
    <x v="1"/>
    <x v="7"/>
    <x v="1"/>
    <x v="2"/>
    <x v="0"/>
    <n v="85"/>
    <n v="0"/>
  </r>
  <r>
    <n v="1824"/>
    <x v="46"/>
    <x v="0"/>
    <s v="Socks"/>
    <x v="0"/>
    <n v="50"/>
    <s v="Louisiana"/>
    <s v="L"/>
    <s v="Pink"/>
    <x v="3"/>
    <x v="10"/>
    <s v="No"/>
    <x v="1"/>
    <x v="1"/>
    <x v="1"/>
    <x v="19"/>
    <x v="4"/>
    <x v="4"/>
    <x v="0"/>
    <n v="50"/>
    <n v="0"/>
  </r>
  <r>
    <n v="1825"/>
    <x v="44"/>
    <x v="0"/>
    <s v="Pants"/>
    <x v="0"/>
    <n v="47"/>
    <s v="Illinois"/>
    <s v="XL"/>
    <s v="Magenta"/>
    <x v="0"/>
    <x v="22"/>
    <s v="No"/>
    <x v="0"/>
    <x v="1"/>
    <x v="1"/>
    <x v="4"/>
    <x v="1"/>
    <x v="5"/>
    <x v="0"/>
    <n v="47"/>
    <n v="0"/>
  </r>
  <r>
    <n v="1826"/>
    <x v="51"/>
    <x v="0"/>
    <s v="Boots"/>
    <x v="1"/>
    <n v="75"/>
    <s v="South Dakota"/>
    <s v="M"/>
    <s v="Pink"/>
    <x v="0"/>
    <x v="8"/>
    <s v="No"/>
    <x v="2"/>
    <x v="1"/>
    <x v="1"/>
    <x v="23"/>
    <x v="2"/>
    <x v="1"/>
    <x v="1"/>
    <n v="75"/>
    <n v="0"/>
  </r>
  <r>
    <n v="1827"/>
    <x v="4"/>
    <x v="0"/>
    <s v="T-shirt"/>
    <x v="0"/>
    <n v="60"/>
    <s v="Indiana"/>
    <s v="M"/>
    <s v="Turquoise"/>
    <x v="0"/>
    <x v="19"/>
    <s v="No"/>
    <x v="0"/>
    <x v="1"/>
    <x v="1"/>
    <x v="12"/>
    <x v="5"/>
    <x v="2"/>
    <x v="2"/>
    <n v="60"/>
    <n v="0"/>
  </r>
  <r>
    <n v="1828"/>
    <x v="30"/>
    <x v="0"/>
    <s v="T-shirt"/>
    <x v="0"/>
    <n v="36"/>
    <s v="Vermont"/>
    <s v="S"/>
    <s v="Pink"/>
    <x v="1"/>
    <x v="8"/>
    <s v="No"/>
    <x v="4"/>
    <x v="1"/>
    <x v="1"/>
    <x v="4"/>
    <x v="4"/>
    <x v="1"/>
    <x v="1"/>
    <n v="36"/>
    <n v="0"/>
  </r>
  <r>
    <n v="1829"/>
    <x v="23"/>
    <x v="0"/>
    <s v="Coat"/>
    <x v="2"/>
    <n v="80"/>
    <s v="New Hampshire"/>
    <s v="L"/>
    <s v="Gray"/>
    <x v="1"/>
    <x v="20"/>
    <s v="No"/>
    <x v="0"/>
    <x v="1"/>
    <x v="1"/>
    <x v="24"/>
    <x v="1"/>
    <x v="6"/>
    <x v="2"/>
    <n v="80"/>
    <n v="0"/>
  </r>
  <r>
    <n v="1830"/>
    <x v="11"/>
    <x v="0"/>
    <s v="Hat"/>
    <x v="3"/>
    <n v="96"/>
    <s v="Oregon"/>
    <s v="M"/>
    <s v="White"/>
    <x v="1"/>
    <x v="8"/>
    <s v="No"/>
    <x v="4"/>
    <x v="1"/>
    <x v="1"/>
    <x v="16"/>
    <x v="2"/>
    <x v="3"/>
    <x v="2"/>
    <n v="96"/>
    <n v="0"/>
  </r>
  <r>
    <n v="1831"/>
    <x v="2"/>
    <x v="0"/>
    <s v="Sunglasses"/>
    <x v="3"/>
    <n v="80"/>
    <s v="Kansas"/>
    <s v="M"/>
    <s v="Blue"/>
    <x v="0"/>
    <x v="6"/>
    <s v="No"/>
    <x v="0"/>
    <x v="1"/>
    <x v="1"/>
    <x v="22"/>
    <x v="0"/>
    <x v="2"/>
    <x v="2"/>
    <n v="80"/>
    <n v="0"/>
  </r>
  <r>
    <n v="1832"/>
    <x v="46"/>
    <x v="0"/>
    <s v="Blouse"/>
    <x v="0"/>
    <n v="71"/>
    <s v="Maine"/>
    <s v="M"/>
    <s v="Cyan"/>
    <x v="2"/>
    <x v="13"/>
    <s v="No"/>
    <x v="1"/>
    <x v="1"/>
    <x v="1"/>
    <x v="36"/>
    <x v="4"/>
    <x v="6"/>
    <x v="0"/>
    <n v="71"/>
    <n v="0"/>
  </r>
  <r>
    <n v="1833"/>
    <x v="28"/>
    <x v="0"/>
    <s v="Jewelry"/>
    <x v="3"/>
    <n v="29"/>
    <s v="Louisiana"/>
    <s v="M"/>
    <s v="Blue"/>
    <x v="3"/>
    <x v="12"/>
    <s v="No"/>
    <x v="1"/>
    <x v="1"/>
    <x v="1"/>
    <x v="26"/>
    <x v="1"/>
    <x v="5"/>
    <x v="0"/>
    <n v="29"/>
    <n v="0"/>
  </r>
  <r>
    <n v="1834"/>
    <x v="50"/>
    <x v="0"/>
    <s v="Jewelry"/>
    <x v="3"/>
    <n v="53"/>
    <s v="Louisiana"/>
    <s v="M"/>
    <s v="Yellow"/>
    <x v="1"/>
    <x v="9"/>
    <s v="No"/>
    <x v="4"/>
    <x v="1"/>
    <x v="1"/>
    <x v="5"/>
    <x v="3"/>
    <x v="0"/>
    <x v="2"/>
    <n v="53"/>
    <n v="0"/>
  </r>
  <r>
    <n v="1835"/>
    <x v="34"/>
    <x v="0"/>
    <s v="Skirt"/>
    <x v="0"/>
    <n v="35"/>
    <s v="Indiana"/>
    <s v="M"/>
    <s v="Charcoal"/>
    <x v="2"/>
    <x v="7"/>
    <s v="No"/>
    <x v="4"/>
    <x v="1"/>
    <x v="1"/>
    <x v="30"/>
    <x v="0"/>
    <x v="0"/>
    <x v="2"/>
    <n v="35"/>
    <n v="0"/>
  </r>
  <r>
    <n v="1836"/>
    <x v="13"/>
    <x v="0"/>
    <s v="Scarf"/>
    <x v="3"/>
    <n v="75"/>
    <s v="Kentucky"/>
    <s v="M"/>
    <s v="Lavender"/>
    <x v="3"/>
    <x v="4"/>
    <s v="No"/>
    <x v="4"/>
    <x v="1"/>
    <x v="1"/>
    <x v="24"/>
    <x v="2"/>
    <x v="3"/>
    <x v="0"/>
    <n v="75"/>
    <n v="0"/>
  </r>
  <r>
    <n v="1837"/>
    <x v="17"/>
    <x v="0"/>
    <s v="Pants"/>
    <x v="0"/>
    <n v="52"/>
    <s v="South Carolina"/>
    <s v="M"/>
    <s v="Teal"/>
    <x v="3"/>
    <x v="19"/>
    <s v="No"/>
    <x v="4"/>
    <x v="1"/>
    <x v="1"/>
    <x v="31"/>
    <x v="2"/>
    <x v="5"/>
    <x v="0"/>
    <n v="52"/>
    <n v="0"/>
  </r>
  <r>
    <n v="1838"/>
    <x v="38"/>
    <x v="0"/>
    <s v="Hat"/>
    <x v="3"/>
    <n v="77"/>
    <s v="Montana"/>
    <s v="M"/>
    <s v="Beige"/>
    <x v="0"/>
    <x v="6"/>
    <s v="No"/>
    <x v="1"/>
    <x v="1"/>
    <x v="1"/>
    <x v="6"/>
    <x v="0"/>
    <x v="5"/>
    <x v="2"/>
    <n v="77"/>
    <n v="0"/>
  </r>
  <r>
    <n v="1839"/>
    <x v="43"/>
    <x v="0"/>
    <s v="Gloves"/>
    <x v="3"/>
    <n v="24"/>
    <s v="Vermont"/>
    <s v="L"/>
    <s v="Blue"/>
    <x v="3"/>
    <x v="7"/>
    <s v="No"/>
    <x v="2"/>
    <x v="1"/>
    <x v="1"/>
    <x v="47"/>
    <x v="2"/>
    <x v="3"/>
    <x v="2"/>
    <n v="24"/>
    <n v="0"/>
  </r>
  <r>
    <n v="1840"/>
    <x v="45"/>
    <x v="0"/>
    <s v="Shirt"/>
    <x v="0"/>
    <n v="78"/>
    <s v="Mississippi"/>
    <s v="XL"/>
    <s v="Purple"/>
    <x v="0"/>
    <x v="18"/>
    <s v="No"/>
    <x v="5"/>
    <x v="1"/>
    <x v="1"/>
    <x v="18"/>
    <x v="1"/>
    <x v="2"/>
    <x v="2"/>
    <n v="78"/>
    <n v="0"/>
  </r>
  <r>
    <n v="1841"/>
    <x v="32"/>
    <x v="0"/>
    <s v="Sandals"/>
    <x v="1"/>
    <n v="98"/>
    <s v="Wyoming"/>
    <s v="M"/>
    <s v="Gold"/>
    <x v="0"/>
    <x v="5"/>
    <s v="No"/>
    <x v="5"/>
    <x v="1"/>
    <x v="1"/>
    <x v="15"/>
    <x v="4"/>
    <x v="6"/>
    <x v="2"/>
    <n v="98"/>
    <n v="0"/>
  </r>
  <r>
    <n v="1842"/>
    <x v="18"/>
    <x v="0"/>
    <s v="Socks"/>
    <x v="0"/>
    <n v="57"/>
    <s v="Vermont"/>
    <s v="L"/>
    <s v="Blue"/>
    <x v="0"/>
    <x v="21"/>
    <s v="No"/>
    <x v="3"/>
    <x v="1"/>
    <x v="1"/>
    <x v="22"/>
    <x v="3"/>
    <x v="6"/>
    <x v="2"/>
    <n v="57"/>
    <n v="0"/>
  </r>
  <r>
    <n v="1843"/>
    <x v="12"/>
    <x v="0"/>
    <s v="Handbag"/>
    <x v="3"/>
    <n v="78"/>
    <s v="Alabama"/>
    <s v="M"/>
    <s v="Black"/>
    <x v="2"/>
    <x v="14"/>
    <s v="No"/>
    <x v="0"/>
    <x v="1"/>
    <x v="1"/>
    <x v="43"/>
    <x v="5"/>
    <x v="2"/>
    <x v="0"/>
    <n v="78"/>
    <n v="0"/>
  </r>
  <r>
    <n v="1844"/>
    <x v="24"/>
    <x v="0"/>
    <s v="Jacket"/>
    <x v="2"/>
    <n v="76"/>
    <s v="Kentucky"/>
    <s v="M"/>
    <s v="Charcoal"/>
    <x v="3"/>
    <x v="10"/>
    <s v="No"/>
    <x v="2"/>
    <x v="1"/>
    <x v="1"/>
    <x v="18"/>
    <x v="2"/>
    <x v="5"/>
    <x v="2"/>
    <n v="76"/>
    <n v="0"/>
  </r>
  <r>
    <n v="1845"/>
    <x v="52"/>
    <x v="0"/>
    <s v="Shorts"/>
    <x v="0"/>
    <n v="26"/>
    <s v="South Dakota"/>
    <s v="M"/>
    <s v="Purple"/>
    <x v="1"/>
    <x v="2"/>
    <s v="No"/>
    <x v="4"/>
    <x v="1"/>
    <x v="1"/>
    <x v="4"/>
    <x v="2"/>
    <x v="2"/>
    <x v="0"/>
    <n v="26"/>
    <n v="0"/>
  </r>
  <r>
    <n v="1846"/>
    <x v="47"/>
    <x v="0"/>
    <s v="Sandals"/>
    <x v="1"/>
    <n v="78"/>
    <s v="Delaware"/>
    <s v="M"/>
    <s v="Orange"/>
    <x v="0"/>
    <x v="11"/>
    <s v="No"/>
    <x v="4"/>
    <x v="1"/>
    <x v="1"/>
    <x v="30"/>
    <x v="4"/>
    <x v="3"/>
    <x v="0"/>
    <n v="78"/>
    <n v="0"/>
  </r>
  <r>
    <n v="1847"/>
    <x v="33"/>
    <x v="0"/>
    <s v="Scarf"/>
    <x v="3"/>
    <n v="53"/>
    <s v="Wisconsin"/>
    <s v="M"/>
    <s v="Yellow"/>
    <x v="2"/>
    <x v="3"/>
    <s v="No"/>
    <x v="3"/>
    <x v="1"/>
    <x v="1"/>
    <x v="44"/>
    <x v="0"/>
    <x v="3"/>
    <x v="0"/>
    <n v="53"/>
    <n v="0"/>
  </r>
  <r>
    <n v="1848"/>
    <x v="5"/>
    <x v="0"/>
    <s v="Sandals"/>
    <x v="1"/>
    <n v="100"/>
    <s v="Arizona"/>
    <s v="XL"/>
    <s v="Cyan"/>
    <x v="2"/>
    <x v="14"/>
    <s v="No"/>
    <x v="1"/>
    <x v="1"/>
    <x v="1"/>
    <x v="3"/>
    <x v="2"/>
    <x v="1"/>
    <x v="2"/>
    <n v="100"/>
    <n v="0"/>
  </r>
  <r>
    <n v="1849"/>
    <x v="1"/>
    <x v="0"/>
    <s v="Jeans"/>
    <x v="0"/>
    <n v="73"/>
    <s v="Maine"/>
    <s v="XL"/>
    <s v="Yellow"/>
    <x v="0"/>
    <x v="2"/>
    <s v="No"/>
    <x v="0"/>
    <x v="1"/>
    <x v="1"/>
    <x v="11"/>
    <x v="1"/>
    <x v="6"/>
    <x v="1"/>
    <n v="73"/>
    <n v="0"/>
  </r>
  <r>
    <n v="1850"/>
    <x v="11"/>
    <x v="0"/>
    <s v="Skirt"/>
    <x v="0"/>
    <n v="40"/>
    <s v="New Mexico"/>
    <s v="M"/>
    <s v="Maroon"/>
    <x v="0"/>
    <x v="9"/>
    <s v="No"/>
    <x v="5"/>
    <x v="1"/>
    <x v="1"/>
    <x v="31"/>
    <x v="4"/>
    <x v="5"/>
    <x v="2"/>
    <n v="40"/>
    <n v="0"/>
  </r>
  <r>
    <n v="1851"/>
    <x v="47"/>
    <x v="0"/>
    <s v="Gloves"/>
    <x v="3"/>
    <n v="76"/>
    <s v="Wyoming"/>
    <s v="S"/>
    <s v="Black"/>
    <x v="0"/>
    <x v="11"/>
    <s v="No"/>
    <x v="5"/>
    <x v="1"/>
    <x v="1"/>
    <x v="16"/>
    <x v="5"/>
    <x v="1"/>
    <x v="0"/>
    <n v="76"/>
    <n v="0"/>
  </r>
  <r>
    <n v="1852"/>
    <x v="48"/>
    <x v="0"/>
    <s v="Skirt"/>
    <x v="0"/>
    <n v="80"/>
    <s v="Delaware"/>
    <s v="S"/>
    <s v="Lavender"/>
    <x v="3"/>
    <x v="0"/>
    <s v="No"/>
    <x v="1"/>
    <x v="1"/>
    <x v="1"/>
    <x v="7"/>
    <x v="4"/>
    <x v="0"/>
    <x v="2"/>
    <n v="80"/>
    <n v="0"/>
  </r>
  <r>
    <n v="1853"/>
    <x v="38"/>
    <x v="0"/>
    <s v="Sweater"/>
    <x v="0"/>
    <n v="80"/>
    <s v="Pennsylvania"/>
    <s v="XL"/>
    <s v="Violet"/>
    <x v="0"/>
    <x v="22"/>
    <s v="No"/>
    <x v="5"/>
    <x v="1"/>
    <x v="1"/>
    <x v="18"/>
    <x v="1"/>
    <x v="1"/>
    <x v="2"/>
    <n v="80"/>
    <n v="0"/>
  </r>
  <r>
    <n v="1854"/>
    <x v="26"/>
    <x v="0"/>
    <s v="Blouse"/>
    <x v="0"/>
    <n v="67"/>
    <s v="North Dakota"/>
    <s v="XL"/>
    <s v="Olive"/>
    <x v="1"/>
    <x v="3"/>
    <s v="No"/>
    <x v="0"/>
    <x v="1"/>
    <x v="1"/>
    <x v="47"/>
    <x v="3"/>
    <x v="0"/>
    <x v="2"/>
    <n v="67"/>
    <n v="0"/>
  </r>
  <r>
    <n v="1855"/>
    <x v="15"/>
    <x v="0"/>
    <s v="Sweater"/>
    <x v="0"/>
    <n v="61"/>
    <s v="Kentucky"/>
    <s v="M"/>
    <s v="Teal"/>
    <x v="1"/>
    <x v="22"/>
    <s v="No"/>
    <x v="0"/>
    <x v="1"/>
    <x v="1"/>
    <x v="3"/>
    <x v="2"/>
    <x v="2"/>
    <x v="1"/>
    <n v="61"/>
    <n v="0"/>
  </r>
  <r>
    <n v="1856"/>
    <x v="52"/>
    <x v="0"/>
    <s v="Shirt"/>
    <x v="0"/>
    <n v="76"/>
    <s v="Rhode Island"/>
    <s v="XL"/>
    <s v="Teal"/>
    <x v="1"/>
    <x v="10"/>
    <s v="No"/>
    <x v="3"/>
    <x v="1"/>
    <x v="1"/>
    <x v="44"/>
    <x v="1"/>
    <x v="2"/>
    <x v="0"/>
    <n v="76"/>
    <n v="0"/>
  </r>
  <r>
    <n v="1857"/>
    <x v="6"/>
    <x v="0"/>
    <s v="Jewelry"/>
    <x v="3"/>
    <n v="55"/>
    <s v="Arizona"/>
    <s v="XL"/>
    <s v="Beige"/>
    <x v="2"/>
    <x v="4"/>
    <s v="No"/>
    <x v="1"/>
    <x v="1"/>
    <x v="1"/>
    <x v="48"/>
    <x v="3"/>
    <x v="4"/>
    <x v="0"/>
    <n v="55"/>
    <n v="0"/>
  </r>
  <r>
    <n v="1858"/>
    <x v="47"/>
    <x v="0"/>
    <s v="T-shirt"/>
    <x v="0"/>
    <n v="85"/>
    <s v="Colorado"/>
    <s v="L"/>
    <s v="Maroon"/>
    <x v="2"/>
    <x v="17"/>
    <s v="No"/>
    <x v="2"/>
    <x v="1"/>
    <x v="1"/>
    <x v="42"/>
    <x v="1"/>
    <x v="5"/>
    <x v="0"/>
    <n v="85"/>
    <n v="0"/>
  </r>
  <r>
    <n v="1859"/>
    <x v="40"/>
    <x v="0"/>
    <s v="Scarf"/>
    <x v="3"/>
    <n v="69"/>
    <s v="Maine"/>
    <s v="S"/>
    <s v="Peach"/>
    <x v="1"/>
    <x v="8"/>
    <s v="No"/>
    <x v="4"/>
    <x v="1"/>
    <x v="1"/>
    <x v="6"/>
    <x v="5"/>
    <x v="2"/>
    <x v="1"/>
    <n v="69"/>
    <n v="0"/>
  </r>
  <r>
    <n v="1860"/>
    <x v="22"/>
    <x v="0"/>
    <s v="Belt"/>
    <x v="3"/>
    <n v="26"/>
    <s v="New Jersey"/>
    <s v="L"/>
    <s v="Beige"/>
    <x v="2"/>
    <x v="18"/>
    <s v="No"/>
    <x v="5"/>
    <x v="1"/>
    <x v="1"/>
    <x v="32"/>
    <x v="5"/>
    <x v="0"/>
    <x v="0"/>
    <n v="26"/>
    <n v="0"/>
  </r>
  <r>
    <n v="1861"/>
    <x v="20"/>
    <x v="0"/>
    <s v="T-shirt"/>
    <x v="0"/>
    <n v="64"/>
    <s v="Kansas"/>
    <s v="M"/>
    <s v="Silver"/>
    <x v="2"/>
    <x v="6"/>
    <s v="No"/>
    <x v="2"/>
    <x v="1"/>
    <x v="1"/>
    <x v="7"/>
    <x v="2"/>
    <x v="5"/>
    <x v="1"/>
    <n v="64"/>
    <n v="0"/>
  </r>
  <r>
    <n v="1862"/>
    <x v="26"/>
    <x v="0"/>
    <s v="Sneakers"/>
    <x v="1"/>
    <n v="60"/>
    <s v="South Dakota"/>
    <s v="S"/>
    <s v="Peach"/>
    <x v="3"/>
    <x v="15"/>
    <s v="No"/>
    <x v="3"/>
    <x v="1"/>
    <x v="1"/>
    <x v="5"/>
    <x v="5"/>
    <x v="5"/>
    <x v="2"/>
    <n v="60"/>
    <n v="0"/>
  </r>
  <r>
    <n v="1863"/>
    <x v="35"/>
    <x v="0"/>
    <s v="Gloves"/>
    <x v="3"/>
    <n v="36"/>
    <s v="New Hampshire"/>
    <s v="M"/>
    <s v="Turquoise"/>
    <x v="0"/>
    <x v="12"/>
    <s v="No"/>
    <x v="0"/>
    <x v="1"/>
    <x v="1"/>
    <x v="9"/>
    <x v="3"/>
    <x v="0"/>
    <x v="0"/>
    <n v="36"/>
    <n v="0"/>
  </r>
  <r>
    <n v="1864"/>
    <x v="15"/>
    <x v="0"/>
    <s v="Sandals"/>
    <x v="1"/>
    <n v="21"/>
    <s v="Connecticut"/>
    <s v="L"/>
    <s v="Orange"/>
    <x v="1"/>
    <x v="24"/>
    <s v="No"/>
    <x v="4"/>
    <x v="1"/>
    <x v="1"/>
    <x v="30"/>
    <x v="5"/>
    <x v="5"/>
    <x v="1"/>
    <n v="21"/>
    <n v="0"/>
  </r>
  <r>
    <n v="1865"/>
    <x v="1"/>
    <x v="0"/>
    <s v="Backpack"/>
    <x v="3"/>
    <n v="72"/>
    <s v="Wyoming"/>
    <s v="S"/>
    <s v="Cyan"/>
    <x v="3"/>
    <x v="4"/>
    <s v="No"/>
    <x v="4"/>
    <x v="1"/>
    <x v="1"/>
    <x v="33"/>
    <x v="0"/>
    <x v="3"/>
    <x v="1"/>
    <n v="72"/>
    <n v="0"/>
  </r>
  <r>
    <n v="1866"/>
    <x v="19"/>
    <x v="0"/>
    <s v="Pants"/>
    <x v="0"/>
    <n v="62"/>
    <s v="Missouri"/>
    <s v="S"/>
    <s v="Silver"/>
    <x v="2"/>
    <x v="22"/>
    <s v="No"/>
    <x v="5"/>
    <x v="1"/>
    <x v="1"/>
    <x v="45"/>
    <x v="4"/>
    <x v="5"/>
    <x v="0"/>
    <n v="62"/>
    <n v="0"/>
  </r>
  <r>
    <n v="1867"/>
    <x v="18"/>
    <x v="0"/>
    <s v="T-shirt"/>
    <x v="0"/>
    <n v="44"/>
    <s v="Alaska"/>
    <s v="XL"/>
    <s v="Gold"/>
    <x v="0"/>
    <x v="19"/>
    <s v="No"/>
    <x v="3"/>
    <x v="1"/>
    <x v="1"/>
    <x v="44"/>
    <x v="2"/>
    <x v="0"/>
    <x v="2"/>
    <n v="44"/>
    <n v="0"/>
  </r>
  <r>
    <n v="1868"/>
    <x v="4"/>
    <x v="0"/>
    <s v="Skirt"/>
    <x v="0"/>
    <n v="52"/>
    <s v="Delaware"/>
    <s v="M"/>
    <s v="Brown"/>
    <x v="3"/>
    <x v="23"/>
    <s v="No"/>
    <x v="4"/>
    <x v="1"/>
    <x v="1"/>
    <x v="41"/>
    <x v="0"/>
    <x v="3"/>
    <x v="2"/>
    <n v="52"/>
    <n v="0"/>
  </r>
  <r>
    <n v="1869"/>
    <x v="51"/>
    <x v="0"/>
    <s v="Gloves"/>
    <x v="3"/>
    <n v="58"/>
    <s v="Indiana"/>
    <s v="M"/>
    <s v="Silver"/>
    <x v="1"/>
    <x v="10"/>
    <s v="No"/>
    <x v="2"/>
    <x v="1"/>
    <x v="1"/>
    <x v="12"/>
    <x v="1"/>
    <x v="0"/>
    <x v="1"/>
    <n v="58"/>
    <n v="0"/>
  </r>
  <r>
    <n v="1870"/>
    <x v="20"/>
    <x v="0"/>
    <s v="Blouse"/>
    <x v="0"/>
    <n v="77"/>
    <s v="West Virginia"/>
    <s v="S"/>
    <s v="Beige"/>
    <x v="1"/>
    <x v="20"/>
    <s v="No"/>
    <x v="4"/>
    <x v="1"/>
    <x v="1"/>
    <x v="20"/>
    <x v="5"/>
    <x v="6"/>
    <x v="1"/>
    <n v="77"/>
    <n v="0"/>
  </r>
  <r>
    <n v="1871"/>
    <x v="49"/>
    <x v="0"/>
    <s v="Blouse"/>
    <x v="0"/>
    <n v="99"/>
    <s v="Wyoming"/>
    <s v="L"/>
    <s v="Violet"/>
    <x v="1"/>
    <x v="24"/>
    <s v="No"/>
    <x v="5"/>
    <x v="1"/>
    <x v="1"/>
    <x v="46"/>
    <x v="5"/>
    <x v="0"/>
    <x v="2"/>
    <n v="99"/>
    <n v="0"/>
  </r>
  <r>
    <n v="1872"/>
    <x v="19"/>
    <x v="0"/>
    <s v="Jeans"/>
    <x v="0"/>
    <n v="96"/>
    <s v="Illinois"/>
    <s v="XL"/>
    <s v="Violet"/>
    <x v="3"/>
    <x v="2"/>
    <s v="No"/>
    <x v="3"/>
    <x v="1"/>
    <x v="1"/>
    <x v="0"/>
    <x v="1"/>
    <x v="6"/>
    <x v="0"/>
    <n v="96"/>
    <n v="0"/>
  </r>
  <r>
    <n v="1873"/>
    <x v="49"/>
    <x v="0"/>
    <s v="T-shirt"/>
    <x v="0"/>
    <n v="64"/>
    <s v="Alaska"/>
    <s v="M"/>
    <s v="Lavender"/>
    <x v="2"/>
    <x v="12"/>
    <s v="No"/>
    <x v="3"/>
    <x v="1"/>
    <x v="1"/>
    <x v="37"/>
    <x v="2"/>
    <x v="5"/>
    <x v="2"/>
    <n v="64"/>
    <n v="0"/>
  </r>
  <r>
    <n v="1874"/>
    <x v="14"/>
    <x v="0"/>
    <s v="Sweater"/>
    <x v="0"/>
    <n v="44"/>
    <s v="Wisconsin"/>
    <s v="XL"/>
    <s v="Red"/>
    <x v="3"/>
    <x v="3"/>
    <s v="No"/>
    <x v="0"/>
    <x v="1"/>
    <x v="1"/>
    <x v="3"/>
    <x v="4"/>
    <x v="1"/>
    <x v="0"/>
    <n v="44"/>
    <n v="0"/>
  </r>
  <r>
    <n v="1875"/>
    <x v="29"/>
    <x v="0"/>
    <s v="Pants"/>
    <x v="0"/>
    <n v="33"/>
    <s v="Indiana"/>
    <s v="L"/>
    <s v="Purple"/>
    <x v="3"/>
    <x v="15"/>
    <s v="No"/>
    <x v="1"/>
    <x v="1"/>
    <x v="1"/>
    <x v="0"/>
    <x v="1"/>
    <x v="1"/>
    <x v="0"/>
    <n v="33"/>
    <n v="0"/>
  </r>
  <r>
    <n v="1876"/>
    <x v="6"/>
    <x v="0"/>
    <s v="Boots"/>
    <x v="1"/>
    <n v="71"/>
    <s v="Tennessee"/>
    <s v="M"/>
    <s v="Brown"/>
    <x v="0"/>
    <x v="20"/>
    <s v="No"/>
    <x v="2"/>
    <x v="1"/>
    <x v="1"/>
    <x v="49"/>
    <x v="2"/>
    <x v="3"/>
    <x v="0"/>
    <n v="71"/>
    <n v="0"/>
  </r>
  <r>
    <n v="1877"/>
    <x v="22"/>
    <x v="0"/>
    <s v="Skirt"/>
    <x v="0"/>
    <n v="36"/>
    <s v="Illinois"/>
    <s v="M"/>
    <s v="Gray"/>
    <x v="3"/>
    <x v="5"/>
    <s v="No"/>
    <x v="3"/>
    <x v="1"/>
    <x v="1"/>
    <x v="41"/>
    <x v="0"/>
    <x v="3"/>
    <x v="0"/>
    <n v="36"/>
    <n v="0"/>
  </r>
  <r>
    <n v="1878"/>
    <x v="28"/>
    <x v="0"/>
    <s v="Gloves"/>
    <x v="3"/>
    <n v="62"/>
    <s v="Pennsylvania"/>
    <s v="L"/>
    <s v="Pink"/>
    <x v="3"/>
    <x v="15"/>
    <s v="No"/>
    <x v="0"/>
    <x v="1"/>
    <x v="1"/>
    <x v="35"/>
    <x v="2"/>
    <x v="2"/>
    <x v="0"/>
    <n v="62"/>
    <n v="0"/>
  </r>
  <r>
    <n v="1879"/>
    <x v="50"/>
    <x v="0"/>
    <s v="Socks"/>
    <x v="0"/>
    <n v="29"/>
    <s v="Oklahoma"/>
    <s v="L"/>
    <s v="Magenta"/>
    <x v="2"/>
    <x v="23"/>
    <s v="No"/>
    <x v="5"/>
    <x v="1"/>
    <x v="1"/>
    <x v="36"/>
    <x v="2"/>
    <x v="5"/>
    <x v="2"/>
    <n v="29"/>
    <n v="0"/>
  </r>
  <r>
    <n v="1880"/>
    <x v="19"/>
    <x v="0"/>
    <s v="T-shirt"/>
    <x v="0"/>
    <n v="33"/>
    <s v="Tennessee"/>
    <s v="L"/>
    <s v="Charcoal"/>
    <x v="1"/>
    <x v="1"/>
    <s v="No"/>
    <x v="0"/>
    <x v="1"/>
    <x v="1"/>
    <x v="15"/>
    <x v="1"/>
    <x v="4"/>
    <x v="0"/>
    <n v="33"/>
    <n v="0"/>
  </r>
  <r>
    <n v="1881"/>
    <x v="50"/>
    <x v="0"/>
    <s v="Blouse"/>
    <x v="0"/>
    <n v="33"/>
    <s v="New Jersey"/>
    <s v="L"/>
    <s v="Yellow"/>
    <x v="3"/>
    <x v="0"/>
    <s v="No"/>
    <x v="4"/>
    <x v="1"/>
    <x v="1"/>
    <x v="6"/>
    <x v="5"/>
    <x v="5"/>
    <x v="2"/>
    <n v="33"/>
    <n v="0"/>
  </r>
  <r>
    <n v="1882"/>
    <x v="44"/>
    <x v="0"/>
    <s v="Blouse"/>
    <x v="0"/>
    <n v="41"/>
    <s v="New Jersey"/>
    <s v="M"/>
    <s v="Red"/>
    <x v="0"/>
    <x v="24"/>
    <s v="No"/>
    <x v="3"/>
    <x v="1"/>
    <x v="1"/>
    <x v="21"/>
    <x v="1"/>
    <x v="4"/>
    <x v="0"/>
    <n v="41"/>
    <n v="0"/>
  </r>
  <r>
    <n v="1883"/>
    <x v="42"/>
    <x v="0"/>
    <s v="Scarf"/>
    <x v="3"/>
    <n v="54"/>
    <s v="Tennessee"/>
    <s v="L"/>
    <s v="Blue"/>
    <x v="0"/>
    <x v="16"/>
    <s v="No"/>
    <x v="5"/>
    <x v="1"/>
    <x v="1"/>
    <x v="29"/>
    <x v="4"/>
    <x v="3"/>
    <x v="2"/>
    <n v="54"/>
    <n v="0"/>
  </r>
  <r>
    <n v="1884"/>
    <x v="15"/>
    <x v="0"/>
    <s v="Backpack"/>
    <x v="3"/>
    <n v="58"/>
    <s v="Georgia"/>
    <s v="M"/>
    <s v="Cyan"/>
    <x v="1"/>
    <x v="8"/>
    <s v="No"/>
    <x v="5"/>
    <x v="1"/>
    <x v="1"/>
    <x v="30"/>
    <x v="5"/>
    <x v="0"/>
    <x v="1"/>
    <n v="58"/>
    <n v="0"/>
  </r>
  <r>
    <n v="1885"/>
    <x v="7"/>
    <x v="0"/>
    <s v="Shorts"/>
    <x v="0"/>
    <n v="30"/>
    <s v="Arizona"/>
    <s v="S"/>
    <s v="Pink"/>
    <x v="2"/>
    <x v="24"/>
    <s v="No"/>
    <x v="2"/>
    <x v="1"/>
    <x v="1"/>
    <x v="28"/>
    <x v="4"/>
    <x v="4"/>
    <x v="2"/>
    <n v="30"/>
    <n v="0"/>
  </r>
  <r>
    <n v="1886"/>
    <x v="8"/>
    <x v="0"/>
    <s v="Jewelry"/>
    <x v="3"/>
    <n v="53"/>
    <s v="Nevada"/>
    <s v="S"/>
    <s v="Maroon"/>
    <x v="0"/>
    <x v="14"/>
    <s v="No"/>
    <x v="3"/>
    <x v="1"/>
    <x v="1"/>
    <x v="31"/>
    <x v="1"/>
    <x v="5"/>
    <x v="2"/>
    <n v="53"/>
    <n v="0"/>
  </r>
  <r>
    <n v="1887"/>
    <x v="20"/>
    <x v="0"/>
    <s v="Gloves"/>
    <x v="3"/>
    <n v="91"/>
    <s v="Arkansas"/>
    <s v="L"/>
    <s v="Beige"/>
    <x v="1"/>
    <x v="14"/>
    <s v="No"/>
    <x v="2"/>
    <x v="1"/>
    <x v="1"/>
    <x v="15"/>
    <x v="1"/>
    <x v="4"/>
    <x v="1"/>
    <n v="91"/>
    <n v="0"/>
  </r>
  <r>
    <n v="1888"/>
    <x v="14"/>
    <x v="0"/>
    <s v="Hoodie"/>
    <x v="0"/>
    <n v="44"/>
    <s v="North Dakota"/>
    <s v="XL"/>
    <s v="Gold"/>
    <x v="3"/>
    <x v="1"/>
    <s v="No"/>
    <x v="0"/>
    <x v="1"/>
    <x v="1"/>
    <x v="35"/>
    <x v="3"/>
    <x v="5"/>
    <x v="0"/>
    <n v="44"/>
    <n v="0"/>
  </r>
  <r>
    <n v="1889"/>
    <x v="46"/>
    <x v="0"/>
    <s v="Hoodie"/>
    <x v="0"/>
    <n v="89"/>
    <s v="South Dakota"/>
    <s v="XL"/>
    <s v="Turquoise"/>
    <x v="0"/>
    <x v="23"/>
    <s v="No"/>
    <x v="1"/>
    <x v="1"/>
    <x v="1"/>
    <x v="26"/>
    <x v="2"/>
    <x v="1"/>
    <x v="0"/>
    <n v="89"/>
    <n v="0"/>
  </r>
  <r>
    <n v="1890"/>
    <x v="35"/>
    <x v="0"/>
    <s v="Skirt"/>
    <x v="0"/>
    <n v="57"/>
    <s v="North Carolina"/>
    <s v="L"/>
    <s v="Peach"/>
    <x v="1"/>
    <x v="25"/>
    <s v="No"/>
    <x v="2"/>
    <x v="1"/>
    <x v="1"/>
    <x v="46"/>
    <x v="4"/>
    <x v="1"/>
    <x v="0"/>
    <n v="57"/>
    <n v="0"/>
  </r>
  <r>
    <n v="1891"/>
    <x v="24"/>
    <x v="0"/>
    <s v="Sunglasses"/>
    <x v="3"/>
    <n v="57"/>
    <s v="Hawaii"/>
    <s v="M"/>
    <s v="Lavender"/>
    <x v="1"/>
    <x v="23"/>
    <s v="No"/>
    <x v="5"/>
    <x v="1"/>
    <x v="1"/>
    <x v="36"/>
    <x v="2"/>
    <x v="1"/>
    <x v="2"/>
    <n v="57"/>
    <n v="0"/>
  </r>
  <r>
    <n v="1892"/>
    <x v="28"/>
    <x v="0"/>
    <s v="Jewelry"/>
    <x v="3"/>
    <n v="74"/>
    <s v="New Hampshire"/>
    <s v="M"/>
    <s v="Gray"/>
    <x v="2"/>
    <x v="5"/>
    <s v="No"/>
    <x v="2"/>
    <x v="1"/>
    <x v="1"/>
    <x v="26"/>
    <x v="5"/>
    <x v="3"/>
    <x v="0"/>
    <n v="74"/>
    <n v="0"/>
  </r>
  <r>
    <n v="1893"/>
    <x v="31"/>
    <x v="0"/>
    <s v="Jacket"/>
    <x v="2"/>
    <n v="30"/>
    <s v="California"/>
    <s v="M"/>
    <s v="Blue"/>
    <x v="3"/>
    <x v="12"/>
    <s v="No"/>
    <x v="4"/>
    <x v="1"/>
    <x v="1"/>
    <x v="45"/>
    <x v="0"/>
    <x v="1"/>
    <x v="2"/>
    <n v="30"/>
    <n v="0"/>
  </r>
  <r>
    <n v="1894"/>
    <x v="48"/>
    <x v="0"/>
    <s v="Dress"/>
    <x v="0"/>
    <n v="20"/>
    <s v="Delaware"/>
    <s v="L"/>
    <s v="Red"/>
    <x v="2"/>
    <x v="18"/>
    <s v="No"/>
    <x v="0"/>
    <x v="1"/>
    <x v="1"/>
    <x v="9"/>
    <x v="3"/>
    <x v="0"/>
    <x v="2"/>
    <n v="20"/>
    <n v="0"/>
  </r>
  <r>
    <n v="1895"/>
    <x v="32"/>
    <x v="0"/>
    <s v="Hoodie"/>
    <x v="0"/>
    <n v="90"/>
    <s v="Arizona"/>
    <s v="M"/>
    <s v="Purple"/>
    <x v="3"/>
    <x v="25"/>
    <s v="No"/>
    <x v="1"/>
    <x v="1"/>
    <x v="1"/>
    <x v="26"/>
    <x v="5"/>
    <x v="4"/>
    <x v="2"/>
    <n v="90"/>
    <n v="0"/>
  </r>
  <r>
    <n v="1896"/>
    <x v="18"/>
    <x v="0"/>
    <s v="Jeans"/>
    <x v="0"/>
    <n v="61"/>
    <s v="Washington"/>
    <s v="L"/>
    <s v="Indigo"/>
    <x v="3"/>
    <x v="9"/>
    <s v="No"/>
    <x v="0"/>
    <x v="1"/>
    <x v="1"/>
    <x v="35"/>
    <x v="5"/>
    <x v="5"/>
    <x v="2"/>
    <n v="61"/>
    <n v="0"/>
  </r>
  <r>
    <n v="1897"/>
    <x v="9"/>
    <x v="0"/>
    <s v="Sandals"/>
    <x v="1"/>
    <n v="51"/>
    <s v="Nevada"/>
    <s v="M"/>
    <s v="Gold"/>
    <x v="3"/>
    <x v="3"/>
    <s v="No"/>
    <x v="3"/>
    <x v="1"/>
    <x v="1"/>
    <x v="5"/>
    <x v="0"/>
    <x v="5"/>
    <x v="0"/>
    <n v="51"/>
    <n v="0"/>
  </r>
  <r>
    <n v="1898"/>
    <x v="10"/>
    <x v="0"/>
    <s v="Sunglasses"/>
    <x v="3"/>
    <n v="97"/>
    <s v="Alaska"/>
    <s v="L"/>
    <s v="Teal"/>
    <x v="0"/>
    <x v="3"/>
    <s v="No"/>
    <x v="1"/>
    <x v="1"/>
    <x v="1"/>
    <x v="47"/>
    <x v="5"/>
    <x v="0"/>
    <x v="0"/>
    <n v="97"/>
    <n v="0"/>
  </r>
  <r>
    <n v="1899"/>
    <x v="35"/>
    <x v="0"/>
    <s v="Pants"/>
    <x v="0"/>
    <n v="97"/>
    <s v="Texas"/>
    <s v="L"/>
    <s v="Magenta"/>
    <x v="3"/>
    <x v="1"/>
    <s v="No"/>
    <x v="2"/>
    <x v="1"/>
    <x v="1"/>
    <x v="29"/>
    <x v="0"/>
    <x v="5"/>
    <x v="0"/>
    <n v="97"/>
    <n v="0"/>
  </r>
  <r>
    <n v="1900"/>
    <x v="45"/>
    <x v="0"/>
    <s v="Shorts"/>
    <x v="0"/>
    <n v="40"/>
    <s v="New York"/>
    <s v="L"/>
    <s v="Maroon"/>
    <x v="0"/>
    <x v="19"/>
    <s v="No"/>
    <x v="5"/>
    <x v="1"/>
    <x v="1"/>
    <x v="38"/>
    <x v="3"/>
    <x v="1"/>
    <x v="2"/>
    <n v="40"/>
    <n v="0"/>
  </r>
  <r>
    <n v="1901"/>
    <x v="13"/>
    <x v="0"/>
    <s v="Jewelry"/>
    <x v="3"/>
    <n v="85"/>
    <s v="Iowa"/>
    <s v="S"/>
    <s v="Blue"/>
    <x v="2"/>
    <x v="13"/>
    <s v="No"/>
    <x v="1"/>
    <x v="1"/>
    <x v="1"/>
    <x v="11"/>
    <x v="1"/>
    <x v="3"/>
    <x v="0"/>
    <n v="85"/>
    <n v="0"/>
  </r>
  <r>
    <n v="1902"/>
    <x v="19"/>
    <x v="0"/>
    <s v="Socks"/>
    <x v="0"/>
    <n v="76"/>
    <s v="Arizona"/>
    <s v="S"/>
    <s v="Beige"/>
    <x v="0"/>
    <x v="20"/>
    <s v="No"/>
    <x v="5"/>
    <x v="1"/>
    <x v="1"/>
    <x v="16"/>
    <x v="1"/>
    <x v="3"/>
    <x v="0"/>
    <n v="76"/>
    <n v="0"/>
  </r>
  <r>
    <n v="1903"/>
    <x v="18"/>
    <x v="0"/>
    <s v="Sandals"/>
    <x v="1"/>
    <n v="22"/>
    <s v="New Mexico"/>
    <s v="S"/>
    <s v="Olive"/>
    <x v="1"/>
    <x v="16"/>
    <s v="No"/>
    <x v="5"/>
    <x v="1"/>
    <x v="1"/>
    <x v="33"/>
    <x v="0"/>
    <x v="5"/>
    <x v="2"/>
    <n v="22"/>
    <n v="0"/>
  </r>
  <r>
    <n v="1904"/>
    <x v="35"/>
    <x v="0"/>
    <s v="Pants"/>
    <x v="0"/>
    <n v="63"/>
    <s v="North Carolina"/>
    <s v="M"/>
    <s v="Gold"/>
    <x v="2"/>
    <x v="13"/>
    <s v="No"/>
    <x v="3"/>
    <x v="1"/>
    <x v="1"/>
    <x v="10"/>
    <x v="4"/>
    <x v="1"/>
    <x v="0"/>
    <n v="63"/>
    <n v="0"/>
  </r>
  <r>
    <n v="1905"/>
    <x v="40"/>
    <x v="0"/>
    <s v="T-shirt"/>
    <x v="0"/>
    <n v="71"/>
    <s v="Nevada"/>
    <s v="S"/>
    <s v="Silver"/>
    <x v="1"/>
    <x v="19"/>
    <s v="No"/>
    <x v="1"/>
    <x v="1"/>
    <x v="1"/>
    <x v="15"/>
    <x v="1"/>
    <x v="5"/>
    <x v="1"/>
    <n v="71"/>
    <n v="0"/>
  </r>
  <r>
    <n v="1906"/>
    <x v="36"/>
    <x v="0"/>
    <s v="Boots"/>
    <x v="1"/>
    <n v="35"/>
    <s v="Idaho"/>
    <s v="M"/>
    <s v="Teal"/>
    <x v="2"/>
    <x v="8"/>
    <s v="No"/>
    <x v="4"/>
    <x v="1"/>
    <x v="1"/>
    <x v="0"/>
    <x v="4"/>
    <x v="0"/>
    <x v="2"/>
    <n v="35"/>
    <n v="0"/>
  </r>
  <r>
    <n v="1907"/>
    <x v="51"/>
    <x v="0"/>
    <s v="Backpack"/>
    <x v="3"/>
    <n v="30"/>
    <s v="Vermont"/>
    <s v="M"/>
    <s v="Green"/>
    <x v="1"/>
    <x v="12"/>
    <s v="No"/>
    <x v="4"/>
    <x v="1"/>
    <x v="1"/>
    <x v="37"/>
    <x v="3"/>
    <x v="0"/>
    <x v="1"/>
    <n v="30"/>
    <n v="0"/>
  </r>
  <r>
    <n v="1908"/>
    <x v="28"/>
    <x v="0"/>
    <s v="Skirt"/>
    <x v="0"/>
    <n v="74"/>
    <s v="New Mexico"/>
    <s v="L"/>
    <s v="Orange"/>
    <x v="3"/>
    <x v="6"/>
    <s v="No"/>
    <x v="5"/>
    <x v="1"/>
    <x v="1"/>
    <x v="13"/>
    <x v="2"/>
    <x v="6"/>
    <x v="0"/>
    <n v="74"/>
    <n v="0"/>
  </r>
  <r>
    <n v="1909"/>
    <x v="20"/>
    <x v="0"/>
    <s v="Scarf"/>
    <x v="3"/>
    <n v="71"/>
    <s v="Georgia"/>
    <s v="XL"/>
    <s v="Charcoal"/>
    <x v="0"/>
    <x v="2"/>
    <s v="No"/>
    <x v="2"/>
    <x v="1"/>
    <x v="1"/>
    <x v="5"/>
    <x v="5"/>
    <x v="4"/>
    <x v="1"/>
    <n v="71"/>
    <n v="0"/>
  </r>
  <r>
    <n v="1910"/>
    <x v="2"/>
    <x v="0"/>
    <s v="Sweater"/>
    <x v="0"/>
    <n v="84"/>
    <s v="Kentucky"/>
    <s v="S"/>
    <s v="Black"/>
    <x v="1"/>
    <x v="24"/>
    <s v="No"/>
    <x v="5"/>
    <x v="1"/>
    <x v="1"/>
    <x v="45"/>
    <x v="2"/>
    <x v="5"/>
    <x v="2"/>
    <n v="84"/>
    <n v="0"/>
  </r>
  <r>
    <n v="1911"/>
    <x v="26"/>
    <x v="0"/>
    <s v="Sandals"/>
    <x v="1"/>
    <n v="38"/>
    <s v="New York"/>
    <s v="S"/>
    <s v="Yellow"/>
    <x v="3"/>
    <x v="22"/>
    <s v="No"/>
    <x v="0"/>
    <x v="1"/>
    <x v="1"/>
    <x v="21"/>
    <x v="5"/>
    <x v="3"/>
    <x v="2"/>
    <n v="38"/>
    <n v="0"/>
  </r>
  <r>
    <n v="1912"/>
    <x v="13"/>
    <x v="0"/>
    <s v="Jewelry"/>
    <x v="3"/>
    <n v="81"/>
    <s v="Arizona"/>
    <s v="M"/>
    <s v="Gray"/>
    <x v="1"/>
    <x v="8"/>
    <s v="No"/>
    <x v="0"/>
    <x v="1"/>
    <x v="1"/>
    <x v="18"/>
    <x v="5"/>
    <x v="4"/>
    <x v="0"/>
    <n v="81"/>
    <n v="0"/>
  </r>
  <r>
    <n v="1913"/>
    <x v="26"/>
    <x v="0"/>
    <s v="Sweater"/>
    <x v="0"/>
    <n v="56"/>
    <s v="Colorado"/>
    <s v="S"/>
    <s v="Charcoal"/>
    <x v="0"/>
    <x v="23"/>
    <s v="No"/>
    <x v="4"/>
    <x v="1"/>
    <x v="1"/>
    <x v="36"/>
    <x v="2"/>
    <x v="4"/>
    <x v="2"/>
    <n v="56"/>
    <n v="0"/>
  </r>
  <r>
    <n v="1914"/>
    <x v="34"/>
    <x v="0"/>
    <s v="Skirt"/>
    <x v="0"/>
    <n v="48"/>
    <s v="Kentucky"/>
    <s v="M"/>
    <s v="Peach"/>
    <x v="0"/>
    <x v="15"/>
    <s v="No"/>
    <x v="0"/>
    <x v="1"/>
    <x v="1"/>
    <x v="32"/>
    <x v="1"/>
    <x v="2"/>
    <x v="2"/>
    <n v="48"/>
    <n v="0"/>
  </r>
  <r>
    <n v="1915"/>
    <x v="48"/>
    <x v="0"/>
    <s v="Shorts"/>
    <x v="0"/>
    <n v="97"/>
    <s v="Alaska"/>
    <s v="L"/>
    <s v="Green"/>
    <x v="3"/>
    <x v="23"/>
    <s v="No"/>
    <x v="3"/>
    <x v="1"/>
    <x v="1"/>
    <x v="19"/>
    <x v="2"/>
    <x v="0"/>
    <x v="2"/>
    <n v="97"/>
    <n v="0"/>
  </r>
  <r>
    <n v="1916"/>
    <x v="47"/>
    <x v="0"/>
    <s v="Backpack"/>
    <x v="3"/>
    <n v="74"/>
    <s v="Alabama"/>
    <s v="M"/>
    <s v="Magenta"/>
    <x v="3"/>
    <x v="10"/>
    <s v="No"/>
    <x v="4"/>
    <x v="1"/>
    <x v="1"/>
    <x v="12"/>
    <x v="1"/>
    <x v="1"/>
    <x v="0"/>
    <n v="74"/>
    <n v="0"/>
  </r>
  <r>
    <n v="1917"/>
    <x v="8"/>
    <x v="0"/>
    <s v="Hoodie"/>
    <x v="0"/>
    <n v="50"/>
    <s v="Connecticut"/>
    <s v="S"/>
    <s v="Beige"/>
    <x v="0"/>
    <x v="21"/>
    <s v="No"/>
    <x v="2"/>
    <x v="1"/>
    <x v="1"/>
    <x v="35"/>
    <x v="5"/>
    <x v="4"/>
    <x v="2"/>
    <n v="50"/>
    <n v="0"/>
  </r>
  <r>
    <n v="1918"/>
    <x v="21"/>
    <x v="0"/>
    <s v="Skirt"/>
    <x v="0"/>
    <n v="71"/>
    <s v="Hawaii"/>
    <s v="L"/>
    <s v="Black"/>
    <x v="0"/>
    <x v="23"/>
    <s v="No"/>
    <x v="1"/>
    <x v="1"/>
    <x v="1"/>
    <x v="31"/>
    <x v="3"/>
    <x v="4"/>
    <x v="2"/>
    <n v="71"/>
    <n v="0"/>
  </r>
  <r>
    <n v="1919"/>
    <x v="25"/>
    <x v="0"/>
    <s v="Skirt"/>
    <x v="0"/>
    <n v="33"/>
    <s v="Idaho"/>
    <s v="S"/>
    <s v="Purple"/>
    <x v="2"/>
    <x v="12"/>
    <s v="No"/>
    <x v="3"/>
    <x v="1"/>
    <x v="1"/>
    <x v="42"/>
    <x v="5"/>
    <x v="5"/>
    <x v="2"/>
    <n v="33"/>
    <n v="0"/>
  </r>
  <r>
    <n v="1920"/>
    <x v="50"/>
    <x v="0"/>
    <s v="Backpack"/>
    <x v="3"/>
    <n v="56"/>
    <s v="Virginia"/>
    <s v="M"/>
    <s v="Olive"/>
    <x v="2"/>
    <x v="0"/>
    <s v="No"/>
    <x v="0"/>
    <x v="1"/>
    <x v="1"/>
    <x v="41"/>
    <x v="3"/>
    <x v="4"/>
    <x v="2"/>
    <n v="56"/>
    <n v="0"/>
  </r>
  <r>
    <n v="1921"/>
    <x v="47"/>
    <x v="0"/>
    <s v="Blouse"/>
    <x v="0"/>
    <n v="84"/>
    <s v="Connecticut"/>
    <s v="M"/>
    <s v="Purple"/>
    <x v="1"/>
    <x v="11"/>
    <s v="No"/>
    <x v="3"/>
    <x v="1"/>
    <x v="1"/>
    <x v="19"/>
    <x v="1"/>
    <x v="6"/>
    <x v="0"/>
    <n v="84"/>
    <n v="0"/>
  </r>
  <r>
    <n v="1922"/>
    <x v="36"/>
    <x v="0"/>
    <s v="Shirt"/>
    <x v="0"/>
    <n v="36"/>
    <s v="Michigan"/>
    <s v="M"/>
    <s v="Green"/>
    <x v="3"/>
    <x v="1"/>
    <s v="No"/>
    <x v="5"/>
    <x v="1"/>
    <x v="1"/>
    <x v="21"/>
    <x v="0"/>
    <x v="2"/>
    <x v="2"/>
    <n v="36"/>
    <n v="0"/>
  </r>
  <r>
    <n v="1923"/>
    <x v="20"/>
    <x v="0"/>
    <s v="Gloves"/>
    <x v="3"/>
    <n v="63"/>
    <s v="Kentucky"/>
    <s v="S"/>
    <s v="Peach"/>
    <x v="2"/>
    <x v="12"/>
    <s v="No"/>
    <x v="3"/>
    <x v="1"/>
    <x v="1"/>
    <x v="44"/>
    <x v="3"/>
    <x v="5"/>
    <x v="1"/>
    <n v="63"/>
    <n v="0"/>
  </r>
  <r>
    <n v="1924"/>
    <x v="14"/>
    <x v="0"/>
    <s v="Sandals"/>
    <x v="1"/>
    <n v="36"/>
    <s v="Nebraska"/>
    <s v="XL"/>
    <s v="Blue"/>
    <x v="2"/>
    <x v="24"/>
    <s v="No"/>
    <x v="3"/>
    <x v="1"/>
    <x v="1"/>
    <x v="22"/>
    <x v="1"/>
    <x v="2"/>
    <x v="0"/>
    <n v="36"/>
    <n v="0"/>
  </r>
  <r>
    <n v="1925"/>
    <x v="11"/>
    <x v="0"/>
    <s v="Jacket"/>
    <x v="2"/>
    <n v="63"/>
    <s v="Michigan"/>
    <s v="M"/>
    <s v="Gray"/>
    <x v="3"/>
    <x v="6"/>
    <s v="No"/>
    <x v="1"/>
    <x v="1"/>
    <x v="1"/>
    <x v="38"/>
    <x v="3"/>
    <x v="3"/>
    <x v="2"/>
    <n v="63"/>
    <n v="0"/>
  </r>
  <r>
    <n v="1926"/>
    <x v="35"/>
    <x v="0"/>
    <s v="Sneakers"/>
    <x v="1"/>
    <n v="32"/>
    <s v="Utah"/>
    <s v="L"/>
    <s v="Black"/>
    <x v="0"/>
    <x v="3"/>
    <s v="No"/>
    <x v="0"/>
    <x v="1"/>
    <x v="1"/>
    <x v="12"/>
    <x v="2"/>
    <x v="0"/>
    <x v="0"/>
    <n v="32"/>
    <n v="0"/>
  </r>
  <r>
    <n v="1927"/>
    <x v="17"/>
    <x v="0"/>
    <s v="Backpack"/>
    <x v="3"/>
    <n v="93"/>
    <s v="New Mexico"/>
    <s v="M"/>
    <s v="Silver"/>
    <x v="1"/>
    <x v="21"/>
    <s v="No"/>
    <x v="0"/>
    <x v="1"/>
    <x v="1"/>
    <x v="49"/>
    <x v="3"/>
    <x v="2"/>
    <x v="0"/>
    <n v="93"/>
    <n v="0"/>
  </r>
  <r>
    <n v="1928"/>
    <x v="37"/>
    <x v="0"/>
    <s v="Pants"/>
    <x v="0"/>
    <n v="29"/>
    <s v="Florida"/>
    <s v="M"/>
    <s v="Pink"/>
    <x v="2"/>
    <x v="3"/>
    <s v="No"/>
    <x v="3"/>
    <x v="1"/>
    <x v="1"/>
    <x v="6"/>
    <x v="1"/>
    <x v="6"/>
    <x v="2"/>
    <n v="29"/>
    <n v="0"/>
  </r>
  <r>
    <n v="1929"/>
    <x v="15"/>
    <x v="0"/>
    <s v="Sunglasses"/>
    <x v="3"/>
    <n v="92"/>
    <s v="Mississippi"/>
    <s v="S"/>
    <s v="Lavender"/>
    <x v="2"/>
    <x v="18"/>
    <s v="No"/>
    <x v="3"/>
    <x v="1"/>
    <x v="1"/>
    <x v="9"/>
    <x v="3"/>
    <x v="1"/>
    <x v="1"/>
    <n v="92"/>
    <n v="0"/>
  </r>
  <r>
    <n v="1930"/>
    <x v="35"/>
    <x v="0"/>
    <s v="Jeans"/>
    <x v="0"/>
    <n v="33"/>
    <s v="Hawaii"/>
    <s v="L"/>
    <s v="Brown"/>
    <x v="3"/>
    <x v="10"/>
    <s v="No"/>
    <x v="3"/>
    <x v="1"/>
    <x v="1"/>
    <x v="15"/>
    <x v="0"/>
    <x v="3"/>
    <x v="0"/>
    <n v="33"/>
    <n v="0"/>
  </r>
  <r>
    <n v="1931"/>
    <x v="17"/>
    <x v="0"/>
    <s v="Pants"/>
    <x v="0"/>
    <n v="52"/>
    <s v="North Carolina"/>
    <s v="L"/>
    <s v="Turquoise"/>
    <x v="1"/>
    <x v="1"/>
    <s v="No"/>
    <x v="5"/>
    <x v="1"/>
    <x v="1"/>
    <x v="8"/>
    <x v="1"/>
    <x v="1"/>
    <x v="0"/>
    <n v="52"/>
    <n v="0"/>
  </r>
  <r>
    <n v="1932"/>
    <x v="22"/>
    <x v="0"/>
    <s v="Jewelry"/>
    <x v="3"/>
    <n v="42"/>
    <s v="Illinois"/>
    <s v="S"/>
    <s v="Olive"/>
    <x v="1"/>
    <x v="2"/>
    <s v="No"/>
    <x v="5"/>
    <x v="1"/>
    <x v="1"/>
    <x v="49"/>
    <x v="5"/>
    <x v="6"/>
    <x v="0"/>
    <n v="42"/>
    <n v="0"/>
  </r>
  <r>
    <n v="1933"/>
    <x v="32"/>
    <x v="0"/>
    <s v="Hoodie"/>
    <x v="0"/>
    <n v="36"/>
    <s v="Maryland"/>
    <s v="M"/>
    <s v="White"/>
    <x v="1"/>
    <x v="16"/>
    <s v="No"/>
    <x v="1"/>
    <x v="1"/>
    <x v="1"/>
    <x v="39"/>
    <x v="2"/>
    <x v="6"/>
    <x v="2"/>
    <n v="36"/>
    <n v="0"/>
  </r>
  <r>
    <n v="1934"/>
    <x v="39"/>
    <x v="0"/>
    <s v="Sandals"/>
    <x v="1"/>
    <n v="67"/>
    <s v="Montana"/>
    <s v="L"/>
    <s v="Violet"/>
    <x v="2"/>
    <x v="7"/>
    <s v="No"/>
    <x v="2"/>
    <x v="1"/>
    <x v="1"/>
    <x v="40"/>
    <x v="0"/>
    <x v="2"/>
    <x v="2"/>
    <n v="67"/>
    <n v="0"/>
  </r>
  <r>
    <n v="1935"/>
    <x v="50"/>
    <x v="0"/>
    <s v="Jacket"/>
    <x v="2"/>
    <n v="43"/>
    <s v="Michigan"/>
    <s v="L"/>
    <s v="Gold"/>
    <x v="0"/>
    <x v="2"/>
    <s v="No"/>
    <x v="1"/>
    <x v="1"/>
    <x v="1"/>
    <x v="2"/>
    <x v="4"/>
    <x v="2"/>
    <x v="2"/>
    <n v="43"/>
    <n v="0"/>
  </r>
  <r>
    <n v="1936"/>
    <x v="1"/>
    <x v="0"/>
    <s v="Blouse"/>
    <x v="0"/>
    <n v="68"/>
    <s v="North Carolina"/>
    <s v="XL"/>
    <s v="Violet"/>
    <x v="1"/>
    <x v="6"/>
    <s v="No"/>
    <x v="1"/>
    <x v="1"/>
    <x v="1"/>
    <x v="24"/>
    <x v="1"/>
    <x v="0"/>
    <x v="1"/>
    <n v="68"/>
    <n v="0"/>
  </r>
  <r>
    <n v="1937"/>
    <x v="27"/>
    <x v="0"/>
    <s v="Jewelry"/>
    <x v="3"/>
    <n v="60"/>
    <s v="Minnesota"/>
    <s v="S"/>
    <s v="Teal"/>
    <x v="2"/>
    <x v="24"/>
    <s v="No"/>
    <x v="4"/>
    <x v="1"/>
    <x v="1"/>
    <x v="12"/>
    <x v="3"/>
    <x v="6"/>
    <x v="0"/>
    <n v="60"/>
    <n v="0"/>
  </r>
  <r>
    <n v="1938"/>
    <x v="49"/>
    <x v="0"/>
    <s v="Socks"/>
    <x v="0"/>
    <n v="53"/>
    <s v="Delaware"/>
    <s v="M"/>
    <s v="Olive"/>
    <x v="2"/>
    <x v="9"/>
    <s v="No"/>
    <x v="4"/>
    <x v="1"/>
    <x v="1"/>
    <x v="47"/>
    <x v="4"/>
    <x v="5"/>
    <x v="2"/>
    <n v="53"/>
    <n v="0"/>
  </r>
  <r>
    <n v="1939"/>
    <x v="5"/>
    <x v="0"/>
    <s v="Jeans"/>
    <x v="0"/>
    <n v="23"/>
    <s v="Kentucky"/>
    <s v="L"/>
    <s v="Blue"/>
    <x v="1"/>
    <x v="22"/>
    <s v="No"/>
    <x v="3"/>
    <x v="1"/>
    <x v="1"/>
    <x v="30"/>
    <x v="5"/>
    <x v="4"/>
    <x v="2"/>
    <n v="23"/>
    <n v="0"/>
  </r>
  <r>
    <n v="1940"/>
    <x v="17"/>
    <x v="0"/>
    <s v="Gloves"/>
    <x v="3"/>
    <n v="57"/>
    <s v="Ohio"/>
    <s v="L"/>
    <s v="Magenta"/>
    <x v="0"/>
    <x v="18"/>
    <s v="No"/>
    <x v="5"/>
    <x v="1"/>
    <x v="1"/>
    <x v="41"/>
    <x v="3"/>
    <x v="6"/>
    <x v="0"/>
    <n v="57"/>
    <n v="0"/>
  </r>
  <r>
    <n v="1941"/>
    <x v="2"/>
    <x v="0"/>
    <s v="Hat"/>
    <x v="3"/>
    <n v="89"/>
    <s v="Alaska"/>
    <s v="L"/>
    <s v="Gray"/>
    <x v="3"/>
    <x v="20"/>
    <s v="No"/>
    <x v="4"/>
    <x v="1"/>
    <x v="1"/>
    <x v="26"/>
    <x v="3"/>
    <x v="0"/>
    <x v="2"/>
    <n v="89"/>
    <n v="0"/>
  </r>
  <r>
    <n v="1942"/>
    <x v="0"/>
    <x v="0"/>
    <s v="Shoes"/>
    <x v="1"/>
    <n v="99"/>
    <s v="Vermont"/>
    <s v="XL"/>
    <s v="Peach"/>
    <x v="0"/>
    <x v="13"/>
    <s v="No"/>
    <x v="3"/>
    <x v="1"/>
    <x v="1"/>
    <x v="15"/>
    <x v="2"/>
    <x v="3"/>
    <x v="0"/>
    <n v="99"/>
    <n v="0"/>
  </r>
  <r>
    <n v="1943"/>
    <x v="6"/>
    <x v="0"/>
    <s v="Pants"/>
    <x v="0"/>
    <n v="28"/>
    <s v="Alabama"/>
    <s v="M"/>
    <s v="Cyan"/>
    <x v="3"/>
    <x v="23"/>
    <s v="No"/>
    <x v="0"/>
    <x v="1"/>
    <x v="1"/>
    <x v="17"/>
    <x v="3"/>
    <x v="5"/>
    <x v="0"/>
    <n v="28"/>
    <n v="0"/>
  </r>
  <r>
    <n v="1944"/>
    <x v="45"/>
    <x v="0"/>
    <s v="Socks"/>
    <x v="0"/>
    <n v="53"/>
    <s v="Wisconsin"/>
    <s v="L"/>
    <s v="Violet"/>
    <x v="2"/>
    <x v="22"/>
    <s v="No"/>
    <x v="2"/>
    <x v="1"/>
    <x v="1"/>
    <x v="24"/>
    <x v="1"/>
    <x v="2"/>
    <x v="2"/>
    <n v="53"/>
    <n v="0"/>
  </r>
  <r>
    <n v="1945"/>
    <x v="11"/>
    <x v="0"/>
    <s v="Hoodie"/>
    <x v="0"/>
    <n v="45"/>
    <s v="Arkansas"/>
    <s v="M"/>
    <s v="Gold"/>
    <x v="0"/>
    <x v="2"/>
    <s v="No"/>
    <x v="1"/>
    <x v="1"/>
    <x v="1"/>
    <x v="3"/>
    <x v="1"/>
    <x v="6"/>
    <x v="2"/>
    <n v="45"/>
    <n v="0"/>
  </r>
  <r>
    <n v="1946"/>
    <x v="25"/>
    <x v="0"/>
    <s v="Hoodie"/>
    <x v="0"/>
    <n v="38"/>
    <s v="Georgia"/>
    <s v="M"/>
    <s v="Gold"/>
    <x v="0"/>
    <x v="3"/>
    <s v="No"/>
    <x v="4"/>
    <x v="1"/>
    <x v="1"/>
    <x v="44"/>
    <x v="2"/>
    <x v="6"/>
    <x v="2"/>
    <n v="38"/>
    <n v="0"/>
  </r>
  <r>
    <n v="1947"/>
    <x v="35"/>
    <x v="0"/>
    <s v="Pants"/>
    <x v="0"/>
    <n v="49"/>
    <s v="Louisiana"/>
    <s v="M"/>
    <s v="White"/>
    <x v="2"/>
    <x v="9"/>
    <s v="No"/>
    <x v="3"/>
    <x v="1"/>
    <x v="1"/>
    <x v="23"/>
    <x v="2"/>
    <x v="3"/>
    <x v="0"/>
    <n v="49"/>
    <n v="0"/>
  </r>
  <r>
    <n v="1948"/>
    <x v="35"/>
    <x v="0"/>
    <s v="Shirt"/>
    <x v="0"/>
    <n v="32"/>
    <s v="New York"/>
    <s v="M"/>
    <s v="Gray"/>
    <x v="2"/>
    <x v="5"/>
    <s v="No"/>
    <x v="5"/>
    <x v="1"/>
    <x v="1"/>
    <x v="1"/>
    <x v="3"/>
    <x v="5"/>
    <x v="0"/>
    <n v="32"/>
    <n v="0"/>
  </r>
  <r>
    <n v="1949"/>
    <x v="22"/>
    <x v="0"/>
    <s v="T-shirt"/>
    <x v="0"/>
    <n v="37"/>
    <s v="Connecticut"/>
    <s v="L"/>
    <s v="Brown"/>
    <x v="0"/>
    <x v="0"/>
    <s v="No"/>
    <x v="2"/>
    <x v="1"/>
    <x v="1"/>
    <x v="30"/>
    <x v="3"/>
    <x v="4"/>
    <x v="0"/>
    <n v="37"/>
    <n v="0"/>
  </r>
  <r>
    <n v="1950"/>
    <x v="6"/>
    <x v="0"/>
    <s v="Dress"/>
    <x v="0"/>
    <n v="80"/>
    <s v="Nebraska"/>
    <s v="L"/>
    <s v="Gray"/>
    <x v="0"/>
    <x v="10"/>
    <s v="No"/>
    <x v="5"/>
    <x v="1"/>
    <x v="1"/>
    <x v="45"/>
    <x v="3"/>
    <x v="3"/>
    <x v="0"/>
    <n v="80"/>
    <n v="0"/>
  </r>
  <r>
    <n v="1951"/>
    <x v="49"/>
    <x v="0"/>
    <s v="Backpack"/>
    <x v="3"/>
    <n v="78"/>
    <s v="Arkansas"/>
    <s v="L"/>
    <s v="Blue"/>
    <x v="2"/>
    <x v="12"/>
    <s v="No"/>
    <x v="1"/>
    <x v="1"/>
    <x v="1"/>
    <x v="8"/>
    <x v="3"/>
    <x v="6"/>
    <x v="2"/>
    <n v="78"/>
    <n v="0"/>
  </r>
  <r>
    <n v="1952"/>
    <x v="23"/>
    <x v="0"/>
    <s v="Gloves"/>
    <x v="3"/>
    <n v="53"/>
    <s v="Connecticut"/>
    <s v="L"/>
    <s v="Gold"/>
    <x v="2"/>
    <x v="2"/>
    <s v="No"/>
    <x v="2"/>
    <x v="1"/>
    <x v="1"/>
    <x v="18"/>
    <x v="4"/>
    <x v="4"/>
    <x v="2"/>
    <n v="53"/>
    <n v="0"/>
  </r>
  <r>
    <n v="1953"/>
    <x v="9"/>
    <x v="0"/>
    <s v="Shoes"/>
    <x v="1"/>
    <n v="82"/>
    <s v="Maryland"/>
    <s v="L"/>
    <s v="Yellow"/>
    <x v="2"/>
    <x v="12"/>
    <s v="No"/>
    <x v="4"/>
    <x v="1"/>
    <x v="1"/>
    <x v="16"/>
    <x v="1"/>
    <x v="4"/>
    <x v="0"/>
    <n v="82"/>
    <n v="0"/>
  </r>
  <r>
    <n v="1954"/>
    <x v="15"/>
    <x v="0"/>
    <s v="Skirt"/>
    <x v="0"/>
    <n v="33"/>
    <s v="Colorado"/>
    <s v="XL"/>
    <s v="Green"/>
    <x v="1"/>
    <x v="6"/>
    <s v="No"/>
    <x v="3"/>
    <x v="1"/>
    <x v="1"/>
    <x v="35"/>
    <x v="3"/>
    <x v="0"/>
    <x v="1"/>
    <n v="33"/>
    <n v="0"/>
  </r>
  <r>
    <n v="1955"/>
    <x v="8"/>
    <x v="0"/>
    <s v="Gloves"/>
    <x v="3"/>
    <n v="77"/>
    <s v="Colorado"/>
    <s v="M"/>
    <s v="Pink"/>
    <x v="0"/>
    <x v="19"/>
    <s v="No"/>
    <x v="1"/>
    <x v="1"/>
    <x v="1"/>
    <x v="35"/>
    <x v="0"/>
    <x v="3"/>
    <x v="2"/>
    <n v="77"/>
    <n v="0"/>
  </r>
  <r>
    <n v="1956"/>
    <x v="2"/>
    <x v="0"/>
    <s v="Hoodie"/>
    <x v="0"/>
    <n v="56"/>
    <s v="Maine"/>
    <s v="M"/>
    <s v="Pink"/>
    <x v="0"/>
    <x v="8"/>
    <s v="No"/>
    <x v="0"/>
    <x v="1"/>
    <x v="1"/>
    <x v="10"/>
    <x v="1"/>
    <x v="5"/>
    <x v="2"/>
    <n v="56"/>
    <n v="0"/>
  </r>
  <r>
    <n v="1957"/>
    <x v="27"/>
    <x v="0"/>
    <s v="Socks"/>
    <x v="0"/>
    <n v="37"/>
    <s v="Oklahoma"/>
    <s v="M"/>
    <s v="Pink"/>
    <x v="0"/>
    <x v="8"/>
    <s v="No"/>
    <x v="0"/>
    <x v="1"/>
    <x v="1"/>
    <x v="41"/>
    <x v="2"/>
    <x v="0"/>
    <x v="0"/>
    <n v="37"/>
    <n v="0"/>
  </r>
  <r>
    <n v="1958"/>
    <x v="33"/>
    <x v="0"/>
    <s v="Gloves"/>
    <x v="3"/>
    <n v="54"/>
    <s v="South Carolina"/>
    <s v="M"/>
    <s v="Cyan"/>
    <x v="1"/>
    <x v="9"/>
    <s v="No"/>
    <x v="5"/>
    <x v="1"/>
    <x v="1"/>
    <x v="8"/>
    <x v="1"/>
    <x v="4"/>
    <x v="0"/>
    <n v="54"/>
    <n v="0"/>
  </r>
  <r>
    <n v="1959"/>
    <x v="31"/>
    <x v="0"/>
    <s v="Shorts"/>
    <x v="0"/>
    <n v="67"/>
    <s v="Nevada"/>
    <s v="M"/>
    <s v="Gray"/>
    <x v="0"/>
    <x v="2"/>
    <s v="No"/>
    <x v="5"/>
    <x v="1"/>
    <x v="1"/>
    <x v="39"/>
    <x v="1"/>
    <x v="3"/>
    <x v="2"/>
    <n v="67"/>
    <n v="0"/>
  </r>
  <r>
    <n v="1960"/>
    <x v="5"/>
    <x v="0"/>
    <s v="Shoes"/>
    <x v="1"/>
    <n v="90"/>
    <s v="Colorado"/>
    <s v="M"/>
    <s v="White"/>
    <x v="3"/>
    <x v="0"/>
    <s v="No"/>
    <x v="5"/>
    <x v="1"/>
    <x v="1"/>
    <x v="22"/>
    <x v="2"/>
    <x v="6"/>
    <x v="2"/>
    <n v="90"/>
    <n v="0"/>
  </r>
  <r>
    <n v="1961"/>
    <x v="9"/>
    <x v="0"/>
    <s v="Jeans"/>
    <x v="0"/>
    <n v="72"/>
    <s v="Massachusetts"/>
    <s v="L"/>
    <s v="Red"/>
    <x v="2"/>
    <x v="13"/>
    <s v="No"/>
    <x v="4"/>
    <x v="1"/>
    <x v="1"/>
    <x v="19"/>
    <x v="2"/>
    <x v="2"/>
    <x v="0"/>
    <n v="72"/>
    <n v="0"/>
  </r>
  <r>
    <n v="1962"/>
    <x v="36"/>
    <x v="0"/>
    <s v="Boots"/>
    <x v="1"/>
    <n v="59"/>
    <s v="Nevada"/>
    <s v="L"/>
    <s v="Black"/>
    <x v="2"/>
    <x v="5"/>
    <s v="No"/>
    <x v="1"/>
    <x v="1"/>
    <x v="1"/>
    <x v="24"/>
    <x v="5"/>
    <x v="3"/>
    <x v="2"/>
    <n v="59"/>
    <n v="0"/>
  </r>
  <r>
    <n v="1963"/>
    <x v="37"/>
    <x v="0"/>
    <s v="Hat"/>
    <x v="3"/>
    <n v="45"/>
    <s v="Iowa"/>
    <s v="M"/>
    <s v="Silver"/>
    <x v="3"/>
    <x v="14"/>
    <s v="No"/>
    <x v="3"/>
    <x v="1"/>
    <x v="1"/>
    <x v="41"/>
    <x v="3"/>
    <x v="0"/>
    <x v="2"/>
    <n v="45"/>
    <n v="0"/>
  </r>
  <r>
    <n v="1964"/>
    <x v="16"/>
    <x v="0"/>
    <s v="Shorts"/>
    <x v="0"/>
    <n v="30"/>
    <s v="Michigan"/>
    <s v="L"/>
    <s v="Pink"/>
    <x v="1"/>
    <x v="20"/>
    <s v="No"/>
    <x v="3"/>
    <x v="1"/>
    <x v="1"/>
    <x v="47"/>
    <x v="2"/>
    <x v="1"/>
    <x v="0"/>
    <n v="30"/>
    <n v="0"/>
  </r>
  <r>
    <n v="1965"/>
    <x v="37"/>
    <x v="0"/>
    <s v="Pants"/>
    <x v="0"/>
    <n v="51"/>
    <s v="West Virginia"/>
    <s v="S"/>
    <s v="Cyan"/>
    <x v="2"/>
    <x v="12"/>
    <s v="No"/>
    <x v="0"/>
    <x v="1"/>
    <x v="1"/>
    <x v="16"/>
    <x v="5"/>
    <x v="5"/>
    <x v="2"/>
    <n v="51"/>
    <n v="0"/>
  </r>
  <r>
    <n v="1966"/>
    <x v="29"/>
    <x v="0"/>
    <s v="Sweater"/>
    <x v="0"/>
    <n v="90"/>
    <s v="Indiana"/>
    <s v="M"/>
    <s v="White"/>
    <x v="3"/>
    <x v="8"/>
    <s v="No"/>
    <x v="0"/>
    <x v="1"/>
    <x v="1"/>
    <x v="29"/>
    <x v="5"/>
    <x v="3"/>
    <x v="0"/>
    <n v="90"/>
    <n v="0"/>
  </r>
  <r>
    <n v="1967"/>
    <x v="29"/>
    <x v="0"/>
    <s v="Jacket"/>
    <x v="2"/>
    <n v="95"/>
    <s v="Indiana"/>
    <s v="XL"/>
    <s v="Purple"/>
    <x v="0"/>
    <x v="18"/>
    <s v="No"/>
    <x v="0"/>
    <x v="1"/>
    <x v="1"/>
    <x v="36"/>
    <x v="2"/>
    <x v="0"/>
    <x v="0"/>
    <n v="95"/>
    <n v="0"/>
  </r>
  <r>
    <n v="1968"/>
    <x v="43"/>
    <x v="0"/>
    <s v="Dress"/>
    <x v="0"/>
    <n v="81"/>
    <s v="Georgia"/>
    <s v="L"/>
    <s v="Yellow"/>
    <x v="3"/>
    <x v="18"/>
    <s v="No"/>
    <x v="3"/>
    <x v="1"/>
    <x v="1"/>
    <x v="7"/>
    <x v="0"/>
    <x v="2"/>
    <x v="2"/>
    <n v="81"/>
    <n v="0"/>
  </r>
  <r>
    <n v="1969"/>
    <x v="29"/>
    <x v="0"/>
    <s v="Shirt"/>
    <x v="0"/>
    <n v="70"/>
    <s v="Minnesota"/>
    <s v="S"/>
    <s v="Blue"/>
    <x v="1"/>
    <x v="19"/>
    <s v="No"/>
    <x v="3"/>
    <x v="1"/>
    <x v="1"/>
    <x v="29"/>
    <x v="2"/>
    <x v="1"/>
    <x v="0"/>
    <n v="70"/>
    <n v="0"/>
  </r>
  <r>
    <n v="1970"/>
    <x v="14"/>
    <x v="0"/>
    <s v="Dress"/>
    <x v="0"/>
    <n v="32"/>
    <s v="Louisiana"/>
    <s v="S"/>
    <s v="Cyan"/>
    <x v="0"/>
    <x v="1"/>
    <s v="No"/>
    <x v="2"/>
    <x v="1"/>
    <x v="1"/>
    <x v="47"/>
    <x v="4"/>
    <x v="0"/>
    <x v="0"/>
    <n v="32"/>
    <n v="0"/>
  </r>
  <r>
    <n v="1971"/>
    <x v="48"/>
    <x v="0"/>
    <s v="Belt"/>
    <x v="3"/>
    <n v="94"/>
    <s v="Maryland"/>
    <s v="M"/>
    <s v="Indigo"/>
    <x v="1"/>
    <x v="3"/>
    <s v="No"/>
    <x v="2"/>
    <x v="1"/>
    <x v="1"/>
    <x v="7"/>
    <x v="2"/>
    <x v="4"/>
    <x v="2"/>
    <n v="94"/>
    <n v="0"/>
  </r>
  <r>
    <n v="1972"/>
    <x v="22"/>
    <x v="0"/>
    <s v="Hat"/>
    <x v="3"/>
    <n v="29"/>
    <s v="Pennsylvania"/>
    <s v="XL"/>
    <s v="Indigo"/>
    <x v="1"/>
    <x v="23"/>
    <s v="No"/>
    <x v="2"/>
    <x v="1"/>
    <x v="1"/>
    <x v="43"/>
    <x v="0"/>
    <x v="5"/>
    <x v="0"/>
    <n v="29"/>
    <n v="0"/>
  </r>
  <r>
    <n v="1973"/>
    <x v="22"/>
    <x v="0"/>
    <s v="Backpack"/>
    <x v="3"/>
    <n v="31"/>
    <s v="Louisiana"/>
    <s v="M"/>
    <s v="Silver"/>
    <x v="2"/>
    <x v="13"/>
    <s v="No"/>
    <x v="0"/>
    <x v="1"/>
    <x v="1"/>
    <x v="26"/>
    <x v="3"/>
    <x v="6"/>
    <x v="0"/>
    <n v="31"/>
    <n v="0"/>
  </r>
  <r>
    <n v="1974"/>
    <x v="41"/>
    <x v="0"/>
    <s v="Skirt"/>
    <x v="0"/>
    <n v="20"/>
    <s v="Maryland"/>
    <s v="XL"/>
    <s v="Red"/>
    <x v="3"/>
    <x v="9"/>
    <s v="No"/>
    <x v="3"/>
    <x v="1"/>
    <x v="1"/>
    <x v="44"/>
    <x v="0"/>
    <x v="6"/>
    <x v="1"/>
    <n v="20"/>
    <n v="0"/>
  </r>
  <r>
    <n v="1975"/>
    <x v="7"/>
    <x v="0"/>
    <s v="Gloves"/>
    <x v="3"/>
    <n v="44"/>
    <s v="Tennessee"/>
    <s v="M"/>
    <s v="Peach"/>
    <x v="0"/>
    <x v="12"/>
    <s v="No"/>
    <x v="4"/>
    <x v="1"/>
    <x v="1"/>
    <x v="1"/>
    <x v="3"/>
    <x v="0"/>
    <x v="2"/>
    <n v="44"/>
    <n v="0"/>
  </r>
  <r>
    <n v="1976"/>
    <x v="10"/>
    <x v="0"/>
    <s v="Jacket"/>
    <x v="2"/>
    <n v="77"/>
    <s v="Illinois"/>
    <s v="L"/>
    <s v="Turquoise"/>
    <x v="3"/>
    <x v="3"/>
    <s v="No"/>
    <x v="0"/>
    <x v="1"/>
    <x v="1"/>
    <x v="7"/>
    <x v="1"/>
    <x v="3"/>
    <x v="0"/>
    <n v="77"/>
    <n v="0"/>
  </r>
  <r>
    <n v="1977"/>
    <x v="45"/>
    <x v="0"/>
    <s v="Handbag"/>
    <x v="3"/>
    <n v="51"/>
    <s v="Wyoming"/>
    <s v="M"/>
    <s v="Pink"/>
    <x v="1"/>
    <x v="4"/>
    <s v="No"/>
    <x v="2"/>
    <x v="1"/>
    <x v="1"/>
    <x v="34"/>
    <x v="3"/>
    <x v="0"/>
    <x v="2"/>
    <n v="51"/>
    <n v="0"/>
  </r>
  <r>
    <n v="1978"/>
    <x v="41"/>
    <x v="0"/>
    <s v="Sandals"/>
    <x v="1"/>
    <n v="49"/>
    <s v="Florida"/>
    <s v="M"/>
    <s v="Teal"/>
    <x v="2"/>
    <x v="5"/>
    <s v="No"/>
    <x v="1"/>
    <x v="1"/>
    <x v="1"/>
    <x v="18"/>
    <x v="4"/>
    <x v="2"/>
    <x v="1"/>
    <n v="49"/>
    <n v="0"/>
  </r>
  <r>
    <n v="1979"/>
    <x v="4"/>
    <x v="0"/>
    <s v="Sunglasses"/>
    <x v="3"/>
    <n v="78"/>
    <s v="Massachusetts"/>
    <s v="L"/>
    <s v="Magenta"/>
    <x v="1"/>
    <x v="22"/>
    <s v="No"/>
    <x v="5"/>
    <x v="1"/>
    <x v="1"/>
    <x v="43"/>
    <x v="1"/>
    <x v="3"/>
    <x v="2"/>
    <n v="78"/>
    <n v="0"/>
  </r>
  <r>
    <n v="1980"/>
    <x v="34"/>
    <x v="0"/>
    <s v="Jeans"/>
    <x v="0"/>
    <n v="98"/>
    <s v="Tennessee"/>
    <s v="L"/>
    <s v="Blue"/>
    <x v="1"/>
    <x v="11"/>
    <s v="No"/>
    <x v="5"/>
    <x v="1"/>
    <x v="1"/>
    <x v="25"/>
    <x v="5"/>
    <x v="0"/>
    <x v="2"/>
    <n v="98"/>
    <n v="0"/>
  </r>
  <r>
    <n v="1981"/>
    <x v="47"/>
    <x v="0"/>
    <s v="Sandals"/>
    <x v="1"/>
    <n v="94"/>
    <s v="Iowa"/>
    <s v="M"/>
    <s v="Green"/>
    <x v="0"/>
    <x v="14"/>
    <s v="No"/>
    <x v="5"/>
    <x v="1"/>
    <x v="1"/>
    <x v="29"/>
    <x v="3"/>
    <x v="0"/>
    <x v="0"/>
    <n v="94"/>
    <n v="0"/>
  </r>
  <r>
    <n v="1982"/>
    <x v="28"/>
    <x v="0"/>
    <s v="Shoes"/>
    <x v="1"/>
    <n v="91"/>
    <s v="Michigan"/>
    <s v="L"/>
    <s v="Violet"/>
    <x v="2"/>
    <x v="10"/>
    <s v="No"/>
    <x v="0"/>
    <x v="1"/>
    <x v="1"/>
    <x v="38"/>
    <x v="3"/>
    <x v="3"/>
    <x v="0"/>
    <n v="91"/>
    <n v="0"/>
  </r>
  <r>
    <n v="1983"/>
    <x v="38"/>
    <x v="0"/>
    <s v="Sunglasses"/>
    <x v="3"/>
    <n v="77"/>
    <s v="Kansas"/>
    <s v="M"/>
    <s v="Turquoise"/>
    <x v="2"/>
    <x v="2"/>
    <s v="No"/>
    <x v="4"/>
    <x v="1"/>
    <x v="1"/>
    <x v="18"/>
    <x v="3"/>
    <x v="5"/>
    <x v="2"/>
    <n v="77"/>
    <n v="0"/>
  </r>
  <r>
    <n v="1984"/>
    <x v="35"/>
    <x v="0"/>
    <s v="Scarf"/>
    <x v="3"/>
    <n v="97"/>
    <s v="Georgia"/>
    <s v="M"/>
    <s v="Pink"/>
    <x v="2"/>
    <x v="5"/>
    <s v="No"/>
    <x v="2"/>
    <x v="1"/>
    <x v="1"/>
    <x v="33"/>
    <x v="5"/>
    <x v="3"/>
    <x v="0"/>
    <n v="97"/>
    <n v="0"/>
  </r>
  <r>
    <n v="1985"/>
    <x v="8"/>
    <x v="0"/>
    <s v="Skirt"/>
    <x v="0"/>
    <n v="58"/>
    <s v="West Virginia"/>
    <s v="M"/>
    <s v="Black"/>
    <x v="2"/>
    <x v="23"/>
    <s v="No"/>
    <x v="4"/>
    <x v="1"/>
    <x v="1"/>
    <x v="8"/>
    <x v="3"/>
    <x v="0"/>
    <x v="2"/>
    <n v="58"/>
    <n v="0"/>
  </r>
  <r>
    <n v="1986"/>
    <x v="51"/>
    <x v="0"/>
    <s v="Gloves"/>
    <x v="3"/>
    <n v="97"/>
    <s v="Tennessee"/>
    <s v="M"/>
    <s v="Gold"/>
    <x v="1"/>
    <x v="20"/>
    <s v="No"/>
    <x v="4"/>
    <x v="1"/>
    <x v="1"/>
    <x v="49"/>
    <x v="2"/>
    <x v="0"/>
    <x v="1"/>
    <n v="97"/>
    <n v="0"/>
  </r>
  <r>
    <n v="1987"/>
    <x v="46"/>
    <x v="0"/>
    <s v="Coat"/>
    <x v="2"/>
    <n v="48"/>
    <s v="Arkansas"/>
    <s v="L"/>
    <s v="Green"/>
    <x v="2"/>
    <x v="23"/>
    <s v="No"/>
    <x v="4"/>
    <x v="1"/>
    <x v="1"/>
    <x v="0"/>
    <x v="0"/>
    <x v="3"/>
    <x v="0"/>
    <n v="48"/>
    <n v="0"/>
  </r>
  <r>
    <n v="1988"/>
    <x v="28"/>
    <x v="0"/>
    <s v="Belt"/>
    <x v="3"/>
    <n v="23"/>
    <s v="Vermont"/>
    <s v="XL"/>
    <s v="White"/>
    <x v="2"/>
    <x v="23"/>
    <s v="No"/>
    <x v="0"/>
    <x v="1"/>
    <x v="1"/>
    <x v="7"/>
    <x v="1"/>
    <x v="3"/>
    <x v="0"/>
    <n v="23"/>
    <n v="0"/>
  </r>
  <r>
    <n v="1989"/>
    <x v="5"/>
    <x v="0"/>
    <s v="Pants"/>
    <x v="0"/>
    <n v="79"/>
    <s v="Virginia"/>
    <s v="M"/>
    <s v="Gold"/>
    <x v="0"/>
    <x v="20"/>
    <s v="No"/>
    <x v="1"/>
    <x v="1"/>
    <x v="1"/>
    <x v="8"/>
    <x v="4"/>
    <x v="1"/>
    <x v="2"/>
    <n v="79"/>
    <n v="0"/>
  </r>
  <r>
    <n v="1990"/>
    <x v="25"/>
    <x v="0"/>
    <s v="Jewelry"/>
    <x v="3"/>
    <n v="42"/>
    <s v="Maryland"/>
    <s v="S"/>
    <s v="Charcoal"/>
    <x v="1"/>
    <x v="17"/>
    <s v="No"/>
    <x v="0"/>
    <x v="1"/>
    <x v="1"/>
    <x v="30"/>
    <x v="3"/>
    <x v="4"/>
    <x v="2"/>
    <n v="42"/>
    <n v="0"/>
  </r>
  <r>
    <n v="1991"/>
    <x v="45"/>
    <x v="0"/>
    <s v="Backpack"/>
    <x v="3"/>
    <n v="95"/>
    <s v="Connecticut"/>
    <s v="L"/>
    <s v="White"/>
    <x v="1"/>
    <x v="23"/>
    <s v="No"/>
    <x v="4"/>
    <x v="1"/>
    <x v="1"/>
    <x v="28"/>
    <x v="3"/>
    <x v="2"/>
    <x v="2"/>
    <n v="95"/>
    <n v="0"/>
  </r>
  <r>
    <n v="1992"/>
    <x v="5"/>
    <x v="0"/>
    <s v="Sneakers"/>
    <x v="1"/>
    <n v="29"/>
    <s v="Missouri"/>
    <s v="M"/>
    <s v="Brown"/>
    <x v="2"/>
    <x v="18"/>
    <s v="No"/>
    <x v="2"/>
    <x v="1"/>
    <x v="1"/>
    <x v="43"/>
    <x v="0"/>
    <x v="6"/>
    <x v="2"/>
    <n v="29"/>
    <n v="0"/>
  </r>
  <r>
    <n v="1993"/>
    <x v="23"/>
    <x v="0"/>
    <s v="Hoodie"/>
    <x v="0"/>
    <n v="98"/>
    <s v="New Jersey"/>
    <s v="L"/>
    <s v="Gold"/>
    <x v="0"/>
    <x v="8"/>
    <s v="No"/>
    <x v="4"/>
    <x v="1"/>
    <x v="1"/>
    <x v="40"/>
    <x v="0"/>
    <x v="5"/>
    <x v="2"/>
    <n v="98"/>
    <n v="0"/>
  </r>
  <r>
    <n v="1994"/>
    <x v="45"/>
    <x v="0"/>
    <s v="Blouse"/>
    <x v="0"/>
    <n v="96"/>
    <s v="Arkansas"/>
    <s v="S"/>
    <s v="Purple"/>
    <x v="1"/>
    <x v="16"/>
    <s v="No"/>
    <x v="0"/>
    <x v="1"/>
    <x v="1"/>
    <x v="14"/>
    <x v="1"/>
    <x v="1"/>
    <x v="2"/>
    <n v="96"/>
    <n v="0"/>
  </r>
  <r>
    <n v="1995"/>
    <x v="23"/>
    <x v="0"/>
    <s v="Sunglasses"/>
    <x v="3"/>
    <n v="66"/>
    <s v="Nevada"/>
    <s v="M"/>
    <s v="Brown"/>
    <x v="3"/>
    <x v="3"/>
    <s v="No"/>
    <x v="2"/>
    <x v="1"/>
    <x v="1"/>
    <x v="37"/>
    <x v="2"/>
    <x v="1"/>
    <x v="2"/>
    <n v="66"/>
    <n v="0"/>
  </r>
  <r>
    <n v="1996"/>
    <x v="29"/>
    <x v="0"/>
    <s v="Boots"/>
    <x v="1"/>
    <n v="80"/>
    <s v="Missouri"/>
    <s v="S"/>
    <s v="Teal"/>
    <x v="1"/>
    <x v="21"/>
    <s v="No"/>
    <x v="3"/>
    <x v="1"/>
    <x v="1"/>
    <x v="32"/>
    <x v="5"/>
    <x v="3"/>
    <x v="0"/>
    <n v="80"/>
    <n v="0"/>
  </r>
  <r>
    <n v="1997"/>
    <x v="29"/>
    <x v="0"/>
    <s v="Sneakers"/>
    <x v="1"/>
    <n v="27"/>
    <s v="South Dakota"/>
    <s v="L"/>
    <s v="Indigo"/>
    <x v="2"/>
    <x v="13"/>
    <s v="No"/>
    <x v="2"/>
    <x v="1"/>
    <x v="1"/>
    <x v="27"/>
    <x v="1"/>
    <x v="6"/>
    <x v="0"/>
    <n v="27"/>
    <n v="0"/>
  </r>
  <r>
    <n v="1998"/>
    <x v="32"/>
    <x v="0"/>
    <s v="Backpack"/>
    <x v="3"/>
    <n v="25"/>
    <s v="Connecticut"/>
    <s v="M"/>
    <s v="Purple"/>
    <x v="3"/>
    <x v="10"/>
    <s v="No"/>
    <x v="0"/>
    <x v="1"/>
    <x v="1"/>
    <x v="9"/>
    <x v="5"/>
    <x v="4"/>
    <x v="2"/>
    <n v="25"/>
    <n v="0"/>
  </r>
  <r>
    <n v="1999"/>
    <x v="30"/>
    <x v="0"/>
    <s v="Pants"/>
    <x v="0"/>
    <n v="45"/>
    <s v="Vermont"/>
    <s v="M"/>
    <s v="Orange"/>
    <x v="3"/>
    <x v="23"/>
    <s v="No"/>
    <x v="4"/>
    <x v="1"/>
    <x v="1"/>
    <x v="5"/>
    <x v="1"/>
    <x v="3"/>
    <x v="1"/>
    <n v="45"/>
    <n v="0"/>
  </r>
  <r>
    <n v="2000"/>
    <x v="31"/>
    <x v="0"/>
    <s v="Socks"/>
    <x v="0"/>
    <n v="89"/>
    <s v="Tennessee"/>
    <s v="L"/>
    <s v="Indigo"/>
    <x v="0"/>
    <x v="12"/>
    <s v="No"/>
    <x v="4"/>
    <x v="1"/>
    <x v="1"/>
    <x v="8"/>
    <x v="5"/>
    <x v="5"/>
    <x v="2"/>
    <n v="89"/>
    <n v="0"/>
  </r>
  <r>
    <n v="2001"/>
    <x v="8"/>
    <x v="0"/>
    <s v="Belt"/>
    <x v="3"/>
    <n v="27"/>
    <s v="California"/>
    <s v="M"/>
    <s v="Lavender"/>
    <x v="0"/>
    <x v="15"/>
    <s v="No"/>
    <x v="4"/>
    <x v="1"/>
    <x v="1"/>
    <x v="29"/>
    <x v="1"/>
    <x v="4"/>
    <x v="2"/>
    <n v="27"/>
    <n v="0"/>
  </r>
  <r>
    <n v="2002"/>
    <x v="47"/>
    <x v="0"/>
    <s v="Sunglasses"/>
    <x v="3"/>
    <n v="90"/>
    <s v="Wyoming"/>
    <s v="S"/>
    <s v="Purple"/>
    <x v="0"/>
    <x v="5"/>
    <s v="No"/>
    <x v="1"/>
    <x v="1"/>
    <x v="1"/>
    <x v="1"/>
    <x v="5"/>
    <x v="0"/>
    <x v="0"/>
    <n v="90"/>
    <n v="0"/>
  </r>
  <r>
    <n v="2003"/>
    <x v="18"/>
    <x v="0"/>
    <s v="Shirt"/>
    <x v="0"/>
    <n v="65"/>
    <s v="New York"/>
    <s v="M"/>
    <s v="Red"/>
    <x v="2"/>
    <x v="2"/>
    <s v="No"/>
    <x v="0"/>
    <x v="1"/>
    <x v="1"/>
    <x v="5"/>
    <x v="3"/>
    <x v="6"/>
    <x v="2"/>
    <n v="65"/>
    <n v="0"/>
  </r>
  <r>
    <n v="2004"/>
    <x v="33"/>
    <x v="0"/>
    <s v="Sneakers"/>
    <x v="1"/>
    <n v="72"/>
    <s v="Maine"/>
    <s v="S"/>
    <s v="Blue"/>
    <x v="1"/>
    <x v="0"/>
    <s v="No"/>
    <x v="0"/>
    <x v="1"/>
    <x v="1"/>
    <x v="18"/>
    <x v="1"/>
    <x v="3"/>
    <x v="0"/>
    <n v="72"/>
    <n v="0"/>
  </r>
  <r>
    <n v="2005"/>
    <x v="42"/>
    <x v="0"/>
    <s v="Shoes"/>
    <x v="1"/>
    <n v="70"/>
    <s v="Georgia"/>
    <s v="L"/>
    <s v="Blue"/>
    <x v="3"/>
    <x v="4"/>
    <s v="No"/>
    <x v="4"/>
    <x v="1"/>
    <x v="1"/>
    <x v="21"/>
    <x v="1"/>
    <x v="4"/>
    <x v="2"/>
    <n v="70"/>
    <n v="0"/>
  </r>
  <r>
    <n v="2006"/>
    <x v="20"/>
    <x v="0"/>
    <s v="Sandals"/>
    <x v="1"/>
    <n v="82"/>
    <s v="Tennessee"/>
    <s v="M"/>
    <s v="Cyan"/>
    <x v="0"/>
    <x v="23"/>
    <s v="No"/>
    <x v="5"/>
    <x v="1"/>
    <x v="1"/>
    <x v="48"/>
    <x v="3"/>
    <x v="0"/>
    <x v="1"/>
    <n v="82"/>
    <n v="0"/>
  </r>
  <r>
    <n v="2007"/>
    <x v="44"/>
    <x v="0"/>
    <s v="Scarf"/>
    <x v="3"/>
    <n v="97"/>
    <s v="New Mexico"/>
    <s v="S"/>
    <s v="Pink"/>
    <x v="3"/>
    <x v="14"/>
    <s v="No"/>
    <x v="0"/>
    <x v="1"/>
    <x v="1"/>
    <x v="1"/>
    <x v="2"/>
    <x v="2"/>
    <x v="0"/>
    <n v="97"/>
    <n v="0"/>
  </r>
  <r>
    <n v="2008"/>
    <x v="8"/>
    <x v="0"/>
    <s v="Shirt"/>
    <x v="0"/>
    <n v="25"/>
    <s v="Virginia"/>
    <s v="M"/>
    <s v="Silver"/>
    <x v="2"/>
    <x v="4"/>
    <s v="No"/>
    <x v="4"/>
    <x v="1"/>
    <x v="1"/>
    <x v="6"/>
    <x v="3"/>
    <x v="3"/>
    <x v="2"/>
    <n v="25"/>
    <n v="0"/>
  </r>
  <r>
    <n v="2009"/>
    <x v="9"/>
    <x v="0"/>
    <s v="Skirt"/>
    <x v="0"/>
    <n v="48"/>
    <s v="Florida"/>
    <s v="M"/>
    <s v="Gray"/>
    <x v="1"/>
    <x v="25"/>
    <s v="No"/>
    <x v="1"/>
    <x v="1"/>
    <x v="1"/>
    <x v="46"/>
    <x v="3"/>
    <x v="6"/>
    <x v="0"/>
    <n v="48"/>
    <n v="0"/>
  </r>
  <r>
    <n v="2010"/>
    <x v="43"/>
    <x v="0"/>
    <s v="Boots"/>
    <x v="1"/>
    <n v="99"/>
    <s v="Alabama"/>
    <s v="M"/>
    <s v="Indigo"/>
    <x v="2"/>
    <x v="22"/>
    <s v="No"/>
    <x v="2"/>
    <x v="1"/>
    <x v="1"/>
    <x v="8"/>
    <x v="0"/>
    <x v="4"/>
    <x v="2"/>
    <n v="99"/>
    <n v="0"/>
  </r>
  <r>
    <n v="2011"/>
    <x v="41"/>
    <x v="0"/>
    <s v="Sweater"/>
    <x v="0"/>
    <n v="21"/>
    <s v="Texas"/>
    <s v="M"/>
    <s v="Maroon"/>
    <x v="2"/>
    <x v="14"/>
    <s v="No"/>
    <x v="4"/>
    <x v="1"/>
    <x v="1"/>
    <x v="35"/>
    <x v="5"/>
    <x v="4"/>
    <x v="1"/>
    <n v="21"/>
    <n v="0"/>
  </r>
  <r>
    <n v="2012"/>
    <x v="9"/>
    <x v="0"/>
    <s v="Sandals"/>
    <x v="1"/>
    <n v="94"/>
    <s v="West Virginia"/>
    <s v="M"/>
    <s v="Beige"/>
    <x v="1"/>
    <x v="18"/>
    <s v="No"/>
    <x v="0"/>
    <x v="1"/>
    <x v="1"/>
    <x v="7"/>
    <x v="4"/>
    <x v="5"/>
    <x v="0"/>
    <n v="94"/>
    <n v="0"/>
  </r>
  <r>
    <n v="2013"/>
    <x v="39"/>
    <x v="0"/>
    <s v="Jeans"/>
    <x v="0"/>
    <n v="53"/>
    <s v="Nevada"/>
    <s v="L"/>
    <s v="Green"/>
    <x v="3"/>
    <x v="4"/>
    <s v="No"/>
    <x v="5"/>
    <x v="1"/>
    <x v="1"/>
    <x v="36"/>
    <x v="1"/>
    <x v="0"/>
    <x v="2"/>
    <n v="53"/>
    <n v="0"/>
  </r>
  <r>
    <n v="2014"/>
    <x v="31"/>
    <x v="0"/>
    <s v="Backpack"/>
    <x v="3"/>
    <n v="70"/>
    <s v="Virginia"/>
    <s v="M"/>
    <s v="Peach"/>
    <x v="0"/>
    <x v="8"/>
    <s v="No"/>
    <x v="3"/>
    <x v="1"/>
    <x v="1"/>
    <x v="29"/>
    <x v="5"/>
    <x v="3"/>
    <x v="2"/>
    <n v="70"/>
    <n v="0"/>
  </r>
  <r>
    <n v="2015"/>
    <x v="47"/>
    <x v="0"/>
    <s v="Skirt"/>
    <x v="0"/>
    <n v="26"/>
    <s v="Wisconsin"/>
    <s v="L"/>
    <s v="Black"/>
    <x v="2"/>
    <x v="20"/>
    <s v="No"/>
    <x v="3"/>
    <x v="1"/>
    <x v="1"/>
    <x v="39"/>
    <x v="3"/>
    <x v="4"/>
    <x v="0"/>
    <n v="26"/>
    <n v="0"/>
  </r>
  <r>
    <n v="2016"/>
    <x v="9"/>
    <x v="0"/>
    <s v="Belt"/>
    <x v="3"/>
    <n v="82"/>
    <s v="Virginia"/>
    <s v="S"/>
    <s v="Pink"/>
    <x v="2"/>
    <x v="9"/>
    <s v="No"/>
    <x v="2"/>
    <x v="1"/>
    <x v="1"/>
    <x v="6"/>
    <x v="2"/>
    <x v="0"/>
    <x v="0"/>
    <n v="82"/>
    <n v="0"/>
  </r>
  <r>
    <n v="2017"/>
    <x v="10"/>
    <x v="0"/>
    <s v="Shoes"/>
    <x v="1"/>
    <n v="47"/>
    <s v="Maine"/>
    <s v="S"/>
    <s v="Violet"/>
    <x v="0"/>
    <x v="23"/>
    <s v="No"/>
    <x v="3"/>
    <x v="1"/>
    <x v="1"/>
    <x v="41"/>
    <x v="5"/>
    <x v="0"/>
    <x v="0"/>
    <n v="47"/>
    <n v="0"/>
  </r>
  <r>
    <n v="2018"/>
    <x v="27"/>
    <x v="0"/>
    <s v="Socks"/>
    <x v="0"/>
    <n v="32"/>
    <s v="Massachusetts"/>
    <s v="S"/>
    <s v="Green"/>
    <x v="0"/>
    <x v="7"/>
    <s v="No"/>
    <x v="2"/>
    <x v="1"/>
    <x v="1"/>
    <x v="38"/>
    <x v="4"/>
    <x v="6"/>
    <x v="0"/>
    <n v="32"/>
    <n v="0"/>
  </r>
  <r>
    <n v="2019"/>
    <x v="52"/>
    <x v="0"/>
    <s v="Backpack"/>
    <x v="3"/>
    <n v="97"/>
    <s v="Arkansas"/>
    <s v="S"/>
    <s v="Gold"/>
    <x v="3"/>
    <x v="9"/>
    <s v="No"/>
    <x v="5"/>
    <x v="1"/>
    <x v="1"/>
    <x v="41"/>
    <x v="4"/>
    <x v="1"/>
    <x v="0"/>
    <n v="97"/>
    <n v="0"/>
  </r>
  <r>
    <n v="2020"/>
    <x v="18"/>
    <x v="0"/>
    <s v="Shirt"/>
    <x v="0"/>
    <n v="68"/>
    <s v="Idaho"/>
    <s v="S"/>
    <s v="Red"/>
    <x v="0"/>
    <x v="10"/>
    <s v="No"/>
    <x v="5"/>
    <x v="1"/>
    <x v="1"/>
    <x v="2"/>
    <x v="1"/>
    <x v="0"/>
    <x v="2"/>
    <n v="68"/>
    <n v="0"/>
  </r>
  <r>
    <n v="2021"/>
    <x v="38"/>
    <x v="0"/>
    <s v="Sweater"/>
    <x v="0"/>
    <n v="23"/>
    <s v="Pennsylvania"/>
    <s v="M"/>
    <s v="Beige"/>
    <x v="0"/>
    <x v="6"/>
    <s v="No"/>
    <x v="2"/>
    <x v="1"/>
    <x v="1"/>
    <x v="8"/>
    <x v="1"/>
    <x v="3"/>
    <x v="2"/>
    <n v="23"/>
    <n v="0"/>
  </r>
  <r>
    <n v="2022"/>
    <x v="46"/>
    <x v="0"/>
    <s v="Handbag"/>
    <x v="3"/>
    <n v="33"/>
    <s v="Maine"/>
    <s v="M"/>
    <s v="Green"/>
    <x v="0"/>
    <x v="14"/>
    <s v="No"/>
    <x v="3"/>
    <x v="1"/>
    <x v="1"/>
    <x v="26"/>
    <x v="0"/>
    <x v="3"/>
    <x v="0"/>
    <n v="33"/>
    <n v="0"/>
  </r>
  <r>
    <n v="2023"/>
    <x v="35"/>
    <x v="0"/>
    <s v="Jewelry"/>
    <x v="3"/>
    <n v="38"/>
    <s v="Alabama"/>
    <s v="S"/>
    <s v="Black"/>
    <x v="0"/>
    <x v="17"/>
    <s v="No"/>
    <x v="5"/>
    <x v="1"/>
    <x v="1"/>
    <x v="20"/>
    <x v="1"/>
    <x v="4"/>
    <x v="0"/>
    <n v="38"/>
    <n v="0"/>
  </r>
  <r>
    <n v="2024"/>
    <x v="5"/>
    <x v="0"/>
    <s v="Socks"/>
    <x v="0"/>
    <n v="68"/>
    <s v="Idaho"/>
    <s v="S"/>
    <s v="Teal"/>
    <x v="0"/>
    <x v="7"/>
    <s v="No"/>
    <x v="5"/>
    <x v="1"/>
    <x v="1"/>
    <x v="40"/>
    <x v="1"/>
    <x v="4"/>
    <x v="2"/>
    <n v="68"/>
    <n v="0"/>
  </r>
  <r>
    <n v="2025"/>
    <x v="46"/>
    <x v="0"/>
    <s v="Socks"/>
    <x v="0"/>
    <n v="23"/>
    <s v="Arkansas"/>
    <s v="L"/>
    <s v="Silver"/>
    <x v="3"/>
    <x v="18"/>
    <s v="No"/>
    <x v="0"/>
    <x v="1"/>
    <x v="1"/>
    <x v="30"/>
    <x v="3"/>
    <x v="1"/>
    <x v="0"/>
    <n v="23"/>
    <n v="0"/>
  </r>
  <r>
    <n v="2026"/>
    <x v="32"/>
    <x v="0"/>
    <s v="Shirt"/>
    <x v="0"/>
    <n v="29"/>
    <s v="Delaware"/>
    <s v="M"/>
    <s v="Turquoise"/>
    <x v="2"/>
    <x v="21"/>
    <s v="No"/>
    <x v="0"/>
    <x v="1"/>
    <x v="1"/>
    <x v="34"/>
    <x v="5"/>
    <x v="0"/>
    <x v="2"/>
    <n v="29"/>
    <n v="0"/>
  </r>
  <r>
    <n v="2027"/>
    <x v="43"/>
    <x v="0"/>
    <s v="Scarf"/>
    <x v="3"/>
    <n v="35"/>
    <s v="Maine"/>
    <s v="M"/>
    <s v="Orange"/>
    <x v="0"/>
    <x v="15"/>
    <s v="No"/>
    <x v="0"/>
    <x v="1"/>
    <x v="1"/>
    <x v="24"/>
    <x v="4"/>
    <x v="6"/>
    <x v="2"/>
    <n v="35"/>
    <n v="0"/>
  </r>
  <r>
    <n v="2028"/>
    <x v="2"/>
    <x v="0"/>
    <s v="Shoes"/>
    <x v="1"/>
    <n v="73"/>
    <s v="Nebraska"/>
    <s v="S"/>
    <s v="Gold"/>
    <x v="3"/>
    <x v="6"/>
    <s v="No"/>
    <x v="3"/>
    <x v="1"/>
    <x v="1"/>
    <x v="16"/>
    <x v="2"/>
    <x v="6"/>
    <x v="2"/>
    <n v="73"/>
    <n v="0"/>
  </r>
  <r>
    <n v="2029"/>
    <x v="26"/>
    <x v="0"/>
    <s v="Shoes"/>
    <x v="1"/>
    <n v="84"/>
    <s v="Ohio"/>
    <s v="XL"/>
    <s v="Purple"/>
    <x v="3"/>
    <x v="18"/>
    <s v="No"/>
    <x v="4"/>
    <x v="1"/>
    <x v="1"/>
    <x v="9"/>
    <x v="0"/>
    <x v="4"/>
    <x v="2"/>
    <n v="84"/>
    <n v="0"/>
  </r>
  <r>
    <n v="2030"/>
    <x v="15"/>
    <x v="0"/>
    <s v="Scarf"/>
    <x v="3"/>
    <n v="23"/>
    <s v="Montana"/>
    <s v="M"/>
    <s v="Pink"/>
    <x v="1"/>
    <x v="12"/>
    <s v="No"/>
    <x v="2"/>
    <x v="1"/>
    <x v="1"/>
    <x v="19"/>
    <x v="3"/>
    <x v="3"/>
    <x v="1"/>
    <n v="23"/>
    <n v="0"/>
  </r>
  <r>
    <n v="2031"/>
    <x v="17"/>
    <x v="0"/>
    <s v="Sunglasses"/>
    <x v="3"/>
    <n v="67"/>
    <s v="New Mexico"/>
    <s v="S"/>
    <s v="Green"/>
    <x v="2"/>
    <x v="11"/>
    <s v="No"/>
    <x v="3"/>
    <x v="1"/>
    <x v="1"/>
    <x v="25"/>
    <x v="2"/>
    <x v="5"/>
    <x v="0"/>
    <n v="67"/>
    <n v="0"/>
  </r>
  <r>
    <n v="2032"/>
    <x v="3"/>
    <x v="0"/>
    <s v="Socks"/>
    <x v="0"/>
    <n v="51"/>
    <s v="North Carolina"/>
    <s v="L"/>
    <s v="Charcoal"/>
    <x v="1"/>
    <x v="17"/>
    <s v="No"/>
    <x v="3"/>
    <x v="1"/>
    <x v="1"/>
    <x v="1"/>
    <x v="2"/>
    <x v="5"/>
    <x v="1"/>
    <n v="51"/>
    <n v="0"/>
  </r>
  <r>
    <n v="2033"/>
    <x v="5"/>
    <x v="0"/>
    <s v="Blouse"/>
    <x v="0"/>
    <n v="36"/>
    <s v="South Carolina"/>
    <s v="M"/>
    <s v="Maroon"/>
    <x v="0"/>
    <x v="19"/>
    <s v="No"/>
    <x v="2"/>
    <x v="1"/>
    <x v="1"/>
    <x v="21"/>
    <x v="1"/>
    <x v="2"/>
    <x v="2"/>
    <n v="36"/>
    <n v="0"/>
  </r>
  <r>
    <n v="2034"/>
    <x v="9"/>
    <x v="0"/>
    <s v="Jeans"/>
    <x v="0"/>
    <n v="55"/>
    <s v="Illinois"/>
    <s v="L"/>
    <s v="Olive"/>
    <x v="2"/>
    <x v="15"/>
    <s v="No"/>
    <x v="0"/>
    <x v="1"/>
    <x v="1"/>
    <x v="42"/>
    <x v="0"/>
    <x v="2"/>
    <x v="0"/>
    <n v="55"/>
    <n v="0"/>
  </r>
  <r>
    <n v="2035"/>
    <x v="12"/>
    <x v="0"/>
    <s v="Shorts"/>
    <x v="0"/>
    <n v="30"/>
    <s v="Alabama"/>
    <s v="M"/>
    <s v="Peach"/>
    <x v="1"/>
    <x v="3"/>
    <s v="No"/>
    <x v="5"/>
    <x v="1"/>
    <x v="1"/>
    <x v="46"/>
    <x v="3"/>
    <x v="5"/>
    <x v="0"/>
    <n v="30"/>
    <n v="0"/>
  </r>
  <r>
    <n v="2036"/>
    <x v="10"/>
    <x v="0"/>
    <s v="T-shirt"/>
    <x v="0"/>
    <n v="70"/>
    <s v="Oklahoma"/>
    <s v="S"/>
    <s v="Yellow"/>
    <x v="2"/>
    <x v="7"/>
    <s v="No"/>
    <x v="0"/>
    <x v="1"/>
    <x v="1"/>
    <x v="34"/>
    <x v="4"/>
    <x v="1"/>
    <x v="0"/>
    <n v="70"/>
    <n v="0"/>
  </r>
  <r>
    <n v="2037"/>
    <x v="43"/>
    <x v="0"/>
    <s v="Blouse"/>
    <x v="0"/>
    <n v="63"/>
    <s v="Minnesota"/>
    <s v="S"/>
    <s v="Lavender"/>
    <x v="0"/>
    <x v="0"/>
    <s v="No"/>
    <x v="2"/>
    <x v="1"/>
    <x v="1"/>
    <x v="15"/>
    <x v="1"/>
    <x v="1"/>
    <x v="2"/>
    <n v="63"/>
    <n v="0"/>
  </r>
  <r>
    <n v="2038"/>
    <x v="31"/>
    <x v="0"/>
    <s v="Belt"/>
    <x v="3"/>
    <n v="87"/>
    <s v="Illinois"/>
    <s v="S"/>
    <s v="Green"/>
    <x v="2"/>
    <x v="24"/>
    <s v="No"/>
    <x v="0"/>
    <x v="1"/>
    <x v="1"/>
    <x v="22"/>
    <x v="0"/>
    <x v="4"/>
    <x v="2"/>
    <n v="87"/>
    <n v="0"/>
  </r>
  <r>
    <n v="2039"/>
    <x v="10"/>
    <x v="0"/>
    <s v="Blouse"/>
    <x v="0"/>
    <n v="70"/>
    <s v="Arkansas"/>
    <s v="L"/>
    <s v="Orange"/>
    <x v="1"/>
    <x v="14"/>
    <s v="No"/>
    <x v="2"/>
    <x v="1"/>
    <x v="1"/>
    <x v="31"/>
    <x v="2"/>
    <x v="0"/>
    <x v="0"/>
    <n v="70"/>
    <n v="0"/>
  </r>
  <r>
    <n v="2040"/>
    <x v="25"/>
    <x v="0"/>
    <s v="T-shirt"/>
    <x v="0"/>
    <n v="51"/>
    <s v="Minnesota"/>
    <s v="M"/>
    <s v="Olive"/>
    <x v="1"/>
    <x v="0"/>
    <s v="No"/>
    <x v="2"/>
    <x v="1"/>
    <x v="1"/>
    <x v="4"/>
    <x v="5"/>
    <x v="4"/>
    <x v="2"/>
    <n v="51"/>
    <n v="0"/>
  </r>
  <r>
    <n v="2041"/>
    <x v="28"/>
    <x v="0"/>
    <s v="Jewelry"/>
    <x v="3"/>
    <n v="25"/>
    <s v="South Carolina"/>
    <s v="XL"/>
    <s v="Gray"/>
    <x v="1"/>
    <x v="3"/>
    <s v="No"/>
    <x v="1"/>
    <x v="1"/>
    <x v="1"/>
    <x v="38"/>
    <x v="0"/>
    <x v="3"/>
    <x v="0"/>
    <n v="25"/>
    <n v="0"/>
  </r>
  <r>
    <n v="2042"/>
    <x v="17"/>
    <x v="0"/>
    <s v="Jacket"/>
    <x v="2"/>
    <n v="32"/>
    <s v="New York"/>
    <s v="S"/>
    <s v="Lavender"/>
    <x v="0"/>
    <x v="4"/>
    <s v="No"/>
    <x v="2"/>
    <x v="1"/>
    <x v="1"/>
    <x v="0"/>
    <x v="3"/>
    <x v="4"/>
    <x v="0"/>
    <n v="32"/>
    <n v="0"/>
  </r>
  <r>
    <n v="2043"/>
    <x v="1"/>
    <x v="0"/>
    <s v="Shoes"/>
    <x v="1"/>
    <n v="52"/>
    <s v="Alabama"/>
    <s v="M"/>
    <s v="Red"/>
    <x v="1"/>
    <x v="17"/>
    <s v="No"/>
    <x v="4"/>
    <x v="1"/>
    <x v="1"/>
    <x v="31"/>
    <x v="0"/>
    <x v="5"/>
    <x v="1"/>
    <n v="52"/>
    <n v="0"/>
  </r>
  <r>
    <n v="2044"/>
    <x v="36"/>
    <x v="0"/>
    <s v="Gloves"/>
    <x v="3"/>
    <n v="33"/>
    <s v="New York"/>
    <s v="M"/>
    <s v="Charcoal"/>
    <x v="2"/>
    <x v="2"/>
    <s v="No"/>
    <x v="3"/>
    <x v="1"/>
    <x v="1"/>
    <x v="3"/>
    <x v="3"/>
    <x v="1"/>
    <x v="2"/>
    <n v="33"/>
    <n v="0"/>
  </r>
  <r>
    <n v="2045"/>
    <x v="34"/>
    <x v="0"/>
    <s v="Jeans"/>
    <x v="0"/>
    <n v="68"/>
    <s v="Missouri"/>
    <s v="L"/>
    <s v="Orange"/>
    <x v="1"/>
    <x v="21"/>
    <s v="No"/>
    <x v="1"/>
    <x v="1"/>
    <x v="1"/>
    <x v="14"/>
    <x v="3"/>
    <x v="0"/>
    <x v="2"/>
    <n v="68"/>
    <n v="0"/>
  </r>
  <r>
    <n v="2046"/>
    <x v="18"/>
    <x v="0"/>
    <s v="Jewelry"/>
    <x v="3"/>
    <n v="20"/>
    <s v="Georgia"/>
    <s v="M"/>
    <s v="Red"/>
    <x v="3"/>
    <x v="14"/>
    <s v="No"/>
    <x v="0"/>
    <x v="1"/>
    <x v="1"/>
    <x v="8"/>
    <x v="3"/>
    <x v="3"/>
    <x v="2"/>
    <n v="20"/>
    <n v="0"/>
  </r>
  <r>
    <n v="2047"/>
    <x v="31"/>
    <x v="0"/>
    <s v="Pants"/>
    <x v="0"/>
    <n v="32"/>
    <s v="Oklahoma"/>
    <s v="M"/>
    <s v="Maroon"/>
    <x v="0"/>
    <x v="11"/>
    <s v="No"/>
    <x v="1"/>
    <x v="1"/>
    <x v="1"/>
    <x v="48"/>
    <x v="1"/>
    <x v="6"/>
    <x v="2"/>
    <n v="32"/>
    <n v="0"/>
  </r>
  <r>
    <n v="2048"/>
    <x v="44"/>
    <x v="0"/>
    <s v="Jewelry"/>
    <x v="3"/>
    <n v="82"/>
    <s v="Connecticut"/>
    <s v="M"/>
    <s v="Silver"/>
    <x v="2"/>
    <x v="0"/>
    <s v="No"/>
    <x v="5"/>
    <x v="1"/>
    <x v="1"/>
    <x v="18"/>
    <x v="1"/>
    <x v="2"/>
    <x v="0"/>
    <n v="82"/>
    <n v="0"/>
  </r>
  <r>
    <n v="2049"/>
    <x v="4"/>
    <x v="0"/>
    <s v="Sneakers"/>
    <x v="1"/>
    <n v="64"/>
    <s v="Michigan"/>
    <s v="XL"/>
    <s v="Pink"/>
    <x v="0"/>
    <x v="20"/>
    <s v="No"/>
    <x v="0"/>
    <x v="1"/>
    <x v="1"/>
    <x v="31"/>
    <x v="4"/>
    <x v="3"/>
    <x v="2"/>
    <n v="64"/>
    <n v="0"/>
  </r>
  <r>
    <n v="2050"/>
    <x v="33"/>
    <x v="0"/>
    <s v="Boots"/>
    <x v="1"/>
    <n v="24"/>
    <s v="Rhode Island"/>
    <s v="L"/>
    <s v="Blue"/>
    <x v="3"/>
    <x v="2"/>
    <s v="No"/>
    <x v="3"/>
    <x v="1"/>
    <x v="1"/>
    <x v="28"/>
    <x v="0"/>
    <x v="2"/>
    <x v="0"/>
    <n v="24"/>
    <n v="0"/>
  </r>
  <r>
    <n v="2051"/>
    <x v="25"/>
    <x v="0"/>
    <s v="Hat"/>
    <x v="3"/>
    <n v="96"/>
    <s v="Mississippi"/>
    <s v="M"/>
    <s v="Teal"/>
    <x v="2"/>
    <x v="23"/>
    <s v="No"/>
    <x v="5"/>
    <x v="1"/>
    <x v="1"/>
    <x v="9"/>
    <x v="5"/>
    <x v="2"/>
    <x v="2"/>
    <n v="96"/>
    <n v="0"/>
  </r>
  <r>
    <n v="2052"/>
    <x v="13"/>
    <x v="0"/>
    <s v="T-shirt"/>
    <x v="0"/>
    <n v="94"/>
    <s v="Massachusetts"/>
    <s v="L"/>
    <s v="Black"/>
    <x v="1"/>
    <x v="22"/>
    <s v="No"/>
    <x v="1"/>
    <x v="1"/>
    <x v="1"/>
    <x v="0"/>
    <x v="2"/>
    <x v="5"/>
    <x v="0"/>
    <n v="94"/>
    <n v="0"/>
  </r>
  <r>
    <n v="2053"/>
    <x v="4"/>
    <x v="0"/>
    <s v="Backpack"/>
    <x v="3"/>
    <n v="48"/>
    <s v="New Hampshire"/>
    <s v="M"/>
    <s v="Gray"/>
    <x v="0"/>
    <x v="18"/>
    <s v="No"/>
    <x v="4"/>
    <x v="1"/>
    <x v="1"/>
    <x v="48"/>
    <x v="4"/>
    <x v="2"/>
    <x v="2"/>
    <n v="48"/>
    <n v="0"/>
  </r>
  <r>
    <n v="2054"/>
    <x v="1"/>
    <x v="0"/>
    <s v="Sunglasses"/>
    <x v="3"/>
    <n v="60"/>
    <s v="Wyoming"/>
    <s v="S"/>
    <s v="Purple"/>
    <x v="1"/>
    <x v="9"/>
    <s v="No"/>
    <x v="4"/>
    <x v="1"/>
    <x v="1"/>
    <x v="20"/>
    <x v="2"/>
    <x v="0"/>
    <x v="1"/>
    <n v="60"/>
    <n v="0"/>
  </r>
  <r>
    <n v="2055"/>
    <x v="13"/>
    <x v="0"/>
    <s v="Sweater"/>
    <x v="0"/>
    <n v="56"/>
    <s v="New Jersey"/>
    <s v="XL"/>
    <s v="Gold"/>
    <x v="1"/>
    <x v="3"/>
    <s v="No"/>
    <x v="0"/>
    <x v="1"/>
    <x v="1"/>
    <x v="0"/>
    <x v="3"/>
    <x v="2"/>
    <x v="0"/>
    <n v="56"/>
    <n v="0"/>
  </r>
  <r>
    <n v="2056"/>
    <x v="48"/>
    <x v="0"/>
    <s v="Handbag"/>
    <x v="3"/>
    <n v="33"/>
    <s v="Texas"/>
    <s v="M"/>
    <s v="Silver"/>
    <x v="3"/>
    <x v="23"/>
    <s v="No"/>
    <x v="4"/>
    <x v="1"/>
    <x v="1"/>
    <x v="40"/>
    <x v="4"/>
    <x v="1"/>
    <x v="2"/>
    <n v="33"/>
    <n v="0"/>
  </r>
  <r>
    <n v="2057"/>
    <x v="0"/>
    <x v="0"/>
    <s v="Backpack"/>
    <x v="3"/>
    <n v="46"/>
    <s v="Minnesota"/>
    <s v="L"/>
    <s v="Blue"/>
    <x v="1"/>
    <x v="14"/>
    <s v="No"/>
    <x v="4"/>
    <x v="1"/>
    <x v="1"/>
    <x v="32"/>
    <x v="3"/>
    <x v="5"/>
    <x v="0"/>
    <n v="46"/>
    <n v="0"/>
  </r>
  <r>
    <n v="2058"/>
    <x v="17"/>
    <x v="0"/>
    <s v="Socks"/>
    <x v="0"/>
    <n v="37"/>
    <s v="South Dakota"/>
    <s v="L"/>
    <s v="Yellow"/>
    <x v="1"/>
    <x v="19"/>
    <s v="No"/>
    <x v="3"/>
    <x v="1"/>
    <x v="1"/>
    <x v="36"/>
    <x v="3"/>
    <x v="6"/>
    <x v="0"/>
    <n v="37"/>
    <n v="0"/>
  </r>
  <r>
    <n v="2059"/>
    <x v="26"/>
    <x v="0"/>
    <s v="Shirt"/>
    <x v="0"/>
    <n v="98"/>
    <s v="Washington"/>
    <s v="M"/>
    <s v="Brown"/>
    <x v="0"/>
    <x v="13"/>
    <s v="No"/>
    <x v="5"/>
    <x v="1"/>
    <x v="1"/>
    <x v="14"/>
    <x v="4"/>
    <x v="3"/>
    <x v="2"/>
    <n v="98"/>
    <n v="0"/>
  </r>
  <r>
    <n v="2060"/>
    <x v="19"/>
    <x v="0"/>
    <s v="Shorts"/>
    <x v="0"/>
    <n v="50"/>
    <s v="California"/>
    <s v="XL"/>
    <s v="Beige"/>
    <x v="1"/>
    <x v="18"/>
    <s v="No"/>
    <x v="0"/>
    <x v="1"/>
    <x v="1"/>
    <x v="16"/>
    <x v="3"/>
    <x v="1"/>
    <x v="0"/>
    <n v="50"/>
    <n v="0"/>
  </r>
  <r>
    <n v="2061"/>
    <x v="3"/>
    <x v="0"/>
    <s v="Belt"/>
    <x v="3"/>
    <n v="63"/>
    <s v="Wisconsin"/>
    <s v="M"/>
    <s v="Blue"/>
    <x v="3"/>
    <x v="4"/>
    <s v="No"/>
    <x v="2"/>
    <x v="1"/>
    <x v="1"/>
    <x v="2"/>
    <x v="4"/>
    <x v="3"/>
    <x v="1"/>
    <n v="63"/>
    <n v="0"/>
  </r>
  <r>
    <n v="2062"/>
    <x v="45"/>
    <x v="0"/>
    <s v="Sweater"/>
    <x v="0"/>
    <n v="70"/>
    <s v="Michigan"/>
    <s v="S"/>
    <s v="Magenta"/>
    <x v="2"/>
    <x v="5"/>
    <s v="No"/>
    <x v="5"/>
    <x v="1"/>
    <x v="1"/>
    <x v="17"/>
    <x v="5"/>
    <x v="2"/>
    <x v="2"/>
    <n v="70"/>
    <n v="0"/>
  </r>
  <r>
    <n v="2063"/>
    <x v="22"/>
    <x v="0"/>
    <s v="Coat"/>
    <x v="2"/>
    <n v="63"/>
    <s v="South Carolina"/>
    <s v="L"/>
    <s v="Silver"/>
    <x v="3"/>
    <x v="11"/>
    <s v="No"/>
    <x v="3"/>
    <x v="1"/>
    <x v="1"/>
    <x v="28"/>
    <x v="1"/>
    <x v="3"/>
    <x v="0"/>
    <n v="63"/>
    <n v="0"/>
  </r>
  <r>
    <n v="2064"/>
    <x v="12"/>
    <x v="0"/>
    <s v="Shorts"/>
    <x v="0"/>
    <n v="86"/>
    <s v="Indiana"/>
    <s v="M"/>
    <s v="Cyan"/>
    <x v="3"/>
    <x v="3"/>
    <s v="No"/>
    <x v="3"/>
    <x v="1"/>
    <x v="1"/>
    <x v="18"/>
    <x v="1"/>
    <x v="5"/>
    <x v="0"/>
    <n v="86"/>
    <n v="0"/>
  </r>
  <r>
    <n v="2065"/>
    <x v="18"/>
    <x v="0"/>
    <s v="Shoes"/>
    <x v="1"/>
    <n v="99"/>
    <s v="Arkansas"/>
    <s v="M"/>
    <s v="Green"/>
    <x v="2"/>
    <x v="17"/>
    <s v="No"/>
    <x v="4"/>
    <x v="1"/>
    <x v="1"/>
    <x v="36"/>
    <x v="4"/>
    <x v="5"/>
    <x v="2"/>
    <n v="99"/>
    <n v="0"/>
  </r>
  <r>
    <n v="2066"/>
    <x v="7"/>
    <x v="0"/>
    <s v="Sneakers"/>
    <x v="1"/>
    <n v="40"/>
    <s v="Oregon"/>
    <s v="M"/>
    <s v="Blue"/>
    <x v="1"/>
    <x v="3"/>
    <s v="No"/>
    <x v="1"/>
    <x v="1"/>
    <x v="1"/>
    <x v="49"/>
    <x v="4"/>
    <x v="4"/>
    <x v="2"/>
    <n v="40"/>
    <n v="0"/>
  </r>
  <r>
    <n v="2067"/>
    <x v="14"/>
    <x v="0"/>
    <s v="Sneakers"/>
    <x v="1"/>
    <n v="92"/>
    <s v="Illinois"/>
    <s v="M"/>
    <s v="Olive"/>
    <x v="3"/>
    <x v="10"/>
    <s v="No"/>
    <x v="5"/>
    <x v="1"/>
    <x v="1"/>
    <x v="12"/>
    <x v="5"/>
    <x v="0"/>
    <x v="0"/>
    <n v="92"/>
    <n v="0"/>
  </r>
  <r>
    <n v="2068"/>
    <x v="52"/>
    <x v="0"/>
    <s v="Pants"/>
    <x v="0"/>
    <n v="21"/>
    <s v="Maryland"/>
    <s v="XL"/>
    <s v="Beige"/>
    <x v="3"/>
    <x v="0"/>
    <s v="No"/>
    <x v="4"/>
    <x v="1"/>
    <x v="1"/>
    <x v="2"/>
    <x v="1"/>
    <x v="0"/>
    <x v="0"/>
    <n v="21"/>
    <n v="0"/>
  </r>
  <r>
    <n v="2069"/>
    <x v="27"/>
    <x v="0"/>
    <s v="Jewelry"/>
    <x v="3"/>
    <n v="81"/>
    <s v="Vermont"/>
    <s v="XL"/>
    <s v="Black"/>
    <x v="2"/>
    <x v="20"/>
    <s v="No"/>
    <x v="5"/>
    <x v="1"/>
    <x v="1"/>
    <x v="12"/>
    <x v="0"/>
    <x v="5"/>
    <x v="0"/>
    <n v="81"/>
    <n v="0"/>
  </r>
  <r>
    <n v="2070"/>
    <x v="24"/>
    <x v="0"/>
    <s v="T-shirt"/>
    <x v="0"/>
    <n v="82"/>
    <s v="Texas"/>
    <s v="M"/>
    <s v="Indigo"/>
    <x v="3"/>
    <x v="23"/>
    <s v="No"/>
    <x v="1"/>
    <x v="1"/>
    <x v="1"/>
    <x v="35"/>
    <x v="5"/>
    <x v="3"/>
    <x v="2"/>
    <n v="82"/>
    <n v="0"/>
  </r>
  <r>
    <n v="2071"/>
    <x v="19"/>
    <x v="0"/>
    <s v="Jewelry"/>
    <x v="3"/>
    <n v="88"/>
    <s v="Nebraska"/>
    <s v="XL"/>
    <s v="Red"/>
    <x v="1"/>
    <x v="0"/>
    <s v="No"/>
    <x v="0"/>
    <x v="1"/>
    <x v="1"/>
    <x v="0"/>
    <x v="1"/>
    <x v="5"/>
    <x v="0"/>
    <n v="88"/>
    <n v="0"/>
  </r>
  <r>
    <n v="2072"/>
    <x v="28"/>
    <x v="0"/>
    <s v="Jacket"/>
    <x v="2"/>
    <n v="100"/>
    <s v="South Carolina"/>
    <s v="S"/>
    <s v="Yellow"/>
    <x v="3"/>
    <x v="6"/>
    <s v="No"/>
    <x v="5"/>
    <x v="1"/>
    <x v="1"/>
    <x v="10"/>
    <x v="3"/>
    <x v="3"/>
    <x v="0"/>
    <n v="100"/>
    <n v="0"/>
  </r>
  <r>
    <n v="2073"/>
    <x v="31"/>
    <x v="0"/>
    <s v="Backpack"/>
    <x v="3"/>
    <n v="66"/>
    <s v="Massachusetts"/>
    <s v="M"/>
    <s v="Beige"/>
    <x v="0"/>
    <x v="20"/>
    <s v="No"/>
    <x v="2"/>
    <x v="1"/>
    <x v="1"/>
    <x v="17"/>
    <x v="4"/>
    <x v="1"/>
    <x v="2"/>
    <n v="66"/>
    <n v="0"/>
  </r>
  <r>
    <n v="2074"/>
    <x v="21"/>
    <x v="0"/>
    <s v="Belt"/>
    <x v="3"/>
    <n v="25"/>
    <s v="Texas"/>
    <s v="S"/>
    <s v="Green"/>
    <x v="0"/>
    <x v="1"/>
    <s v="No"/>
    <x v="2"/>
    <x v="1"/>
    <x v="1"/>
    <x v="1"/>
    <x v="3"/>
    <x v="6"/>
    <x v="2"/>
    <n v="25"/>
    <n v="0"/>
  </r>
  <r>
    <n v="2075"/>
    <x v="24"/>
    <x v="0"/>
    <s v="Scarf"/>
    <x v="3"/>
    <n v="53"/>
    <s v="Florida"/>
    <s v="M"/>
    <s v="White"/>
    <x v="2"/>
    <x v="0"/>
    <s v="No"/>
    <x v="1"/>
    <x v="1"/>
    <x v="1"/>
    <x v="12"/>
    <x v="5"/>
    <x v="0"/>
    <x v="2"/>
    <n v="53"/>
    <n v="0"/>
  </r>
  <r>
    <n v="2076"/>
    <x v="5"/>
    <x v="0"/>
    <s v="Sweater"/>
    <x v="0"/>
    <n v="28"/>
    <s v="South Carolina"/>
    <s v="S"/>
    <s v="Turquoise"/>
    <x v="3"/>
    <x v="10"/>
    <s v="No"/>
    <x v="0"/>
    <x v="1"/>
    <x v="1"/>
    <x v="3"/>
    <x v="5"/>
    <x v="5"/>
    <x v="2"/>
    <n v="28"/>
    <n v="0"/>
  </r>
  <r>
    <n v="2077"/>
    <x v="35"/>
    <x v="0"/>
    <s v="Gloves"/>
    <x v="3"/>
    <n v="23"/>
    <s v="Florida"/>
    <s v="S"/>
    <s v="Indigo"/>
    <x v="3"/>
    <x v="12"/>
    <s v="No"/>
    <x v="1"/>
    <x v="1"/>
    <x v="1"/>
    <x v="17"/>
    <x v="5"/>
    <x v="4"/>
    <x v="0"/>
    <n v="23"/>
    <n v="0"/>
  </r>
  <r>
    <n v="2078"/>
    <x v="14"/>
    <x v="0"/>
    <s v="Scarf"/>
    <x v="3"/>
    <n v="34"/>
    <s v="Nebraska"/>
    <s v="L"/>
    <s v="Orange"/>
    <x v="3"/>
    <x v="13"/>
    <s v="No"/>
    <x v="1"/>
    <x v="1"/>
    <x v="1"/>
    <x v="8"/>
    <x v="4"/>
    <x v="2"/>
    <x v="0"/>
    <n v="34"/>
    <n v="0"/>
  </r>
  <r>
    <n v="2079"/>
    <x v="34"/>
    <x v="0"/>
    <s v="Dress"/>
    <x v="0"/>
    <n v="42"/>
    <s v="Hawaii"/>
    <s v="M"/>
    <s v="Blue"/>
    <x v="1"/>
    <x v="4"/>
    <s v="No"/>
    <x v="2"/>
    <x v="1"/>
    <x v="1"/>
    <x v="19"/>
    <x v="5"/>
    <x v="1"/>
    <x v="2"/>
    <n v="42"/>
    <n v="0"/>
  </r>
  <r>
    <n v="2080"/>
    <x v="45"/>
    <x v="0"/>
    <s v="Jeans"/>
    <x v="0"/>
    <n v="24"/>
    <s v="Montana"/>
    <s v="L"/>
    <s v="Violet"/>
    <x v="2"/>
    <x v="0"/>
    <s v="No"/>
    <x v="2"/>
    <x v="1"/>
    <x v="1"/>
    <x v="20"/>
    <x v="3"/>
    <x v="3"/>
    <x v="2"/>
    <n v="24"/>
    <n v="0"/>
  </r>
  <r>
    <n v="2081"/>
    <x v="26"/>
    <x v="0"/>
    <s v="Sunglasses"/>
    <x v="3"/>
    <n v="47"/>
    <s v="South Dakota"/>
    <s v="S"/>
    <s v="Gray"/>
    <x v="3"/>
    <x v="1"/>
    <s v="No"/>
    <x v="1"/>
    <x v="1"/>
    <x v="1"/>
    <x v="14"/>
    <x v="5"/>
    <x v="4"/>
    <x v="2"/>
    <n v="47"/>
    <n v="0"/>
  </r>
  <r>
    <n v="2082"/>
    <x v="41"/>
    <x v="0"/>
    <s v="Coat"/>
    <x v="2"/>
    <n v="78"/>
    <s v="Alabama"/>
    <s v="S"/>
    <s v="Cyan"/>
    <x v="1"/>
    <x v="24"/>
    <s v="No"/>
    <x v="3"/>
    <x v="1"/>
    <x v="1"/>
    <x v="26"/>
    <x v="4"/>
    <x v="4"/>
    <x v="1"/>
    <n v="78"/>
    <n v="0"/>
  </r>
  <r>
    <n v="2083"/>
    <x v="38"/>
    <x v="0"/>
    <s v="Jeans"/>
    <x v="0"/>
    <n v="89"/>
    <s v="Arkansas"/>
    <s v="M"/>
    <s v="Yellow"/>
    <x v="2"/>
    <x v="3"/>
    <s v="No"/>
    <x v="1"/>
    <x v="1"/>
    <x v="1"/>
    <x v="40"/>
    <x v="0"/>
    <x v="6"/>
    <x v="2"/>
    <n v="89"/>
    <n v="0"/>
  </r>
  <r>
    <n v="2084"/>
    <x v="38"/>
    <x v="0"/>
    <s v="Scarf"/>
    <x v="3"/>
    <n v="59"/>
    <s v="Mississippi"/>
    <s v="L"/>
    <s v="Orange"/>
    <x v="3"/>
    <x v="2"/>
    <s v="No"/>
    <x v="5"/>
    <x v="1"/>
    <x v="1"/>
    <x v="8"/>
    <x v="2"/>
    <x v="0"/>
    <x v="2"/>
    <n v="59"/>
    <n v="0"/>
  </r>
  <r>
    <n v="2085"/>
    <x v="45"/>
    <x v="0"/>
    <s v="Blouse"/>
    <x v="0"/>
    <n v="94"/>
    <s v="Vermont"/>
    <s v="S"/>
    <s v="Brown"/>
    <x v="2"/>
    <x v="17"/>
    <s v="No"/>
    <x v="3"/>
    <x v="1"/>
    <x v="1"/>
    <x v="34"/>
    <x v="4"/>
    <x v="3"/>
    <x v="2"/>
    <n v="94"/>
    <n v="0"/>
  </r>
  <r>
    <n v="2086"/>
    <x v="28"/>
    <x v="0"/>
    <s v="Jeans"/>
    <x v="0"/>
    <n v="49"/>
    <s v="New York"/>
    <s v="M"/>
    <s v="Teal"/>
    <x v="3"/>
    <x v="12"/>
    <s v="No"/>
    <x v="1"/>
    <x v="1"/>
    <x v="1"/>
    <x v="25"/>
    <x v="5"/>
    <x v="1"/>
    <x v="0"/>
    <n v="49"/>
    <n v="0"/>
  </r>
  <r>
    <n v="2087"/>
    <x v="13"/>
    <x v="0"/>
    <s v="Dress"/>
    <x v="0"/>
    <n v="89"/>
    <s v="North Dakota"/>
    <s v="L"/>
    <s v="Beige"/>
    <x v="2"/>
    <x v="10"/>
    <s v="No"/>
    <x v="4"/>
    <x v="1"/>
    <x v="1"/>
    <x v="13"/>
    <x v="1"/>
    <x v="6"/>
    <x v="0"/>
    <n v="89"/>
    <n v="0"/>
  </r>
  <r>
    <n v="2088"/>
    <x v="22"/>
    <x v="0"/>
    <s v="Hat"/>
    <x v="3"/>
    <n v="91"/>
    <s v="Wisconsin"/>
    <s v="M"/>
    <s v="Blue"/>
    <x v="2"/>
    <x v="10"/>
    <s v="No"/>
    <x v="3"/>
    <x v="1"/>
    <x v="1"/>
    <x v="43"/>
    <x v="2"/>
    <x v="1"/>
    <x v="0"/>
    <n v="91"/>
    <n v="0"/>
  </r>
  <r>
    <n v="2089"/>
    <x v="31"/>
    <x v="0"/>
    <s v="Sandals"/>
    <x v="1"/>
    <n v="89"/>
    <s v="California"/>
    <s v="L"/>
    <s v="Orange"/>
    <x v="1"/>
    <x v="17"/>
    <s v="No"/>
    <x v="3"/>
    <x v="1"/>
    <x v="1"/>
    <x v="3"/>
    <x v="5"/>
    <x v="2"/>
    <x v="2"/>
    <n v="89"/>
    <n v="0"/>
  </r>
  <r>
    <n v="2090"/>
    <x v="43"/>
    <x v="0"/>
    <s v="Jacket"/>
    <x v="2"/>
    <n v="57"/>
    <s v="Maryland"/>
    <s v="L"/>
    <s v="Gold"/>
    <x v="1"/>
    <x v="15"/>
    <s v="No"/>
    <x v="1"/>
    <x v="1"/>
    <x v="1"/>
    <x v="23"/>
    <x v="2"/>
    <x v="6"/>
    <x v="2"/>
    <n v="57"/>
    <n v="0"/>
  </r>
  <r>
    <n v="2091"/>
    <x v="47"/>
    <x v="0"/>
    <s v="Socks"/>
    <x v="0"/>
    <n v="71"/>
    <s v="Massachusetts"/>
    <s v="S"/>
    <s v="Teal"/>
    <x v="0"/>
    <x v="23"/>
    <s v="No"/>
    <x v="1"/>
    <x v="1"/>
    <x v="1"/>
    <x v="33"/>
    <x v="5"/>
    <x v="5"/>
    <x v="0"/>
    <n v="71"/>
    <n v="0"/>
  </r>
  <r>
    <n v="2092"/>
    <x v="8"/>
    <x v="0"/>
    <s v="Jeans"/>
    <x v="0"/>
    <n v="97"/>
    <s v="Washington"/>
    <s v="XL"/>
    <s v="Beige"/>
    <x v="3"/>
    <x v="21"/>
    <s v="No"/>
    <x v="2"/>
    <x v="1"/>
    <x v="1"/>
    <x v="37"/>
    <x v="4"/>
    <x v="3"/>
    <x v="2"/>
    <n v="97"/>
    <n v="0"/>
  </r>
  <r>
    <n v="2093"/>
    <x v="32"/>
    <x v="0"/>
    <s v="Sandals"/>
    <x v="1"/>
    <n v="45"/>
    <s v="Minnesota"/>
    <s v="M"/>
    <s v="Silver"/>
    <x v="3"/>
    <x v="5"/>
    <s v="No"/>
    <x v="2"/>
    <x v="1"/>
    <x v="1"/>
    <x v="46"/>
    <x v="4"/>
    <x v="1"/>
    <x v="2"/>
    <n v="45"/>
    <n v="0"/>
  </r>
  <r>
    <n v="2094"/>
    <x v="3"/>
    <x v="0"/>
    <s v="Dress"/>
    <x v="0"/>
    <n v="91"/>
    <s v="Washington"/>
    <s v="M"/>
    <s v="Maroon"/>
    <x v="1"/>
    <x v="19"/>
    <s v="No"/>
    <x v="5"/>
    <x v="1"/>
    <x v="1"/>
    <x v="7"/>
    <x v="5"/>
    <x v="2"/>
    <x v="1"/>
    <n v="91"/>
    <n v="0"/>
  </r>
  <r>
    <n v="2095"/>
    <x v="10"/>
    <x v="0"/>
    <s v="Socks"/>
    <x v="0"/>
    <n v="25"/>
    <s v="South Carolina"/>
    <s v="M"/>
    <s v="Indigo"/>
    <x v="1"/>
    <x v="23"/>
    <s v="No"/>
    <x v="3"/>
    <x v="1"/>
    <x v="1"/>
    <x v="5"/>
    <x v="0"/>
    <x v="2"/>
    <x v="0"/>
    <n v="25"/>
    <n v="0"/>
  </r>
  <r>
    <n v="2096"/>
    <x v="24"/>
    <x v="0"/>
    <s v="Hoodie"/>
    <x v="0"/>
    <n v="63"/>
    <s v="New Mexico"/>
    <s v="M"/>
    <s v="Gray"/>
    <x v="3"/>
    <x v="17"/>
    <s v="No"/>
    <x v="5"/>
    <x v="1"/>
    <x v="1"/>
    <x v="43"/>
    <x v="4"/>
    <x v="0"/>
    <x v="2"/>
    <n v="63"/>
    <n v="0"/>
  </r>
  <r>
    <n v="2097"/>
    <x v="3"/>
    <x v="0"/>
    <s v="Dress"/>
    <x v="0"/>
    <n v="52"/>
    <s v="North Carolina"/>
    <s v="L"/>
    <s v="Blue"/>
    <x v="2"/>
    <x v="10"/>
    <s v="No"/>
    <x v="1"/>
    <x v="1"/>
    <x v="1"/>
    <x v="46"/>
    <x v="5"/>
    <x v="2"/>
    <x v="1"/>
    <n v="52"/>
    <n v="0"/>
  </r>
  <r>
    <n v="2098"/>
    <x v="23"/>
    <x v="0"/>
    <s v="Sneakers"/>
    <x v="1"/>
    <n v="43"/>
    <s v="Iowa"/>
    <s v="S"/>
    <s v="Cyan"/>
    <x v="0"/>
    <x v="20"/>
    <s v="No"/>
    <x v="2"/>
    <x v="1"/>
    <x v="1"/>
    <x v="36"/>
    <x v="2"/>
    <x v="1"/>
    <x v="2"/>
    <n v="43"/>
    <n v="0"/>
  </r>
  <r>
    <n v="2099"/>
    <x v="34"/>
    <x v="0"/>
    <s v="T-shirt"/>
    <x v="0"/>
    <n v="28"/>
    <s v="Louisiana"/>
    <s v="M"/>
    <s v="White"/>
    <x v="2"/>
    <x v="13"/>
    <s v="No"/>
    <x v="4"/>
    <x v="1"/>
    <x v="1"/>
    <x v="41"/>
    <x v="0"/>
    <x v="3"/>
    <x v="2"/>
    <n v="28"/>
    <n v="0"/>
  </r>
  <r>
    <n v="2100"/>
    <x v="18"/>
    <x v="0"/>
    <s v="T-shirt"/>
    <x v="0"/>
    <n v="78"/>
    <s v="Oklahoma"/>
    <s v="L"/>
    <s v="Green"/>
    <x v="2"/>
    <x v="3"/>
    <s v="No"/>
    <x v="0"/>
    <x v="1"/>
    <x v="1"/>
    <x v="16"/>
    <x v="3"/>
    <x v="2"/>
    <x v="2"/>
    <n v="78"/>
    <n v="0"/>
  </r>
  <r>
    <n v="2101"/>
    <x v="33"/>
    <x v="0"/>
    <s v="Sweater"/>
    <x v="0"/>
    <n v="31"/>
    <s v="Michigan"/>
    <s v="M"/>
    <s v="Silver"/>
    <x v="1"/>
    <x v="14"/>
    <s v="No"/>
    <x v="1"/>
    <x v="1"/>
    <x v="1"/>
    <x v="13"/>
    <x v="1"/>
    <x v="0"/>
    <x v="0"/>
    <n v="31"/>
    <n v="0"/>
  </r>
  <r>
    <n v="2102"/>
    <x v="34"/>
    <x v="0"/>
    <s v="Shirt"/>
    <x v="0"/>
    <n v="23"/>
    <s v="Oregon"/>
    <s v="M"/>
    <s v="Blue"/>
    <x v="0"/>
    <x v="15"/>
    <s v="No"/>
    <x v="2"/>
    <x v="1"/>
    <x v="1"/>
    <x v="45"/>
    <x v="4"/>
    <x v="4"/>
    <x v="2"/>
    <n v="23"/>
    <n v="0"/>
  </r>
  <r>
    <n v="2103"/>
    <x v="51"/>
    <x v="0"/>
    <s v="Hat"/>
    <x v="3"/>
    <n v="25"/>
    <s v="Idaho"/>
    <s v="M"/>
    <s v="Brown"/>
    <x v="1"/>
    <x v="9"/>
    <s v="No"/>
    <x v="5"/>
    <x v="1"/>
    <x v="1"/>
    <x v="2"/>
    <x v="1"/>
    <x v="5"/>
    <x v="1"/>
    <n v="25"/>
    <n v="0"/>
  </r>
  <r>
    <n v="2104"/>
    <x v="11"/>
    <x v="0"/>
    <s v="Pants"/>
    <x v="0"/>
    <n v="86"/>
    <s v="Indiana"/>
    <s v="S"/>
    <s v="Red"/>
    <x v="2"/>
    <x v="18"/>
    <s v="No"/>
    <x v="5"/>
    <x v="1"/>
    <x v="1"/>
    <x v="33"/>
    <x v="0"/>
    <x v="1"/>
    <x v="2"/>
    <n v="86"/>
    <n v="0"/>
  </r>
  <r>
    <n v="2105"/>
    <x v="10"/>
    <x v="0"/>
    <s v="Shoes"/>
    <x v="1"/>
    <n v="88"/>
    <s v="New Mexico"/>
    <s v="M"/>
    <s v="Gold"/>
    <x v="1"/>
    <x v="11"/>
    <s v="No"/>
    <x v="1"/>
    <x v="1"/>
    <x v="1"/>
    <x v="39"/>
    <x v="0"/>
    <x v="1"/>
    <x v="0"/>
    <n v="88"/>
    <n v="0"/>
  </r>
  <r>
    <n v="2106"/>
    <x v="13"/>
    <x v="0"/>
    <s v="Gloves"/>
    <x v="3"/>
    <n v="35"/>
    <s v="South Carolina"/>
    <s v="M"/>
    <s v="Silver"/>
    <x v="1"/>
    <x v="9"/>
    <s v="No"/>
    <x v="1"/>
    <x v="1"/>
    <x v="1"/>
    <x v="25"/>
    <x v="0"/>
    <x v="4"/>
    <x v="0"/>
    <n v="35"/>
    <n v="0"/>
  </r>
  <r>
    <n v="2107"/>
    <x v="52"/>
    <x v="0"/>
    <s v="Jewelry"/>
    <x v="3"/>
    <n v="34"/>
    <s v="Vermont"/>
    <s v="M"/>
    <s v="Gray"/>
    <x v="3"/>
    <x v="14"/>
    <s v="No"/>
    <x v="3"/>
    <x v="1"/>
    <x v="1"/>
    <x v="19"/>
    <x v="2"/>
    <x v="6"/>
    <x v="0"/>
    <n v="34"/>
    <n v="0"/>
  </r>
  <r>
    <n v="2108"/>
    <x v="5"/>
    <x v="0"/>
    <s v="Pants"/>
    <x v="0"/>
    <n v="75"/>
    <s v="Delaware"/>
    <s v="M"/>
    <s v="Black"/>
    <x v="0"/>
    <x v="13"/>
    <s v="No"/>
    <x v="3"/>
    <x v="1"/>
    <x v="1"/>
    <x v="31"/>
    <x v="3"/>
    <x v="3"/>
    <x v="2"/>
    <n v="75"/>
    <n v="0"/>
  </r>
  <r>
    <n v="2109"/>
    <x v="22"/>
    <x v="0"/>
    <s v="Hoodie"/>
    <x v="0"/>
    <n v="46"/>
    <s v="North Dakota"/>
    <s v="XL"/>
    <s v="Beige"/>
    <x v="0"/>
    <x v="19"/>
    <s v="No"/>
    <x v="0"/>
    <x v="1"/>
    <x v="1"/>
    <x v="7"/>
    <x v="2"/>
    <x v="3"/>
    <x v="0"/>
    <n v="46"/>
    <n v="0"/>
  </r>
  <r>
    <n v="2110"/>
    <x v="35"/>
    <x v="0"/>
    <s v="Jewelry"/>
    <x v="3"/>
    <n v="31"/>
    <s v="California"/>
    <s v="L"/>
    <s v="Peach"/>
    <x v="3"/>
    <x v="2"/>
    <s v="No"/>
    <x v="1"/>
    <x v="1"/>
    <x v="1"/>
    <x v="40"/>
    <x v="0"/>
    <x v="6"/>
    <x v="0"/>
    <n v="31"/>
    <n v="0"/>
  </r>
  <r>
    <n v="2111"/>
    <x v="16"/>
    <x v="0"/>
    <s v="Socks"/>
    <x v="0"/>
    <n v="93"/>
    <s v="Montana"/>
    <s v="L"/>
    <s v="Cyan"/>
    <x v="1"/>
    <x v="20"/>
    <s v="No"/>
    <x v="5"/>
    <x v="1"/>
    <x v="1"/>
    <x v="13"/>
    <x v="5"/>
    <x v="6"/>
    <x v="0"/>
    <n v="93"/>
    <n v="0"/>
  </r>
  <r>
    <n v="2112"/>
    <x v="38"/>
    <x v="0"/>
    <s v="Sunglasses"/>
    <x v="3"/>
    <n v="85"/>
    <s v="Missouri"/>
    <s v="XL"/>
    <s v="Pink"/>
    <x v="1"/>
    <x v="5"/>
    <s v="No"/>
    <x v="1"/>
    <x v="1"/>
    <x v="1"/>
    <x v="28"/>
    <x v="4"/>
    <x v="2"/>
    <x v="2"/>
    <n v="85"/>
    <n v="0"/>
  </r>
  <r>
    <n v="2113"/>
    <x v="49"/>
    <x v="0"/>
    <s v="Belt"/>
    <x v="3"/>
    <n v="68"/>
    <s v="Tennessee"/>
    <s v="M"/>
    <s v="Lavender"/>
    <x v="3"/>
    <x v="9"/>
    <s v="No"/>
    <x v="4"/>
    <x v="1"/>
    <x v="1"/>
    <x v="22"/>
    <x v="1"/>
    <x v="0"/>
    <x v="2"/>
    <n v="68"/>
    <n v="0"/>
  </r>
  <r>
    <n v="2114"/>
    <x v="6"/>
    <x v="0"/>
    <s v="Dress"/>
    <x v="0"/>
    <n v="40"/>
    <s v="Virginia"/>
    <s v="M"/>
    <s v="Brown"/>
    <x v="1"/>
    <x v="2"/>
    <s v="No"/>
    <x v="5"/>
    <x v="1"/>
    <x v="1"/>
    <x v="32"/>
    <x v="3"/>
    <x v="6"/>
    <x v="0"/>
    <n v="40"/>
    <n v="0"/>
  </r>
  <r>
    <n v="2115"/>
    <x v="43"/>
    <x v="0"/>
    <s v="Shirt"/>
    <x v="0"/>
    <n v="51"/>
    <s v="Vermont"/>
    <s v="M"/>
    <s v="Magenta"/>
    <x v="0"/>
    <x v="3"/>
    <s v="No"/>
    <x v="3"/>
    <x v="1"/>
    <x v="1"/>
    <x v="45"/>
    <x v="5"/>
    <x v="2"/>
    <x v="2"/>
    <n v="51"/>
    <n v="0"/>
  </r>
  <r>
    <n v="2116"/>
    <x v="42"/>
    <x v="0"/>
    <s v="Scarf"/>
    <x v="3"/>
    <n v="85"/>
    <s v="Rhode Island"/>
    <s v="M"/>
    <s v="Violet"/>
    <x v="0"/>
    <x v="23"/>
    <s v="No"/>
    <x v="5"/>
    <x v="1"/>
    <x v="1"/>
    <x v="20"/>
    <x v="4"/>
    <x v="4"/>
    <x v="2"/>
    <n v="85"/>
    <n v="0"/>
  </r>
  <r>
    <n v="2117"/>
    <x v="29"/>
    <x v="0"/>
    <s v="Jacket"/>
    <x v="2"/>
    <n v="23"/>
    <s v="Kansas"/>
    <s v="M"/>
    <s v="Teal"/>
    <x v="2"/>
    <x v="3"/>
    <s v="No"/>
    <x v="0"/>
    <x v="1"/>
    <x v="1"/>
    <x v="16"/>
    <x v="5"/>
    <x v="4"/>
    <x v="0"/>
    <n v="23"/>
    <n v="0"/>
  </r>
  <r>
    <n v="2118"/>
    <x v="7"/>
    <x v="0"/>
    <s v="Dress"/>
    <x v="0"/>
    <n v="28"/>
    <s v="Colorado"/>
    <s v="L"/>
    <s v="Brown"/>
    <x v="2"/>
    <x v="22"/>
    <s v="No"/>
    <x v="1"/>
    <x v="1"/>
    <x v="1"/>
    <x v="47"/>
    <x v="5"/>
    <x v="2"/>
    <x v="2"/>
    <n v="28"/>
    <n v="0"/>
  </r>
  <r>
    <n v="2119"/>
    <x v="52"/>
    <x v="0"/>
    <s v="Socks"/>
    <x v="0"/>
    <n v="44"/>
    <s v="Georgia"/>
    <s v="M"/>
    <s v="Olive"/>
    <x v="3"/>
    <x v="19"/>
    <s v="No"/>
    <x v="4"/>
    <x v="1"/>
    <x v="1"/>
    <x v="40"/>
    <x v="5"/>
    <x v="3"/>
    <x v="0"/>
    <n v="44"/>
    <n v="0"/>
  </r>
  <r>
    <n v="2120"/>
    <x v="44"/>
    <x v="0"/>
    <s v="Jewelry"/>
    <x v="3"/>
    <n v="57"/>
    <s v="Nebraska"/>
    <s v="M"/>
    <s v="Indigo"/>
    <x v="1"/>
    <x v="1"/>
    <s v="No"/>
    <x v="5"/>
    <x v="1"/>
    <x v="1"/>
    <x v="13"/>
    <x v="0"/>
    <x v="4"/>
    <x v="0"/>
    <n v="57"/>
    <n v="0"/>
  </r>
  <r>
    <n v="2121"/>
    <x v="10"/>
    <x v="0"/>
    <s v="Scarf"/>
    <x v="3"/>
    <n v="98"/>
    <s v="Missouri"/>
    <s v="S"/>
    <s v="Red"/>
    <x v="3"/>
    <x v="0"/>
    <s v="No"/>
    <x v="2"/>
    <x v="1"/>
    <x v="1"/>
    <x v="25"/>
    <x v="3"/>
    <x v="3"/>
    <x v="0"/>
    <n v="98"/>
    <n v="0"/>
  </r>
  <r>
    <n v="2122"/>
    <x v="49"/>
    <x v="0"/>
    <s v="Backpack"/>
    <x v="3"/>
    <n v="68"/>
    <s v="Alaska"/>
    <s v="M"/>
    <s v="Olive"/>
    <x v="0"/>
    <x v="1"/>
    <s v="No"/>
    <x v="4"/>
    <x v="1"/>
    <x v="1"/>
    <x v="18"/>
    <x v="4"/>
    <x v="5"/>
    <x v="2"/>
    <n v="68"/>
    <n v="0"/>
  </r>
  <r>
    <n v="2123"/>
    <x v="45"/>
    <x v="0"/>
    <s v="Jacket"/>
    <x v="2"/>
    <n v="36"/>
    <s v="Virginia"/>
    <s v="L"/>
    <s v="Teal"/>
    <x v="3"/>
    <x v="17"/>
    <s v="No"/>
    <x v="0"/>
    <x v="1"/>
    <x v="1"/>
    <x v="38"/>
    <x v="5"/>
    <x v="1"/>
    <x v="2"/>
    <n v="36"/>
    <n v="0"/>
  </r>
  <r>
    <n v="2124"/>
    <x v="22"/>
    <x v="0"/>
    <s v="Coat"/>
    <x v="2"/>
    <n v="71"/>
    <s v="Nebraska"/>
    <s v="L"/>
    <s v="Cyan"/>
    <x v="1"/>
    <x v="18"/>
    <s v="No"/>
    <x v="0"/>
    <x v="1"/>
    <x v="1"/>
    <x v="17"/>
    <x v="5"/>
    <x v="4"/>
    <x v="0"/>
    <n v="71"/>
    <n v="0"/>
  </r>
  <r>
    <n v="2125"/>
    <x v="36"/>
    <x v="0"/>
    <s v="Skirt"/>
    <x v="0"/>
    <n v="60"/>
    <s v="Rhode Island"/>
    <s v="M"/>
    <s v="Teal"/>
    <x v="3"/>
    <x v="19"/>
    <s v="No"/>
    <x v="2"/>
    <x v="1"/>
    <x v="1"/>
    <x v="17"/>
    <x v="0"/>
    <x v="3"/>
    <x v="2"/>
    <n v="60"/>
    <n v="0"/>
  </r>
  <r>
    <n v="2126"/>
    <x v="9"/>
    <x v="0"/>
    <s v="Coat"/>
    <x v="2"/>
    <n v="87"/>
    <s v="New Hampshire"/>
    <s v="M"/>
    <s v="Beige"/>
    <x v="3"/>
    <x v="6"/>
    <s v="No"/>
    <x v="5"/>
    <x v="1"/>
    <x v="1"/>
    <x v="4"/>
    <x v="3"/>
    <x v="3"/>
    <x v="0"/>
    <n v="87"/>
    <n v="0"/>
  </r>
  <r>
    <n v="2127"/>
    <x v="6"/>
    <x v="0"/>
    <s v="Shoes"/>
    <x v="1"/>
    <n v="38"/>
    <s v="Alabama"/>
    <s v="XL"/>
    <s v="Magenta"/>
    <x v="0"/>
    <x v="7"/>
    <s v="No"/>
    <x v="0"/>
    <x v="1"/>
    <x v="1"/>
    <x v="40"/>
    <x v="2"/>
    <x v="5"/>
    <x v="0"/>
    <n v="38"/>
    <n v="0"/>
  </r>
  <r>
    <n v="2128"/>
    <x v="27"/>
    <x v="0"/>
    <s v="Boots"/>
    <x v="1"/>
    <n v="45"/>
    <s v="North Carolina"/>
    <s v="M"/>
    <s v="Indigo"/>
    <x v="1"/>
    <x v="9"/>
    <s v="No"/>
    <x v="4"/>
    <x v="1"/>
    <x v="1"/>
    <x v="19"/>
    <x v="5"/>
    <x v="1"/>
    <x v="0"/>
    <n v="45"/>
    <n v="0"/>
  </r>
  <r>
    <n v="2129"/>
    <x v="46"/>
    <x v="0"/>
    <s v="Coat"/>
    <x v="2"/>
    <n v="47"/>
    <s v="New Mexico"/>
    <s v="L"/>
    <s v="Cyan"/>
    <x v="3"/>
    <x v="2"/>
    <s v="No"/>
    <x v="4"/>
    <x v="1"/>
    <x v="1"/>
    <x v="33"/>
    <x v="3"/>
    <x v="1"/>
    <x v="0"/>
    <n v="47"/>
    <n v="0"/>
  </r>
  <r>
    <n v="2130"/>
    <x v="37"/>
    <x v="0"/>
    <s v="Skirt"/>
    <x v="0"/>
    <n v="57"/>
    <s v="Minnesota"/>
    <s v="L"/>
    <s v="Orange"/>
    <x v="3"/>
    <x v="11"/>
    <s v="No"/>
    <x v="5"/>
    <x v="1"/>
    <x v="1"/>
    <x v="45"/>
    <x v="3"/>
    <x v="6"/>
    <x v="2"/>
    <n v="57"/>
    <n v="0"/>
  </r>
  <r>
    <n v="2131"/>
    <x v="15"/>
    <x v="0"/>
    <s v="Backpack"/>
    <x v="3"/>
    <n v="68"/>
    <s v="Arizona"/>
    <s v="L"/>
    <s v="Violet"/>
    <x v="2"/>
    <x v="18"/>
    <s v="No"/>
    <x v="1"/>
    <x v="1"/>
    <x v="1"/>
    <x v="42"/>
    <x v="2"/>
    <x v="2"/>
    <x v="1"/>
    <n v="68"/>
    <n v="0"/>
  </r>
  <r>
    <n v="2132"/>
    <x v="1"/>
    <x v="0"/>
    <s v="Shorts"/>
    <x v="0"/>
    <n v="52"/>
    <s v="Montana"/>
    <s v="M"/>
    <s v="Red"/>
    <x v="3"/>
    <x v="15"/>
    <s v="No"/>
    <x v="0"/>
    <x v="1"/>
    <x v="1"/>
    <x v="44"/>
    <x v="4"/>
    <x v="0"/>
    <x v="1"/>
    <n v="52"/>
    <n v="0"/>
  </r>
  <r>
    <n v="2133"/>
    <x v="15"/>
    <x v="0"/>
    <s v="Skirt"/>
    <x v="0"/>
    <n v="87"/>
    <s v="Vermont"/>
    <s v="M"/>
    <s v="Magenta"/>
    <x v="3"/>
    <x v="10"/>
    <s v="No"/>
    <x v="4"/>
    <x v="1"/>
    <x v="1"/>
    <x v="28"/>
    <x v="5"/>
    <x v="1"/>
    <x v="1"/>
    <n v="87"/>
    <n v="0"/>
  </r>
  <r>
    <n v="2134"/>
    <x v="3"/>
    <x v="0"/>
    <s v="Hat"/>
    <x v="3"/>
    <n v="34"/>
    <s v="Maine"/>
    <s v="M"/>
    <s v="Olive"/>
    <x v="2"/>
    <x v="22"/>
    <s v="No"/>
    <x v="3"/>
    <x v="1"/>
    <x v="1"/>
    <x v="21"/>
    <x v="4"/>
    <x v="2"/>
    <x v="1"/>
    <n v="34"/>
    <n v="0"/>
  </r>
  <r>
    <n v="2135"/>
    <x v="0"/>
    <x v="0"/>
    <s v="Sandals"/>
    <x v="1"/>
    <n v="41"/>
    <s v="Virginia"/>
    <s v="XL"/>
    <s v="Maroon"/>
    <x v="0"/>
    <x v="3"/>
    <s v="No"/>
    <x v="3"/>
    <x v="1"/>
    <x v="1"/>
    <x v="31"/>
    <x v="2"/>
    <x v="0"/>
    <x v="0"/>
    <n v="41"/>
    <n v="0"/>
  </r>
  <r>
    <n v="2136"/>
    <x v="50"/>
    <x v="0"/>
    <s v="Sunglasses"/>
    <x v="3"/>
    <n v="94"/>
    <s v="California"/>
    <s v="S"/>
    <s v="Yellow"/>
    <x v="0"/>
    <x v="12"/>
    <s v="No"/>
    <x v="2"/>
    <x v="1"/>
    <x v="1"/>
    <x v="43"/>
    <x v="5"/>
    <x v="6"/>
    <x v="2"/>
    <n v="94"/>
    <n v="0"/>
  </r>
  <r>
    <n v="2137"/>
    <x v="36"/>
    <x v="0"/>
    <s v="Sunglasses"/>
    <x v="3"/>
    <n v="93"/>
    <s v="New York"/>
    <s v="M"/>
    <s v="Red"/>
    <x v="2"/>
    <x v="11"/>
    <s v="No"/>
    <x v="3"/>
    <x v="1"/>
    <x v="1"/>
    <x v="29"/>
    <x v="4"/>
    <x v="0"/>
    <x v="2"/>
    <n v="93"/>
    <n v="0"/>
  </r>
  <r>
    <n v="2138"/>
    <x v="7"/>
    <x v="0"/>
    <s v="Socks"/>
    <x v="0"/>
    <n v="51"/>
    <s v="Indiana"/>
    <s v="XL"/>
    <s v="Purple"/>
    <x v="0"/>
    <x v="12"/>
    <s v="No"/>
    <x v="4"/>
    <x v="1"/>
    <x v="1"/>
    <x v="41"/>
    <x v="2"/>
    <x v="6"/>
    <x v="2"/>
    <n v="51"/>
    <n v="0"/>
  </r>
  <r>
    <n v="2139"/>
    <x v="29"/>
    <x v="0"/>
    <s v="Sweater"/>
    <x v="0"/>
    <n v="42"/>
    <s v="Mississippi"/>
    <s v="M"/>
    <s v="Teal"/>
    <x v="3"/>
    <x v="11"/>
    <s v="No"/>
    <x v="2"/>
    <x v="1"/>
    <x v="1"/>
    <x v="13"/>
    <x v="0"/>
    <x v="3"/>
    <x v="0"/>
    <n v="42"/>
    <n v="0"/>
  </r>
  <r>
    <n v="2140"/>
    <x v="37"/>
    <x v="0"/>
    <s v="Boots"/>
    <x v="1"/>
    <n v="95"/>
    <s v="New York"/>
    <s v="M"/>
    <s v="Red"/>
    <x v="0"/>
    <x v="21"/>
    <s v="No"/>
    <x v="1"/>
    <x v="1"/>
    <x v="1"/>
    <x v="42"/>
    <x v="1"/>
    <x v="1"/>
    <x v="2"/>
    <n v="95"/>
    <n v="0"/>
  </r>
  <r>
    <n v="2141"/>
    <x v="10"/>
    <x v="0"/>
    <s v="Handbag"/>
    <x v="3"/>
    <n v="90"/>
    <s v="New Mexico"/>
    <s v="M"/>
    <s v="Brown"/>
    <x v="3"/>
    <x v="18"/>
    <s v="No"/>
    <x v="3"/>
    <x v="1"/>
    <x v="1"/>
    <x v="13"/>
    <x v="1"/>
    <x v="0"/>
    <x v="0"/>
    <n v="90"/>
    <n v="0"/>
  </r>
  <r>
    <n v="2142"/>
    <x v="41"/>
    <x v="0"/>
    <s v="Dress"/>
    <x v="0"/>
    <n v="98"/>
    <s v="Kentucky"/>
    <s v="M"/>
    <s v="Peach"/>
    <x v="0"/>
    <x v="7"/>
    <s v="No"/>
    <x v="4"/>
    <x v="1"/>
    <x v="1"/>
    <x v="18"/>
    <x v="3"/>
    <x v="2"/>
    <x v="1"/>
    <n v="98"/>
    <n v="0"/>
  </r>
  <r>
    <n v="2143"/>
    <x v="36"/>
    <x v="0"/>
    <s v="Hat"/>
    <x v="3"/>
    <n v="39"/>
    <s v="North Dakota"/>
    <s v="M"/>
    <s v="Maroon"/>
    <x v="0"/>
    <x v="24"/>
    <s v="No"/>
    <x v="2"/>
    <x v="1"/>
    <x v="1"/>
    <x v="33"/>
    <x v="0"/>
    <x v="3"/>
    <x v="2"/>
    <n v="39"/>
    <n v="0"/>
  </r>
  <r>
    <n v="2144"/>
    <x v="10"/>
    <x v="0"/>
    <s v="Sandals"/>
    <x v="1"/>
    <n v="66"/>
    <s v="Arkansas"/>
    <s v="L"/>
    <s v="Red"/>
    <x v="3"/>
    <x v="22"/>
    <s v="No"/>
    <x v="2"/>
    <x v="1"/>
    <x v="1"/>
    <x v="26"/>
    <x v="0"/>
    <x v="4"/>
    <x v="0"/>
    <n v="66"/>
    <n v="0"/>
  </r>
  <r>
    <n v="2145"/>
    <x v="36"/>
    <x v="0"/>
    <s v="Shoes"/>
    <x v="1"/>
    <n v="23"/>
    <s v="Maryland"/>
    <s v="L"/>
    <s v="Orange"/>
    <x v="0"/>
    <x v="18"/>
    <s v="No"/>
    <x v="1"/>
    <x v="1"/>
    <x v="1"/>
    <x v="29"/>
    <x v="3"/>
    <x v="3"/>
    <x v="2"/>
    <n v="23"/>
    <n v="0"/>
  </r>
  <r>
    <n v="2146"/>
    <x v="21"/>
    <x v="0"/>
    <s v="Skirt"/>
    <x v="0"/>
    <n v="73"/>
    <s v="Connecticut"/>
    <s v="S"/>
    <s v="White"/>
    <x v="0"/>
    <x v="6"/>
    <s v="No"/>
    <x v="3"/>
    <x v="1"/>
    <x v="1"/>
    <x v="18"/>
    <x v="3"/>
    <x v="2"/>
    <x v="2"/>
    <n v="73"/>
    <n v="0"/>
  </r>
  <r>
    <n v="2147"/>
    <x v="39"/>
    <x v="0"/>
    <s v="Sunglasses"/>
    <x v="3"/>
    <n v="23"/>
    <s v="Utah"/>
    <s v="XL"/>
    <s v="White"/>
    <x v="2"/>
    <x v="12"/>
    <s v="No"/>
    <x v="3"/>
    <x v="1"/>
    <x v="1"/>
    <x v="24"/>
    <x v="3"/>
    <x v="6"/>
    <x v="2"/>
    <n v="23"/>
    <n v="0"/>
  </r>
  <r>
    <n v="2148"/>
    <x v="36"/>
    <x v="0"/>
    <s v="Skirt"/>
    <x v="0"/>
    <n v="43"/>
    <s v="Missouri"/>
    <s v="S"/>
    <s v="Charcoal"/>
    <x v="3"/>
    <x v="6"/>
    <s v="No"/>
    <x v="3"/>
    <x v="1"/>
    <x v="1"/>
    <x v="7"/>
    <x v="1"/>
    <x v="0"/>
    <x v="2"/>
    <n v="43"/>
    <n v="0"/>
  </r>
  <r>
    <n v="2149"/>
    <x v="1"/>
    <x v="0"/>
    <s v="T-shirt"/>
    <x v="0"/>
    <n v="45"/>
    <s v="Nebraska"/>
    <s v="XL"/>
    <s v="Turquoise"/>
    <x v="0"/>
    <x v="12"/>
    <s v="No"/>
    <x v="4"/>
    <x v="1"/>
    <x v="1"/>
    <x v="5"/>
    <x v="3"/>
    <x v="4"/>
    <x v="1"/>
    <n v="45"/>
    <n v="0"/>
  </r>
  <r>
    <n v="2150"/>
    <x v="21"/>
    <x v="0"/>
    <s v="Sandals"/>
    <x v="1"/>
    <n v="21"/>
    <s v="Hawaii"/>
    <s v="L"/>
    <s v="Orange"/>
    <x v="0"/>
    <x v="17"/>
    <s v="No"/>
    <x v="3"/>
    <x v="1"/>
    <x v="1"/>
    <x v="43"/>
    <x v="4"/>
    <x v="1"/>
    <x v="2"/>
    <n v="21"/>
    <n v="0"/>
  </r>
  <r>
    <n v="2151"/>
    <x v="9"/>
    <x v="0"/>
    <s v="Shirt"/>
    <x v="0"/>
    <n v="40"/>
    <s v="Illinois"/>
    <s v="M"/>
    <s v="Orange"/>
    <x v="1"/>
    <x v="5"/>
    <s v="No"/>
    <x v="4"/>
    <x v="1"/>
    <x v="1"/>
    <x v="45"/>
    <x v="1"/>
    <x v="1"/>
    <x v="0"/>
    <n v="40"/>
    <n v="0"/>
  </r>
  <r>
    <n v="2152"/>
    <x v="27"/>
    <x v="0"/>
    <s v="Jeans"/>
    <x v="0"/>
    <n v="58"/>
    <s v="Vermont"/>
    <s v="L"/>
    <s v="Brown"/>
    <x v="3"/>
    <x v="5"/>
    <s v="No"/>
    <x v="4"/>
    <x v="1"/>
    <x v="1"/>
    <x v="27"/>
    <x v="0"/>
    <x v="5"/>
    <x v="0"/>
    <n v="58"/>
    <n v="0"/>
  </r>
  <r>
    <n v="2153"/>
    <x v="21"/>
    <x v="0"/>
    <s v="Shorts"/>
    <x v="0"/>
    <n v="48"/>
    <s v="New Jersey"/>
    <s v="L"/>
    <s v="Magenta"/>
    <x v="2"/>
    <x v="9"/>
    <s v="No"/>
    <x v="2"/>
    <x v="1"/>
    <x v="1"/>
    <x v="34"/>
    <x v="4"/>
    <x v="4"/>
    <x v="2"/>
    <n v="48"/>
    <n v="0"/>
  </r>
  <r>
    <n v="2154"/>
    <x v="25"/>
    <x v="0"/>
    <s v="Shirt"/>
    <x v="0"/>
    <n v="94"/>
    <s v="Kentucky"/>
    <s v="M"/>
    <s v="Violet"/>
    <x v="3"/>
    <x v="19"/>
    <s v="No"/>
    <x v="1"/>
    <x v="1"/>
    <x v="1"/>
    <x v="4"/>
    <x v="3"/>
    <x v="2"/>
    <x v="2"/>
    <n v="94"/>
    <n v="0"/>
  </r>
  <r>
    <n v="2155"/>
    <x v="5"/>
    <x v="0"/>
    <s v="Scarf"/>
    <x v="3"/>
    <n v="74"/>
    <s v="Wyoming"/>
    <s v="M"/>
    <s v="Violet"/>
    <x v="1"/>
    <x v="23"/>
    <s v="No"/>
    <x v="5"/>
    <x v="1"/>
    <x v="1"/>
    <x v="42"/>
    <x v="1"/>
    <x v="6"/>
    <x v="2"/>
    <n v="74"/>
    <n v="0"/>
  </r>
  <r>
    <n v="2156"/>
    <x v="45"/>
    <x v="0"/>
    <s v="Handbag"/>
    <x v="3"/>
    <n v="51"/>
    <s v="Hawaii"/>
    <s v="L"/>
    <s v="Yellow"/>
    <x v="3"/>
    <x v="18"/>
    <s v="No"/>
    <x v="5"/>
    <x v="1"/>
    <x v="1"/>
    <x v="15"/>
    <x v="3"/>
    <x v="5"/>
    <x v="2"/>
    <n v="51"/>
    <n v="0"/>
  </r>
  <r>
    <n v="2157"/>
    <x v="21"/>
    <x v="0"/>
    <s v="Skirt"/>
    <x v="0"/>
    <n v="83"/>
    <s v="Missouri"/>
    <s v="M"/>
    <s v="Maroon"/>
    <x v="0"/>
    <x v="15"/>
    <s v="No"/>
    <x v="2"/>
    <x v="1"/>
    <x v="1"/>
    <x v="23"/>
    <x v="5"/>
    <x v="4"/>
    <x v="2"/>
    <n v="83"/>
    <n v="0"/>
  </r>
  <r>
    <n v="2158"/>
    <x v="38"/>
    <x v="0"/>
    <s v="Handbag"/>
    <x v="3"/>
    <n v="68"/>
    <s v="Mississippi"/>
    <s v="L"/>
    <s v="Turquoise"/>
    <x v="0"/>
    <x v="17"/>
    <s v="No"/>
    <x v="2"/>
    <x v="1"/>
    <x v="1"/>
    <x v="23"/>
    <x v="0"/>
    <x v="0"/>
    <x v="2"/>
    <n v="68"/>
    <n v="0"/>
  </r>
  <r>
    <n v="2159"/>
    <x v="1"/>
    <x v="0"/>
    <s v="Gloves"/>
    <x v="3"/>
    <n v="84"/>
    <s v="Massachusetts"/>
    <s v="XL"/>
    <s v="Olive"/>
    <x v="1"/>
    <x v="12"/>
    <s v="No"/>
    <x v="3"/>
    <x v="1"/>
    <x v="1"/>
    <x v="44"/>
    <x v="4"/>
    <x v="0"/>
    <x v="1"/>
    <n v="84"/>
    <n v="0"/>
  </r>
  <r>
    <n v="2160"/>
    <x v="20"/>
    <x v="0"/>
    <s v="Shirt"/>
    <x v="0"/>
    <n v="58"/>
    <s v="Louisiana"/>
    <s v="M"/>
    <s v="Peach"/>
    <x v="3"/>
    <x v="21"/>
    <s v="No"/>
    <x v="1"/>
    <x v="1"/>
    <x v="1"/>
    <x v="11"/>
    <x v="1"/>
    <x v="2"/>
    <x v="1"/>
    <n v="58"/>
    <n v="0"/>
  </r>
  <r>
    <n v="2161"/>
    <x v="4"/>
    <x v="0"/>
    <s v="Blouse"/>
    <x v="0"/>
    <n v="92"/>
    <s v="West Virginia"/>
    <s v="L"/>
    <s v="Charcoal"/>
    <x v="0"/>
    <x v="13"/>
    <s v="No"/>
    <x v="0"/>
    <x v="1"/>
    <x v="1"/>
    <x v="33"/>
    <x v="3"/>
    <x v="2"/>
    <x v="2"/>
    <n v="92"/>
    <n v="0"/>
  </r>
  <r>
    <n v="2162"/>
    <x v="51"/>
    <x v="0"/>
    <s v="Dress"/>
    <x v="0"/>
    <n v="69"/>
    <s v="Washington"/>
    <s v="S"/>
    <s v="Peach"/>
    <x v="2"/>
    <x v="22"/>
    <s v="No"/>
    <x v="0"/>
    <x v="1"/>
    <x v="1"/>
    <x v="36"/>
    <x v="5"/>
    <x v="0"/>
    <x v="1"/>
    <n v="69"/>
    <n v="0"/>
  </r>
  <r>
    <n v="2163"/>
    <x v="52"/>
    <x v="0"/>
    <s v="Shorts"/>
    <x v="0"/>
    <n v="48"/>
    <s v="Oregon"/>
    <s v="S"/>
    <s v="Black"/>
    <x v="2"/>
    <x v="2"/>
    <s v="No"/>
    <x v="1"/>
    <x v="1"/>
    <x v="1"/>
    <x v="18"/>
    <x v="3"/>
    <x v="1"/>
    <x v="0"/>
    <n v="48"/>
    <n v="0"/>
  </r>
  <r>
    <n v="2164"/>
    <x v="16"/>
    <x v="0"/>
    <s v="Shoes"/>
    <x v="1"/>
    <n v="60"/>
    <s v="New York"/>
    <s v="L"/>
    <s v="Gray"/>
    <x v="1"/>
    <x v="9"/>
    <s v="No"/>
    <x v="0"/>
    <x v="1"/>
    <x v="1"/>
    <x v="12"/>
    <x v="4"/>
    <x v="5"/>
    <x v="0"/>
    <n v="60"/>
    <n v="0"/>
  </r>
  <r>
    <n v="2165"/>
    <x v="32"/>
    <x v="0"/>
    <s v="Sandals"/>
    <x v="1"/>
    <n v="20"/>
    <s v="Iowa"/>
    <s v="S"/>
    <s v="Olive"/>
    <x v="0"/>
    <x v="6"/>
    <s v="No"/>
    <x v="2"/>
    <x v="1"/>
    <x v="1"/>
    <x v="15"/>
    <x v="3"/>
    <x v="4"/>
    <x v="2"/>
    <n v="20"/>
    <n v="0"/>
  </r>
  <r>
    <n v="2166"/>
    <x v="26"/>
    <x v="0"/>
    <s v="Pants"/>
    <x v="0"/>
    <n v="55"/>
    <s v="Idaho"/>
    <s v="M"/>
    <s v="Turquoise"/>
    <x v="2"/>
    <x v="19"/>
    <s v="No"/>
    <x v="0"/>
    <x v="1"/>
    <x v="1"/>
    <x v="38"/>
    <x v="2"/>
    <x v="6"/>
    <x v="2"/>
    <n v="55"/>
    <n v="0"/>
  </r>
  <r>
    <n v="2167"/>
    <x v="18"/>
    <x v="0"/>
    <s v="Jacket"/>
    <x v="2"/>
    <n v="88"/>
    <s v="New Jersey"/>
    <s v="S"/>
    <s v="Purple"/>
    <x v="1"/>
    <x v="1"/>
    <s v="No"/>
    <x v="0"/>
    <x v="1"/>
    <x v="1"/>
    <x v="16"/>
    <x v="2"/>
    <x v="4"/>
    <x v="2"/>
    <n v="88"/>
    <n v="0"/>
  </r>
  <r>
    <n v="2168"/>
    <x v="11"/>
    <x v="0"/>
    <s v="Skirt"/>
    <x v="0"/>
    <n v="48"/>
    <s v="Ohio"/>
    <s v="L"/>
    <s v="Green"/>
    <x v="0"/>
    <x v="8"/>
    <s v="No"/>
    <x v="3"/>
    <x v="1"/>
    <x v="1"/>
    <x v="42"/>
    <x v="0"/>
    <x v="0"/>
    <x v="2"/>
    <n v="48"/>
    <n v="0"/>
  </r>
  <r>
    <n v="2169"/>
    <x v="51"/>
    <x v="0"/>
    <s v="Handbag"/>
    <x v="3"/>
    <n v="74"/>
    <s v="Connecticut"/>
    <s v="M"/>
    <s v="Beige"/>
    <x v="1"/>
    <x v="7"/>
    <s v="No"/>
    <x v="2"/>
    <x v="1"/>
    <x v="1"/>
    <x v="18"/>
    <x v="1"/>
    <x v="3"/>
    <x v="1"/>
    <n v="74"/>
    <n v="0"/>
  </r>
  <r>
    <n v="2170"/>
    <x v="18"/>
    <x v="0"/>
    <s v="Coat"/>
    <x v="2"/>
    <n v="42"/>
    <s v="Florida"/>
    <s v="M"/>
    <s v="Brown"/>
    <x v="3"/>
    <x v="3"/>
    <s v="No"/>
    <x v="2"/>
    <x v="1"/>
    <x v="1"/>
    <x v="18"/>
    <x v="4"/>
    <x v="4"/>
    <x v="2"/>
    <n v="42"/>
    <n v="0"/>
  </r>
  <r>
    <n v="2171"/>
    <x v="37"/>
    <x v="0"/>
    <s v="Sweater"/>
    <x v="0"/>
    <n v="32"/>
    <s v="South Carolina"/>
    <s v="M"/>
    <s v="Turquoise"/>
    <x v="3"/>
    <x v="17"/>
    <s v="No"/>
    <x v="2"/>
    <x v="1"/>
    <x v="1"/>
    <x v="10"/>
    <x v="0"/>
    <x v="6"/>
    <x v="2"/>
    <n v="32"/>
    <n v="0"/>
  </r>
  <r>
    <n v="2172"/>
    <x v="31"/>
    <x v="0"/>
    <s v="Shorts"/>
    <x v="0"/>
    <n v="98"/>
    <s v="Missouri"/>
    <s v="M"/>
    <s v="Yellow"/>
    <x v="2"/>
    <x v="12"/>
    <s v="No"/>
    <x v="5"/>
    <x v="1"/>
    <x v="1"/>
    <x v="44"/>
    <x v="1"/>
    <x v="0"/>
    <x v="2"/>
    <n v="98"/>
    <n v="0"/>
  </r>
  <r>
    <n v="2173"/>
    <x v="48"/>
    <x v="0"/>
    <s v="Skirt"/>
    <x v="0"/>
    <n v="89"/>
    <s v="Rhode Island"/>
    <s v="S"/>
    <s v="Lavender"/>
    <x v="3"/>
    <x v="11"/>
    <s v="No"/>
    <x v="5"/>
    <x v="1"/>
    <x v="1"/>
    <x v="49"/>
    <x v="3"/>
    <x v="0"/>
    <x v="2"/>
    <n v="89"/>
    <n v="0"/>
  </r>
  <r>
    <n v="2174"/>
    <x v="51"/>
    <x v="0"/>
    <s v="Gloves"/>
    <x v="3"/>
    <n v="97"/>
    <s v="Delaware"/>
    <s v="S"/>
    <s v="Cyan"/>
    <x v="2"/>
    <x v="16"/>
    <s v="No"/>
    <x v="4"/>
    <x v="1"/>
    <x v="1"/>
    <x v="13"/>
    <x v="0"/>
    <x v="3"/>
    <x v="1"/>
    <n v="97"/>
    <n v="0"/>
  </r>
  <r>
    <n v="2175"/>
    <x v="32"/>
    <x v="0"/>
    <s v="Backpack"/>
    <x v="3"/>
    <n v="49"/>
    <s v="Colorado"/>
    <s v="S"/>
    <s v="Olive"/>
    <x v="1"/>
    <x v="3"/>
    <s v="No"/>
    <x v="5"/>
    <x v="1"/>
    <x v="1"/>
    <x v="43"/>
    <x v="1"/>
    <x v="2"/>
    <x v="2"/>
    <n v="49"/>
    <n v="0"/>
  </r>
  <r>
    <n v="2176"/>
    <x v="33"/>
    <x v="0"/>
    <s v="Dress"/>
    <x v="0"/>
    <n v="50"/>
    <s v="Nebraska"/>
    <s v="M"/>
    <s v="Silver"/>
    <x v="1"/>
    <x v="13"/>
    <s v="No"/>
    <x v="1"/>
    <x v="1"/>
    <x v="1"/>
    <x v="26"/>
    <x v="2"/>
    <x v="0"/>
    <x v="0"/>
    <n v="50"/>
    <n v="0"/>
  </r>
  <r>
    <n v="2177"/>
    <x v="41"/>
    <x v="0"/>
    <s v="Belt"/>
    <x v="3"/>
    <n v="91"/>
    <s v="Vermont"/>
    <s v="S"/>
    <s v="Red"/>
    <x v="0"/>
    <x v="23"/>
    <s v="No"/>
    <x v="4"/>
    <x v="1"/>
    <x v="1"/>
    <x v="12"/>
    <x v="5"/>
    <x v="3"/>
    <x v="1"/>
    <n v="91"/>
    <n v="0"/>
  </r>
  <r>
    <n v="2178"/>
    <x v="41"/>
    <x v="0"/>
    <s v="Gloves"/>
    <x v="3"/>
    <n v="93"/>
    <s v="Montana"/>
    <s v="XL"/>
    <s v="Green"/>
    <x v="0"/>
    <x v="21"/>
    <s v="No"/>
    <x v="0"/>
    <x v="1"/>
    <x v="1"/>
    <x v="44"/>
    <x v="3"/>
    <x v="4"/>
    <x v="1"/>
    <n v="93"/>
    <n v="0"/>
  </r>
  <r>
    <n v="2179"/>
    <x v="3"/>
    <x v="0"/>
    <s v="Jewelry"/>
    <x v="3"/>
    <n v="98"/>
    <s v="Florida"/>
    <s v="M"/>
    <s v="Gold"/>
    <x v="2"/>
    <x v="10"/>
    <s v="No"/>
    <x v="3"/>
    <x v="1"/>
    <x v="1"/>
    <x v="18"/>
    <x v="0"/>
    <x v="2"/>
    <x v="1"/>
    <n v="98"/>
    <n v="0"/>
  </r>
  <r>
    <n v="2180"/>
    <x v="34"/>
    <x v="0"/>
    <s v="Socks"/>
    <x v="0"/>
    <n v="82"/>
    <s v="Delaware"/>
    <s v="L"/>
    <s v="Lavender"/>
    <x v="3"/>
    <x v="3"/>
    <s v="No"/>
    <x v="2"/>
    <x v="1"/>
    <x v="1"/>
    <x v="0"/>
    <x v="3"/>
    <x v="5"/>
    <x v="2"/>
    <n v="82"/>
    <n v="0"/>
  </r>
  <r>
    <n v="2181"/>
    <x v="38"/>
    <x v="0"/>
    <s v="Coat"/>
    <x v="2"/>
    <n v="37"/>
    <s v="Connecticut"/>
    <s v="M"/>
    <s v="Yellow"/>
    <x v="2"/>
    <x v="7"/>
    <s v="No"/>
    <x v="5"/>
    <x v="1"/>
    <x v="1"/>
    <x v="34"/>
    <x v="1"/>
    <x v="3"/>
    <x v="2"/>
    <n v="37"/>
    <n v="0"/>
  </r>
  <r>
    <n v="2182"/>
    <x v="40"/>
    <x v="0"/>
    <s v="Handbag"/>
    <x v="3"/>
    <n v="63"/>
    <s v="Hawaii"/>
    <s v="M"/>
    <s v="Black"/>
    <x v="3"/>
    <x v="4"/>
    <s v="No"/>
    <x v="1"/>
    <x v="1"/>
    <x v="1"/>
    <x v="18"/>
    <x v="4"/>
    <x v="4"/>
    <x v="1"/>
    <n v="63"/>
    <n v="0"/>
  </r>
  <r>
    <n v="2183"/>
    <x v="32"/>
    <x v="0"/>
    <s v="Blouse"/>
    <x v="0"/>
    <n v="99"/>
    <s v="New Mexico"/>
    <s v="M"/>
    <s v="Maroon"/>
    <x v="0"/>
    <x v="2"/>
    <s v="No"/>
    <x v="5"/>
    <x v="1"/>
    <x v="1"/>
    <x v="8"/>
    <x v="0"/>
    <x v="4"/>
    <x v="2"/>
    <n v="99"/>
    <n v="0"/>
  </r>
  <r>
    <n v="2184"/>
    <x v="11"/>
    <x v="0"/>
    <s v="Shorts"/>
    <x v="0"/>
    <n v="37"/>
    <s v="Kansas"/>
    <s v="M"/>
    <s v="Maroon"/>
    <x v="1"/>
    <x v="10"/>
    <s v="No"/>
    <x v="5"/>
    <x v="1"/>
    <x v="1"/>
    <x v="1"/>
    <x v="1"/>
    <x v="5"/>
    <x v="2"/>
    <n v="37"/>
    <n v="0"/>
  </r>
  <r>
    <n v="2185"/>
    <x v="21"/>
    <x v="0"/>
    <s v="Shoes"/>
    <x v="1"/>
    <n v="34"/>
    <s v="Nevada"/>
    <s v="S"/>
    <s v="Gold"/>
    <x v="1"/>
    <x v="4"/>
    <s v="No"/>
    <x v="1"/>
    <x v="1"/>
    <x v="1"/>
    <x v="20"/>
    <x v="3"/>
    <x v="6"/>
    <x v="2"/>
    <n v="34"/>
    <n v="0"/>
  </r>
  <r>
    <n v="2186"/>
    <x v="37"/>
    <x v="0"/>
    <s v="Shorts"/>
    <x v="0"/>
    <n v="32"/>
    <s v="North Carolina"/>
    <s v="M"/>
    <s v="Violet"/>
    <x v="0"/>
    <x v="25"/>
    <s v="No"/>
    <x v="0"/>
    <x v="1"/>
    <x v="1"/>
    <x v="16"/>
    <x v="5"/>
    <x v="6"/>
    <x v="2"/>
    <n v="32"/>
    <n v="0"/>
  </r>
  <r>
    <n v="2187"/>
    <x v="0"/>
    <x v="0"/>
    <s v="Sandals"/>
    <x v="1"/>
    <n v="23"/>
    <s v="New Mexico"/>
    <s v="XL"/>
    <s v="Teal"/>
    <x v="0"/>
    <x v="24"/>
    <s v="No"/>
    <x v="2"/>
    <x v="1"/>
    <x v="1"/>
    <x v="49"/>
    <x v="3"/>
    <x v="6"/>
    <x v="0"/>
    <n v="23"/>
    <n v="0"/>
  </r>
  <r>
    <n v="2188"/>
    <x v="43"/>
    <x v="0"/>
    <s v="Blouse"/>
    <x v="0"/>
    <n v="78"/>
    <s v="Idaho"/>
    <s v="M"/>
    <s v="Violet"/>
    <x v="1"/>
    <x v="14"/>
    <s v="No"/>
    <x v="1"/>
    <x v="1"/>
    <x v="1"/>
    <x v="41"/>
    <x v="3"/>
    <x v="2"/>
    <x v="2"/>
    <n v="78"/>
    <n v="0"/>
  </r>
  <r>
    <n v="2189"/>
    <x v="38"/>
    <x v="0"/>
    <s v="Coat"/>
    <x v="2"/>
    <n v="54"/>
    <s v="California"/>
    <s v="M"/>
    <s v="Brown"/>
    <x v="0"/>
    <x v="10"/>
    <s v="No"/>
    <x v="2"/>
    <x v="1"/>
    <x v="1"/>
    <x v="44"/>
    <x v="2"/>
    <x v="1"/>
    <x v="2"/>
    <n v="54"/>
    <n v="0"/>
  </r>
  <r>
    <n v="2190"/>
    <x v="21"/>
    <x v="0"/>
    <s v="Blouse"/>
    <x v="0"/>
    <n v="94"/>
    <s v="Wisconsin"/>
    <s v="XL"/>
    <s v="Brown"/>
    <x v="3"/>
    <x v="17"/>
    <s v="No"/>
    <x v="0"/>
    <x v="1"/>
    <x v="1"/>
    <x v="39"/>
    <x v="2"/>
    <x v="4"/>
    <x v="2"/>
    <n v="94"/>
    <n v="0"/>
  </r>
  <r>
    <n v="2191"/>
    <x v="32"/>
    <x v="0"/>
    <s v="Belt"/>
    <x v="3"/>
    <n v="75"/>
    <s v="Alaska"/>
    <s v="S"/>
    <s v="Maroon"/>
    <x v="1"/>
    <x v="12"/>
    <s v="No"/>
    <x v="0"/>
    <x v="1"/>
    <x v="1"/>
    <x v="42"/>
    <x v="2"/>
    <x v="2"/>
    <x v="2"/>
    <n v="75"/>
    <n v="0"/>
  </r>
  <r>
    <n v="2192"/>
    <x v="8"/>
    <x v="0"/>
    <s v="Blouse"/>
    <x v="0"/>
    <n v="69"/>
    <s v="Pennsylvania"/>
    <s v="S"/>
    <s v="Maroon"/>
    <x v="2"/>
    <x v="22"/>
    <s v="No"/>
    <x v="2"/>
    <x v="1"/>
    <x v="1"/>
    <x v="15"/>
    <x v="1"/>
    <x v="4"/>
    <x v="2"/>
    <n v="69"/>
    <n v="0"/>
  </r>
  <r>
    <n v="2193"/>
    <x v="38"/>
    <x v="0"/>
    <s v="Scarf"/>
    <x v="3"/>
    <n v="35"/>
    <s v="Virginia"/>
    <s v="L"/>
    <s v="Yellow"/>
    <x v="0"/>
    <x v="4"/>
    <s v="No"/>
    <x v="2"/>
    <x v="1"/>
    <x v="1"/>
    <x v="44"/>
    <x v="2"/>
    <x v="5"/>
    <x v="2"/>
    <n v="35"/>
    <n v="0"/>
  </r>
  <r>
    <n v="2194"/>
    <x v="7"/>
    <x v="0"/>
    <s v="Shirt"/>
    <x v="0"/>
    <n v="78"/>
    <s v="California"/>
    <s v="L"/>
    <s v="Turquoise"/>
    <x v="1"/>
    <x v="16"/>
    <s v="No"/>
    <x v="0"/>
    <x v="1"/>
    <x v="1"/>
    <x v="6"/>
    <x v="3"/>
    <x v="5"/>
    <x v="2"/>
    <n v="78"/>
    <n v="0"/>
  </r>
  <r>
    <n v="2195"/>
    <x v="12"/>
    <x v="0"/>
    <s v="Socks"/>
    <x v="0"/>
    <n v="29"/>
    <s v="Kentucky"/>
    <s v="M"/>
    <s v="Silver"/>
    <x v="2"/>
    <x v="1"/>
    <s v="No"/>
    <x v="3"/>
    <x v="1"/>
    <x v="1"/>
    <x v="26"/>
    <x v="4"/>
    <x v="3"/>
    <x v="0"/>
    <n v="29"/>
    <n v="0"/>
  </r>
  <r>
    <n v="2196"/>
    <x v="44"/>
    <x v="0"/>
    <s v="Jeans"/>
    <x v="0"/>
    <n v="62"/>
    <s v="New York"/>
    <s v="M"/>
    <s v="Brown"/>
    <x v="3"/>
    <x v="18"/>
    <s v="No"/>
    <x v="2"/>
    <x v="1"/>
    <x v="1"/>
    <x v="1"/>
    <x v="1"/>
    <x v="5"/>
    <x v="0"/>
    <n v="62"/>
    <n v="0"/>
  </r>
  <r>
    <n v="2197"/>
    <x v="15"/>
    <x v="0"/>
    <s v="Dress"/>
    <x v="0"/>
    <n v="58"/>
    <s v="Vermont"/>
    <s v="M"/>
    <s v="Gray"/>
    <x v="1"/>
    <x v="6"/>
    <s v="No"/>
    <x v="2"/>
    <x v="1"/>
    <x v="1"/>
    <x v="4"/>
    <x v="3"/>
    <x v="1"/>
    <x v="1"/>
    <n v="58"/>
    <n v="0"/>
  </r>
  <r>
    <n v="2198"/>
    <x v="23"/>
    <x v="0"/>
    <s v="Boots"/>
    <x v="1"/>
    <n v="88"/>
    <s v="Pennsylvania"/>
    <s v="M"/>
    <s v="Indigo"/>
    <x v="2"/>
    <x v="18"/>
    <s v="No"/>
    <x v="4"/>
    <x v="1"/>
    <x v="1"/>
    <x v="19"/>
    <x v="0"/>
    <x v="5"/>
    <x v="2"/>
    <n v="88"/>
    <n v="0"/>
  </r>
  <r>
    <n v="2199"/>
    <x v="9"/>
    <x v="0"/>
    <s v="Scarf"/>
    <x v="3"/>
    <n v="80"/>
    <s v="New York"/>
    <s v="L"/>
    <s v="Turquoise"/>
    <x v="2"/>
    <x v="1"/>
    <s v="No"/>
    <x v="1"/>
    <x v="1"/>
    <x v="1"/>
    <x v="31"/>
    <x v="0"/>
    <x v="5"/>
    <x v="0"/>
    <n v="80"/>
    <n v="0"/>
  </r>
  <r>
    <n v="2200"/>
    <x v="31"/>
    <x v="0"/>
    <s v="Scarf"/>
    <x v="3"/>
    <n v="47"/>
    <s v="North Carolina"/>
    <s v="M"/>
    <s v="Maroon"/>
    <x v="2"/>
    <x v="8"/>
    <s v="No"/>
    <x v="5"/>
    <x v="1"/>
    <x v="1"/>
    <x v="19"/>
    <x v="5"/>
    <x v="5"/>
    <x v="2"/>
    <n v="47"/>
    <n v="0"/>
  </r>
  <r>
    <n v="2201"/>
    <x v="52"/>
    <x v="0"/>
    <s v="Gloves"/>
    <x v="3"/>
    <n v="51"/>
    <s v="Wyoming"/>
    <s v="L"/>
    <s v="Charcoal"/>
    <x v="2"/>
    <x v="10"/>
    <s v="No"/>
    <x v="2"/>
    <x v="1"/>
    <x v="1"/>
    <x v="46"/>
    <x v="5"/>
    <x v="6"/>
    <x v="0"/>
    <n v="51"/>
    <n v="0"/>
  </r>
  <r>
    <n v="2202"/>
    <x v="31"/>
    <x v="0"/>
    <s v="Pants"/>
    <x v="0"/>
    <n v="25"/>
    <s v="Ohio"/>
    <s v="L"/>
    <s v="Peach"/>
    <x v="1"/>
    <x v="8"/>
    <s v="No"/>
    <x v="4"/>
    <x v="1"/>
    <x v="1"/>
    <x v="9"/>
    <x v="0"/>
    <x v="2"/>
    <x v="2"/>
    <n v="25"/>
    <n v="0"/>
  </r>
  <r>
    <n v="2203"/>
    <x v="32"/>
    <x v="0"/>
    <s v="Dress"/>
    <x v="0"/>
    <n v="36"/>
    <s v="Alabama"/>
    <s v="M"/>
    <s v="Red"/>
    <x v="2"/>
    <x v="24"/>
    <s v="No"/>
    <x v="2"/>
    <x v="1"/>
    <x v="1"/>
    <x v="2"/>
    <x v="2"/>
    <x v="1"/>
    <x v="2"/>
    <n v="36"/>
    <n v="0"/>
  </r>
  <r>
    <n v="2204"/>
    <x v="10"/>
    <x v="0"/>
    <s v="Dress"/>
    <x v="0"/>
    <n v="79"/>
    <s v="Rhode Island"/>
    <s v="M"/>
    <s v="Indigo"/>
    <x v="0"/>
    <x v="0"/>
    <s v="No"/>
    <x v="1"/>
    <x v="1"/>
    <x v="1"/>
    <x v="18"/>
    <x v="1"/>
    <x v="3"/>
    <x v="0"/>
    <n v="79"/>
    <n v="0"/>
  </r>
  <r>
    <n v="2205"/>
    <x v="30"/>
    <x v="0"/>
    <s v="Jeans"/>
    <x v="0"/>
    <n v="41"/>
    <s v="Oregon"/>
    <s v="S"/>
    <s v="Lavender"/>
    <x v="0"/>
    <x v="23"/>
    <s v="No"/>
    <x v="4"/>
    <x v="1"/>
    <x v="1"/>
    <x v="49"/>
    <x v="5"/>
    <x v="5"/>
    <x v="1"/>
    <n v="41"/>
    <n v="0"/>
  </r>
  <r>
    <n v="2206"/>
    <x v="5"/>
    <x v="0"/>
    <s v="Sweater"/>
    <x v="0"/>
    <n v="68"/>
    <s v="North Dakota"/>
    <s v="XL"/>
    <s v="Red"/>
    <x v="3"/>
    <x v="2"/>
    <s v="No"/>
    <x v="0"/>
    <x v="1"/>
    <x v="1"/>
    <x v="46"/>
    <x v="3"/>
    <x v="1"/>
    <x v="2"/>
    <n v="68"/>
    <n v="0"/>
  </r>
  <r>
    <n v="2207"/>
    <x v="5"/>
    <x v="0"/>
    <s v="Sandals"/>
    <x v="1"/>
    <n v="51"/>
    <s v="Illinois"/>
    <s v="L"/>
    <s v="Green"/>
    <x v="1"/>
    <x v="5"/>
    <s v="No"/>
    <x v="5"/>
    <x v="1"/>
    <x v="1"/>
    <x v="29"/>
    <x v="4"/>
    <x v="0"/>
    <x v="2"/>
    <n v="51"/>
    <n v="0"/>
  </r>
  <r>
    <n v="2208"/>
    <x v="28"/>
    <x v="0"/>
    <s v="Handbag"/>
    <x v="3"/>
    <n v="38"/>
    <s v="New Mexico"/>
    <s v="M"/>
    <s v="Gray"/>
    <x v="3"/>
    <x v="3"/>
    <s v="No"/>
    <x v="2"/>
    <x v="1"/>
    <x v="1"/>
    <x v="47"/>
    <x v="2"/>
    <x v="2"/>
    <x v="0"/>
    <n v="38"/>
    <n v="0"/>
  </r>
  <r>
    <n v="2209"/>
    <x v="48"/>
    <x v="0"/>
    <s v="Scarf"/>
    <x v="3"/>
    <n v="46"/>
    <s v="Colorado"/>
    <s v="XL"/>
    <s v="Violet"/>
    <x v="2"/>
    <x v="2"/>
    <s v="No"/>
    <x v="4"/>
    <x v="1"/>
    <x v="1"/>
    <x v="2"/>
    <x v="3"/>
    <x v="5"/>
    <x v="2"/>
    <n v="46"/>
    <n v="0"/>
  </r>
  <r>
    <n v="2210"/>
    <x v="32"/>
    <x v="0"/>
    <s v="Sandals"/>
    <x v="1"/>
    <n v="20"/>
    <s v="Utah"/>
    <s v="XL"/>
    <s v="Beige"/>
    <x v="2"/>
    <x v="9"/>
    <s v="No"/>
    <x v="4"/>
    <x v="1"/>
    <x v="1"/>
    <x v="12"/>
    <x v="4"/>
    <x v="3"/>
    <x v="2"/>
    <n v="20"/>
    <n v="0"/>
  </r>
  <r>
    <n v="2211"/>
    <x v="11"/>
    <x v="0"/>
    <s v="Sunglasses"/>
    <x v="3"/>
    <n v="25"/>
    <s v="Virginia"/>
    <s v="M"/>
    <s v="Orange"/>
    <x v="2"/>
    <x v="0"/>
    <s v="No"/>
    <x v="5"/>
    <x v="1"/>
    <x v="1"/>
    <x v="31"/>
    <x v="3"/>
    <x v="0"/>
    <x v="2"/>
    <n v="25"/>
    <n v="0"/>
  </r>
  <r>
    <n v="2212"/>
    <x v="2"/>
    <x v="0"/>
    <s v="Sweater"/>
    <x v="0"/>
    <n v="89"/>
    <s v="Maine"/>
    <s v="L"/>
    <s v="Purple"/>
    <x v="0"/>
    <x v="4"/>
    <s v="No"/>
    <x v="1"/>
    <x v="1"/>
    <x v="1"/>
    <x v="24"/>
    <x v="5"/>
    <x v="6"/>
    <x v="2"/>
    <n v="89"/>
    <n v="0"/>
  </r>
  <r>
    <n v="2213"/>
    <x v="35"/>
    <x v="0"/>
    <s v="Pants"/>
    <x v="0"/>
    <n v="77"/>
    <s v="Nebraska"/>
    <s v="M"/>
    <s v="Brown"/>
    <x v="0"/>
    <x v="13"/>
    <s v="No"/>
    <x v="2"/>
    <x v="1"/>
    <x v="1"/>
    <x v="17"/>
    <x v="4"/>
    <x v="3"/>
    <x v="0"/>
    <n v="77"/>
    <n v="0"/>
  </r>
  <r>
    <n v="2214"/>
    <x v="22"/>
    <x v="0"/>
    <s v="Hat"/>
    <x v="3"/>
    <n v="94"/>
    <s v="Hawaii"/>
    <s v="M"/>
    <s v="Maroon"/>
    <x v="3"/>
    <x v="3"/>
    <s v="No"/>
    <x v="0"/>
    <x v="1"/>
    <x v="1"/>
    <x v="27"/>
    <x v="5"/>
    <x v="3"/>
    <x v="0"/>
    <n v="94"/>
    <n v="0"/>
  </r>
  <r>
    <n v="2215"/>
    <x v="2"/>
    <x v="0"/>
    <s v="Belt"/>
    <x v="3"/>
    <n v="100"/>
    <s v="Idaho"/>
    <s v="L"/>
    <s v="Gold"/>
    <x v="3"/>
    <x v="7"/>
    <s v="No"/>
    <x v="3"/>
    <x v="1"/>
    <x v="1"/>
    <x v="41"/>
    <x v="5"/>
    <x v="1"/>
    <x v="2"/>
    <n v="100"/>
    <n v="0"/>
  </r>
  <r>
    <n v="2216"/>
    <x v="15"/>
    <x v="0"/>
    <s v="Sandals"/>
    <x v="1"/>
    <n v="96"/>
    <s v="West Virginia"/>
    <s v="M"/>
    <s v="Indigo"/>
    <x v="0"/>
    <x v="2"/>
    <s v="No"/>
    <x v="0"/>
    <x v="1"/>
    <x v="1"/>
    <x v="40"/>
    <x v="2"/>
    <x v="0"/>
    <x v="1"/>
    <n v="96"/>
    <n v="0"/>
  </r>
  <r>
    <n v="2217"/>
    <x v="38"/>
    <x v="0"/>
    <s v="Pants"/>
    <x v="0"/>
    <n v="36"/>
    <s v="Vermont"/>
    <s v="XL"/>
    <s v="Silver"/>
    <x v="0"/>
    <x v="17"/>
    <s v="No"/>
    <x v="5"/>
    <x v="1"/>
    <x v="1"/>
    <x v="28"/>
    <x v="0"/>
    <x v="4"/>
    <x v="2"/>
    <n v="36"/>
    <n v="0"/>
  </r>
  <r>
    <n v="2218"/>
    <x v="25"/>
    <x v="0"/>
    <s v="Jewelry"/>
    <x v="3"/>
    <n v="27"/>
    <s v="Indiana"/>
    <s v="XL"/>
    <s v="Red"/>
    <x v="3"/>
    <x v="5"/>
    <s v="No"/>
    <x v="5"/>
    <x v="1"/>
    <x v="1"/>
    <x v="38"/>
    <x v="4"/>
    <x v="0"/>
    <x v="2"/>
    <n v="27"/>
    <n v="0"/>
  </r>
  <r>
    <n v="2219"/>
    <x v="29"/>
    <x v="0"/>
    <s v="Sunglasses"/>
    <x v="3"/>
    <n v="67"/>
    <s v="Idaho"/>
    <s v="M"/>
    <s v="Magenta"/>
    <x v="0"/>
    <x v="1"/>
    <s v="No"/>
    <x v="5"/>
    <x v="1"/>
    <x v="1"/>
    <x v="41"/>
    <x v="5"/>
    <x v="3"/>
    <x v="0"/>
    <n v="67"/>
    <n v="0"/>
  </r>
  <r>
    <n v="2220"/>
    <x v="23"/>
    <x v="0"/>
    <s v="Blouse"/>
    <x v="0"/>
    <n v="91"/>
    <s v="Minnesota"/>
    <s v="S"/>
    <s v="Purple"/>
    <x v="3"/>
    <x v="11"/>
    <s v="No"/>
    <x v="5"/>
    <x v="1"/>
    <x v="1"/>
    <x v="20"/>
    <x v="4"/>
    <x v="0"/>
    <x v="2"/>
    <n v="91"/>
    <n v="0"/>
  </r>
  <r>
    <n v="2221"/>
    <x v="1"/>
    <x v="0"/>
    <s v="Belt"/>
    <x v="3"/>
    <n v="62"/>
    <s v="Wyoming"/>
    <s v="XL"/>
    <s v="Beige"/>
    <x v="3"/>
    <x v="9"/>
    <s v="No"/>
    <x v="5"/>
    <x v="1"/>
    <x v="1"/>
    <x v="39"/>
    <x v="1"/>
    <x v="2"/>
    <x v="1"/>
    <n v="62"/>
    <n v="0"/>
  </r>
  <r>
    <n v="2222"/>
    <x v="15"/>
    <x v="0"/>
    <s v="Shorts"/>
    <x v="0"/>
    <n v="88"/>
    <s v="Kansas"/>
    <s v="XL"/>
    <s v="White"/>
    <x v="3"/>
    <x v="21"/>
    <s v="No"/>
    <x v="1"/>
    <x v="1"/>
    <x v="1"/>
    <x v="11"/>
    <x v="2"/>
    <x v="2"/>
    <x v="1"/>
    <n v="88"/>
    <n v="0"/>
  </r>
  <r>
    <n v="2223"/>
    <x v="45"/>
    <x v="0"/>
    <s v="Pants"/>
    <x v="0"/>
    <n v="66"/>
    <s v="Georgia"/>
    <s v="M"/>
    <s v="Teal"/>
    <x v="2"/>
    <x v="14"/>
    <s v="No"/>
    <x v="5"/>
    <x v="1"/>
    <x v="1"/>
    <x v="48"/>
    <x v="2"/>
    <x v="1"/>
    <x v="2"/>
    <n v="66"/>
    <n v="0"/>
  </r>
  <r>
    <n v="2224"/>
    <x v="11"/>
    <x v="0"/>
    <s v="Sandals"/>
    <x v="1"/>
    <n v="65"/>
    <s v="Kansas"/>
    <s v="M"/>
    <s v="Gray"/>
    <x v="3"/>
    <x v="10"/>
    <s v="No"/>
    <x v="2"/>
    <x v="1"/>
    <x v="1"/>
    <x v="36"/>
    <x v="3"/>
    <x v="3"/>
    <x v="2"/>
    <n v="65"/>
    <n v="0"/>
  </r>
  <r>
    <n v="2225"/>
    <x v="20"/>
    <x v="0"/>
    <s v="Gloves"/>
    <x v="3"/>
    <n v="25"/>
    <s v="Nebraska"/>
    <s v="L"/>
    <s v="Charcoal"/>
    <x v="0"/>
    <x v="24"/>
    <s v="No"/>
    <x v="3"/>
    <x v="1"/>
    <x v="1"/>
    <x v="25"/>
    <x v="1"/>
    <x v="3"/>
    <x v="1"/>
    <n v="25"/>
    <n v="0"/>
  </r>
  <r>
    <n v="2226"/>
    <x v="21"/>
    <x v="0"/>
    <s v="Belt"/>
    <x v="3"/>
    <n v="64"/>
    <s v="Washington"/>
    <s v="S"/>
    <s v="Olive"/>
    <x v="1"/>
    <x v="6"/>
    <s v="No"/>
    <x v="1"/>
    <x v="1"/>
    <x v="1"/>
    <x v="27"/>
    <x v="2"/>
    <x v="2"/>
    <x v="2"/>
    <n v="64"/>
    <n v="0"/>
  </r>
  <r>
    <n v="2227"/>
    <x v="40"/>
    <x v="0"/>
    <s v="Shirt"/>
    <x v="0"/>
    <n v="72"/>
    <s v="Missouri"/>
    <s v="L"/>
    <s v="Blue"/>
    <x v="1"/>
    <x v="6"/>
    <s v="No"/>
    <x v="5"/>
    <x v="1"/>
    <x v="1"/>
    <x v="40"/>
    <x v="1"/>
    <x v="2"/>
    <x v="1"/>
    <n v="72"/>
    <n v="0"/>
  </r>
  <r>
    <n v="2228"/>
    <x v="37"/>
    <x v="0"/>
    <s v="Scarf"/>
    <x v="3"/>
    <n v="74"/>
    <s v="Washington"/>
    <s v="S"/>
    <s v="Gray"/>
    <x v="2"/>
    <x v="14"/>
    <s v="No"/>
    <x v="2"/>
    <x v="1"/>
    <x v="1"/>
    <x v="38"/>
    <x v="2"/>
    <x v="0"/>
    <x v="2"/>
    <n v="74"/>
    <n v="0"/>
  </r>
  <r>
    <n v="2229"/>
    <x v="22"/>
    <x v="0"/>
    <s v="Gloves"/>
    <x v="3"/>
    <n v="50"/>
    <s v="Kansas"/>
    <s v="M"/>
    <s v="Green"/>
    <x v="3"/>
    <x v="18"/>
    <s v="No"/>
    <x v="1"/>
    <x v="1"/>
    <x v="1"/>
    <x v="36"/>
    <x v="2"/>
    <x v="1"/>
    <x v="0"/>
    <n v="50"/>
    <n v="0"/>
  </r>
  <r>
    <n v="2230"/>
    <x v="27"/>
    <x v="0"/>
    <s v="Pants"/>
    <x v="0"/>
    <n v="97"/>
    <s v="Minnesota"/>
    <s v="M"/>
    <s v="Silver"/>
    <x v="3"/>
    <x v="20"/>
    <s v="No"/>
    <x v="0"/>
    <x v="1"/>
    <x v="1"/>
    <x v="16"/>
    <x v="0"/>
    <x v="5"/>
    <x v="0"/>
    <n v="97"/>
    <n v="0"/>
  </r>
  <r>
    <n v="2231"/>
    <x v="16"/>
    <x v="0"/>
    <s v="Sneakers"/>
    <x v="1"/>
    <n v="36"/>
    <s v="Colorado"/>
    <s v="S"/>
    <s v="Teal"/>
    <x v="1"/>
    <x v="22"/>
    <s v="No"/>
    <x v="0"/>
    <x v="1"/>
    <x v="1"/>
    <x v="42"/>
    <x v="0"/>
    <x v="0"/>
    <x v="0"/>
    <n v="36"/>
    <n v="0"/>
  </r>
  <r>
    <n v="2232"/>
    <x v="50"/>
    <x v="0"/>
    <s v="Jacket"/>
    <x v="2"/>
    <n v="49"/>
    <s v="Utah"/>
    <s v="M"/>
    <s v="Beige"/>
    <x v="3"/>
    <x v="7"/>
    <s v="No"/>
    <x v="5"/>
    <x v="1"/>
    <x v="1"/>
    <x v="43"/>
    <x v="2"/>
    <x v="1"/>
    <x v="2"/>
    <n v="49"/>
    <n v="0"/>
  </r>
  <r>
    <n v="2233"/>
    <x v="13"/>
    <x v="0"/>
    <s v="Shoes"/>
    <x v="1"/>
    <n v="64"/>
    <s v="North Carolina"/>
    <s v="L"/>
    <s v="Lavender"/>
    <x v="1"/>
    <x v="17"/>
    <s v="No"/>
    <x v="5"/>
    <x v="1"/>
    <x v="1"/>
    <x v="0"/>
    <x v="1"/>
    <x v="0"/>
    <x v="0"/>
    <n v="64"/>
    <n v="0"/>
  </r>
  <r>
    <n v="2234"/>
    <x v="21"/>
    <x v="0"/>
    <s v="Blouse"/>
    <x v="0"/>
    <n v="31"/>
    <s v="Florida"/>
    <s v="XL"/>
    <s v="Gray"/>
    <x v="2"/>
    <x v="9"/>
    <s v="No"/>
    <x v="0"/>
    <x v="1"/>
    <x v="1"/>
    <x v="26"/>
    <x v="2"/>
    <x v="5"/>
    <x v="2"/>
    <n v="31"/>
    <n v="0"/>
  </r>
  <r>
    <n v="2235"/>
    <x v="25"/>
    <x v="0"/>
    <s v="Boots"/>
    <x v="1"/>
    <n v="66"/>
    <s v="New Hampshire"/>
    <s v="S"/>
    <s v="Yellow"/>
    <x v="0"/>
    <x v="17"/>
    <s v="No"/>
    <x v="0"/>
    <x v="1"/>
    <x v="1"/>
    <x v="8"/>
    <x v="1"/>
    <x v="1"/>
    <x v="2"/>
    <n v="66"/>
    <n v="0"/>
  </r>
  <r>
    <n v="2236"/>
    <x v="37"/>
    <x v="0"/>
    <s v="Socks"/>
    <x v="0"/>
    <n v="82"/>
    <s v="Illinois"/>
    <s v="M"/>
    <s v="Gray"/>
    <x v="1"/>
    <x v="9"/>
    <s v="No"/>
    <x v="4"/>
    <x v="1"/>
    <x v="1"/>
    <x v="12"/>
    <x v="2"/>
    <x v="2"/>
    <x v="2"/>
    <n v="82"/>
    <n v="0"/>
  </r>
  <r>
    <n v="2237"/>
    <x v="51"/>
    <x v="0"/>
    <s v="T-shirt"/>
    <x v="0"/>
    <n v="88"/>
    <s v="Louisiana"/>
    <s v="M"/>
    <s v="Yellow"/>
    <x v="0"/>
    <x v="2"/>
    <s v="No"/>
    <x v="3"/>
    <x v="1"/>
    <x v="1"/>
    <x v="27"/>
    <x v="5"/>
    <x v="0"/>
    <x v="1"/>
    <n v="88"/>
    <n v="0"/>
  </r>
  <r>
    <n v="2238"/>
    <x v="4"/>
    <x v="0"/>
    <s v="Sandals"/>
    <x v="1"/>
    <n v="34"/>
    <s v="Alabama"/>
    <s v="S"/>
    <s v="Black"/>
    <x v="2"/>
    <x v="22"/>
    <s v="No"/>
    <x v="2"/>
    <x v="1"/>
    <x v="1"/>
    <x v="4"/>
    <x v="0"/>
    <x v="6"/>
    <x v="2"/>
    <n v="34"/>
    <n v="0"/>
  </r>
  <r>
    <n v="2239"/>
    <x v="37"/>
    <x v="0"/>
    <s v="Sneakers"/>
    <x v="1"/>
    <n v="84"/>
    <s v="Florida"/>
    <s v="L"/>
    <s v="Beige"/>
    <x v="0"/>
    <x v="22"/>
    <s v="No"/>
    <x v="3"/>
    <x v="1"/>
    <x v="1"/>
    <x v="27"/>
    <x v="5"/>
    <x v="1"/>
    <x v="2"/>
    <n v="84"/>
    <n v="0"/>
  </r>
  <r>
    <n v="2240"/>
    <x v="32"/>
    <x v="0"/>
    <s v="Jewelry"/>
    <x v="3"/>
    <n v="96"/>
    <s v="Alabama"/>
    <s v="L"/>
    <s v="Indigo"/>
    <x v="2"/>
    <x v="22"/>
    <s v="No"/>
    <x v="4"/>
    <x v="1"/>
    <x v="1"/>
    <x v="23"/>
    <x v="2"/>
    <x v="6"/>
    <x v="2"/>
    <n v="96"/>
    <n v="0"/>
  </r>
  <r>
    <n v="2241"/>
    <x v="9"/>
    <x v="0"/>
    <s v="Sandals"/>
    <x v="1"/>
    <n v="71"/>
    <s v="California"/>
    <s v="L"/>
    <s v="Green"/>
    <x v="0"/>
    <x v="24"/>
    <s v="No"/>
    <x v="2"/>
    <x v="1"/>
    <x v="1"/>
    <x v="27"/>
    <x v="5"/>
    <x v="6"/>
    <x v="0"/>
    <n v="71"/>
    <n v="0"/>
  </r>
  <r>
    <n v="2242"/>
    <x v="20"/>
    <x v="0"/>
    <s v="Jacket"/>
    <x v="2"/>
    <n v="77"/>
    <s v="Maryland"/>
    <s v="M"/>
    <s v="Purple"/>
    <x v="2"/>
    <x v="1"/>
    <s v="No"/>
    <x v="1"/>
    <x v="1"/>
    <x v="1"/>
    <x v="35"/>
    <x v="4"/>
    <x v="4"/>
    <x v="1"/>
    <n v="77"/>
    <n v="0"/>
  </r>
  <r>
    <n v="2243"/>
    <x v="20"/>
    <x v="0"/>
    <s v="Skirt"/>
    <x v="0"/>
    <n v="66"/>
    <s v="Nevada"/>
    <s v="M"/>
    <s v="Orange"/>
    <x v="1"/>
    <x v="22"/>
    <s v="No"/>
    <x v="2"/>
    <x v="1"/>
    <x v="1"/>
    <x v="36"/>
    <x v="2"/>
    <x v="4"/>
    <x v="1"/>
    <n v="66"/>
    <n v="0"/>
  </r>
  <r>
    <n v="2244"/>
    <x v="19"/>
    <x v="0"/>
    <s v="Shirt"/>
    <x v="0"/>
    <n v="21"/>
    <s v="Massachusetts"/>
    <s v="M"/>
    <s v="Teal"/>
    <x v="0"/>
    <x v="18"/>
    <s v="No"/>
    <x v="4"/>
    <x v="1"/>
    <x v="1"/>
    <x v="21"/>
    <x v="5"/>
    <x v="2"/>
    <x v="0"/>
    <n v="21"/>
    <n v="0"/>
  </r>
  <r>
    <n v="2245"/>
    <x v="25"/>
    <x v="0"/>
    <s v="Shorts"/>
    <x v="0"/>
    <n v="37"/>
    <s v="South Carolina"/>
    <s v="M"/>
    <s v="Gold"/>
    <x v="2"/>
    <x v="6"/>
    <s v="No"/>
    <x v="4"/>
    <x v="1"/>
    <x v="1"/>
    <x v="17"/>
    <x v="3"/>
    <x v="2"/>
    <x v="2"/>
    <n v="37"/>
    <n v="0"/>
  </r>
  <r>
    <n v="2246"/>
    <x v="34"/>
    <x v="0"/>
    <s v="Socks"/>
    <x v="0"/>
    <n v="90"/>
    <s v="Delaware"/>
    <s v="L"/>
    <s v="Gray"/>
    <x v="3"/>
    <x v="8"/>
    <s v="No"/>
    <x v="1"/>
    <x v="1"/>
    <x v="1"/>
    <x v="24"/>
    <x v="3"/>
    <x v="0"/>
    <x v="2"/>
    <n v="90"/>
    <n v="0"/>
  </r>
  <r>
    <n v="2247"/>
    <x v="34"/>
    <x v="0"/>
    <s v="Jacket"/>
    <x v="2"/>
    <n v="96"/>
    <s v="Hawaii"/>
    <s v="M"/>
    <s v="Cyan"/>
    <x v="3"/>
    <x v="24"/>
    <s v="No"/>
    <x v="5"/>
    <x v="1"/>
    <x v="1"/>
    <x v="30"/>
    <x v="3"/>
    <x v="6"/>
    <x v="2"/>
    <n v="96"/>
    <n v="0"/>
  </r>
  <r>
    <n v="2248"/>
    <x v="50"/>
    <x v="0"/>
    <s v="Jewelry"/>
    <x v="3"/>
    <n v="37"/>
    <s v="Florida"/>
    <s v="L"/>
    <s v="Teal"/>
    <x v="2"/>
    <x v="14"/>
    <s v="No"/>
    <x v="2"/>
    <x v="1"/>
    <x v="1"/>
    <x v="27"/>
    <x v="0"/>
    <x v="2"/>
    <x v="2"/>
    <n v="37"/>
    <n v="0"/>
  </r>
  <r>
    <n v="2249"/>
    <x v="6"/>
    <x v="0"/>
    <s v="T-shirt"/>
    <x v="0"/>
    <n v="66"/>
    <s v="Rhode Island"/>
    <s v="M"/>
    <s v="Violet"/>
    <x v="0"/>
    <x v="23"/>
    <s v="No"/>
    <x v="1"/>
    <x v="1"/>
    <x v="1"/>
    <x v="5"/>
    <x v="3"/>
    <x v="0"/>
    <x v="0"/>
    <n v="66"/>
    <n v="0"/>
  </r>
  <r>
    <n v="2250"/>
    <x v="32"/>
    <x v="0"/>
    <s v="Gloves"/>
    <x v="3"/>
    <n v="45"/>
    <s v="Wyoming"/>
    <s v="XL"/>
    <s v="Indigo"/>
    <x v="1"/>
    <x v="24"/>
    <s v="No"/>
    <x v="2"/>
    <x v="1"/>
    <x v="1"/>
    <x v="32"/>
    <x v="5"/>
    <x v="1"/>
    <x v="2"/>
    <n v="45"/>
    <n v="0"/>
  </r>
  <r>
    <n v="2251"/>
    <x v="38"/>
    <x v="0"/>
    <s v="Shoes"/>
    <x v="1"/>
    <n v="89"/>
    <s v="Colorado"/>
    <s v="L"/>
    <s v="Pink"/>
    <x v="2"/>
    <x v="12"/>
    <s v="No"/>
    <x v="5"/>
    <x v="1"/>
    <x v="1"/>
    <x v="5"/>
    <x v="2"/>
    <x v="1"/>
    <x v="2"/>
    <n v="89"/>
    <n v="0"/>
  </r>
  <r>
    <n v="2252"/>
    <x v="8"/>
    <x v="0"/>
    <s v="Shoes"/>
    <x v="1"/>
    <n v="94"/>
    <s v="Virginia"/>
    <s v="L"/>
    <s v="Gold"/>
    <x v="3"/>
    <x v="22"/>
    <s v="No"/>
    <x v="1"/>
    <x v="1"/>
    <x v="1"/>
    <x v="17"/>
    <x v="5"/>
    <x v="5"/>
    <x v="2"/>
    <n v="94"/>
    <n v="0"/>
  </r>
  <r>
    <n v="2253"/>
    <x v="39"/>
    <x v="0"/>
    <s v="Shoes"/>
    <x v="1"/>
    <n v="96"/>
    <s v="Nebraska"/>
    <s v="S"/>
    <s v="Maroon"/>
    <x v="2"/>
    <x v="20"/>
    <s v="No"/>
    <x v="0"/>
    <x v="1"/>
    <x v="1"/>
    <x v="33"/>
    <x v="4"/>
    <x v="2"/>
    <x v="2"/>
    <n v="96"/>
    <n v="0"/>
  </r>
  <r>
    <n v="2254"/>
    <x v="46"/>
    <x v="0"/>
    <s v="Hoodie"/>
    <x v="0"/>
    <n v="31"/>
    <s v="Oklahoma"/>
    <s v="M"/>
    <s v="Brown"/>
    <x v="1"/>
    <x v="5"/>
    <s v="No"/>
    <x v="5"/>
    <x v="1"/>
    <x v="1"/>
    <x v="17"/>
    <x v="3"/>
    <x v="5"/>
    <x v="0"/>
    <n v="31"/>
    <n v="0"/>
  </r>
  <r>
    <n v="2255"/>
    <x v="41"/>
    <x v="0"/>
    <s v="Belt"/>
    <x v="3"/>
    <n v="79"/>
    <s v="North Dakota"/>
    <s v="M"/>
    <s v="Gold"/>
    <x v="0"/>
    <x v="19"/>
    <s v="No"/>
    <x v="5"/>
    <x v="1"/>
    <x v="1"/>
    <x v="12"/>
    <x v="3"/>
    <x v="6"/>
    <x v="1"/>
    <n v="79"/>
    <n v="0"/>
  </r>
  <r>
    <n v="2256"/>
    <x v="39"/>
    <x v="0"/>
    <s v="Coat"/>
    <x v="2"/>
    <n v="39"/>
    <s v="Michigan"/>
    <s v="L"/>
    <s v="Teal"/>
    <x v="1"/>
    <x v="12"/>
    <s v="No"/>
    <x v="5"/>
    <x v="1"/>
    <x v="1"/>
    <x v="38"/>
    <x v="4"/>
    <x v="3"/>
    <x v="2"/>
    <n v="39"/>
    <n v="0"/>
  </r>
  <r>
    <n v="2257"/>
    <x v="18"/>
    <x v="0"/>
    <s v="Blouse"/>
    <x v="0"/>
    <n v="22"/>
    <s v="California"/>
    <s v="M"/>
    <s v="Turquoise"/>
    <x v="3"/>
    <x v="16"/>
    <s v="No"/>
    <x v="3"/>
    <x v="1"/>
    <x v="1"/>
    <x v="42"/>
    <x v="2"/>
    <x v="3"/>
    <x v="2"/>
    <n v="22"/>
    <n v="0"/>
  </r>
  <r>
    <n v="2258"/>
    <x v="38"/>
    <x v="0"/>
    <s v="Skirt"/>
    <x v="0"/>
    <n v="32"/>
    <s v="Tennessee"/>
    <s v="L"/>
    <s v="Olive"/>
    <x v="3"/>
    <x v="19"/>
    <s v="No"/>
    <x v="3"/>
    <x v="1"/>
    <x v="1"/>
    <x v="49"/>
    <x v="4"/>
    <x v="2"/>
    <x v="2"/>
    <n v="32"/>
    <n v="0"/>
  </r>
  <r>
    <n v="2259"/>
    <x v="41"/>
    <x v="0"/>
    <s v="T-shirt"/>
    <x v="0"/>
    <n v="71"/>
    <s v="Ohio"/>
    <s v="L"/>
    <s v="Cyan"/>
    <x v="0"/>
    <x v="24"/>
    <s v="No"/>
    <x v="5"/>
    <x v="1"/>
    <x v="1"/>
    <x v="12"/>
    <x v="2"/>
    <x v="6"/>
    <x v="1"/>
    <n v="71"/>
    <n v="0"/>
  </r>
  <r>
    <n v="2260"/>
    <x v="52"/>
    <x v="0"/>
    <s v="Jeans"/>
    <x v="0"/>
    <n v="96"/>
    <s v="Florida"/>
    <s v="XL"/>
    <s v="Beige"/>
    <x v="1"/>
    <x v="13"/>
    <s v="No"/>
    <x v="1"/>
    <x v="1"/>
    <x v="1"/>
    <x v="37"/>
    <x v="1"/>
    <x v="2"/>
    <x v="0"/>
    <n v="96"/>
    <n v="0"/>
  </r>
  <r>
    <n v="2261"/>
    <x v="21"/>
    <x v="0"/>
    <s v="Scarf"/>
    <x v="3"/>
    <n v="82"/>
    <s v="Missouri"/>
    <s v="M"/>
    <s v="Blue"/>
    <x v="3"/>
    <x v="8"/>
    <s v="No"/>
    <x v="0"/>
    <x v="1"/>
    <x v="1"/>
    <x v="20"/>
    <x v="3"/>
    <x v="3"/>
    <x v="2"/>
    <n v="82"/>
    <n v="0"/>
  </r>
  <r>
    <n v="2262"/>
    <x v="44"/>
    <x v="0"/>
    <s v="Backpack"/>
    <x v="3"/>
    <n v="76"/>
    <s v="South Carolina"/>
    <s v="L"/>
    <s v="Gold"/>
    <x v="1"/>
    <x v="14"/>
    <s v="No"/>
    <x v="3"/>
    <x v="1"/>
    <x v="1"/>
    <x v="45"/>
    <x v="4"/>
    <x v="0"/>
    <x v="0"/>
    <n v="76"/>
    <n v="0"/>
  </r>
  <r>
    <n v="2263"/>
    <x v="10"/>
    <x v="0"/>
    <s v="Backpack"/>
    <x v="3"/>
    <n v="22"/>
    <s v="Arizona"/>
    <s v="M"/>
    <s v="Green"/>
    <x v="0"/>
    <x v="0"/>
    <s v="No"/>
    <x v="4"/>
    <x v="1"/>
    <x v="1"/>
    <x v="16"/>
    <x v="3"/>
    <x v="5"/>
    <x v="0"/>
    <n v="22"/>
    <n v="0"/>
  </r>
  <r>
    <n v="2264"/>
    <x v="42"/>
    <x v="0"/>
    <s v="Scarf"/>
    <x v="3"/>
    <n v="40"/>
    <s v="Indiana"/>
    <s v="XL"/>
    <s v="Green"/>
    <x v="0"/>
    <x v="1"/>
    <s v="No"/>
    <x v="5"/>
    <x v="1"/>
    <x v="1"/>
    <x v="38"/>
    <x v="1"/>
    <x v="3"/>
    <x v="2"/>
    <n v="40"/>
    <n v="0"/>
  </r>
  <r>
    <n v="2265"/>
    <x v="47"/>
    <x v="0"/>
    <s v="Hat"/>
    <x v="3"/>
    <n v="92"/>
    <s v="North Dakota"/>
    <s v="M"/>
    <s v="Turquoise"/>
    <x v="2"/>
    <x v="20"/>
    <s v="No"/>
    <x v="4"/>
    <x v="1"/>
    <x v="1"/>
    <x v="16"/>
    <x v="3"/>
    <x v="5"/>
    <x v="0"/>
    <n v="92"/>
    <n v="0"/>
  </r>
  <r>
    <n v="2266"/>
    <x v="24"/>
    <x v="0"/>
    <s v="Coat"/>
    <x v="2"/>
    <n v="94"/>
    <s v="Montana"/>
    <s v="XL"/>
    <s v="Yellow"/>
    <x v="3"/>
    <x v="20"/>
    <s v="No"/>
    <x v="5"/>
    <x v="1"/>
    <x v="1"/>
    <x v="9"/>
    <x v="3"/>
    <x v="3"/>
    <x v="2"/>
    <n v="94"/>
    <n v="0"/>
  </r>
  <r>
    <n v="2267"/>
    <x v="30"/>
    <x v="0"/>
    <s v="Dress"/>
    <x v="0"/>
    <n v="44"/>
    <s v="Missouri"/>
    <s v="M"/>
    <s v="Yellow"/>
    <x v="3"/>
    <x v="24"/>
    <s v="No"/>
    <x v="5"/>
    <x v="1"/>
    <x v="1"/>
    <x v="18"/>
    <x v="5"/>
    <x v="1"/>
    <x v="1"/>
    <n v="44"/>
    <n v="0"/>
  </r>
  <r>
    <n v="2268"/>
    <x v="45"/>
    <x v="0"/>
    <s v="Gloves"/>
    <x v="3"/>
    <n v="49"/>
    <s v="Kentucky"/>
    <s v="S"/>
    <s v="Blue"/>
    <x v="1"/>
    <x v="22"/>
    <s v="No"/>
    <x v="0"/>
    <x v="1"/>
    <x v="1"/>
    <x v="10"/>
    <x v="0"/>
    <x v="1"/>
    <x v="2"/>
    <n v="49"/>
    <n v="0"/>
  </r>
  <r>
    <n v="2269"/>
    <x v="17"/>
    <x v="0"/>
    <s v="Sweater"/>
    <x v="0"/>
    <n v="26"/>
    <s v="Georgia"/>
    <s v="L"/>
    <s v="Charcoal"/>
    <x v="1"/>
    <x v="2"/>
    <s v="No"/>
    <x v="4"/>
    <x v="1"/>
    <x v="1"/>
    <x v="28"/>
    <x v="4"/>
    <x v="5"/>
    <x v="0"/>
    <n v="26"/>
    <n v="0"/>
  </r>
  <r>
    <n v="2270"/>
    <x v="34"/>
    <x v="0"/>
    <s v="Skirt"/>
    <x v="0"/>
    <n v="38"/>
    <s v="Kentucky"/>
    <s v="M"/>
    <s v="Yellow"/>
    <x v="3"/>
    <x v="14"/>
    <s v="No"/>
    <x v="5"/>
    <x v="1"/>
    <x v="1"/>
    <x v="46"/>
    <x v="2"/>
    <x v="2"/>
    <x v="2"/>
    <n v="38"/>
    <n v="0"/>
  </r>
  <r>
    <n v="2271"/>
    <x v="7"/>
    <x v="0"/>
    <s v="Blouse"/>
    <x v="0"/>
    <n v="72"/>
    <s v="Georgia"/>
    <s v="L"/>
    <s v="Purple"/>
    <x v="1"/>
    <x v="1"/>
    <s v="No"/>
    <x v="0"/>
    <x v="1"/>
    <x v="1"/>
    <x v="22"/>
    <x v="0"/>
    <x v="1"/>
    <x v="2"/>
    <n v="72"/>
    <n v="0"/>
  </r>
  <r>
    <n v="2272"/>
    <x v="26"/>
    <x v="0"/>
    <s v="Dress"/>
    <x v="0"/>
    <n v="99"/>
    <s v="Alaska"/>
    <s v="M"/>
    <s v="Green"/>
    <x v="2"/>
    <x v="23"/>
    <s v="No"/>
    <x v="1"/>
    <x v="1"/>
    <x v="1"/>
    <x v="3"/>
    <x v="3"/>
    <x v="3"/>
    <x v="2"/>
    <n v="99"/>
    <n v="0"/>
  </r>
  <r>
    <n v="2273"/>
    <x v="26"/>
    <x v="0"/>
    <s v="Jacket"/>
    <x v="2"/>
    <n v="38"/>
    <s v="Maine"/>
    <s v="L"/>
    <s v="Charcoal"/>
    <x v="1"/>
    <x v="17"/>
    <s v="No"/>
    <x v="3"/>
    <x v="1"/>
    <x v="1"/>
    <x v="12"/>
    <x v="3"/>
    <x v="5"/>
    <x v="2"/>
    <n v="38"/>
    <n v="0"/>
  </r>
  <r>
    <n v="2274"/>
    <x v="0"/>
    <x v="0"/>
    <s v="Coat"/>
    <x v="2"/>
    <n v="96"/>
    <s v="New Mexico"/>
    <s v="L"/>
    <s v="Silver"/>
    <x v="0"/>
    <x v="6"/>
    <s v="No"/>
    <x v="0"/>
    <x v="1"/>
    <x v="1"/>
    <x v="21"/>
    <x v="3"/>
    <x v="4"/>
    <x v="0"/>
    <n v="96"/>
    <n v="0"/>
  </r>
  <r>
    <n v="2275"/>
    <x v="9"/>
    <x v="0"/>
    <s v="Dress"/>
    <x v="0"/>
    <n v="27"/>
    <s v="New York"/>
    <s v="L"/>
    <s v="Turquoise"/>
    <x v="1"/>
    <x v="9"/>
    <s v="No"/>
    <x v="2"/>
    <x v="1"/>
    <x v="1"/>
    <x v="25"/>
    <x v="3"/>
    <x v="0"/>
    <x v="0"/>
    <n v="27"/>
    <n v="0"/>
  </r>
  <r>
    <n v="2276"/>
    <x v="26"/>
    <x v="0"/>
    <s v="Shorts"/>
    <x v="0"/>
    <n v="24"/>
    <s v="Oklahoma"/>
    <s v="M"/>
    <s v="Gray"/>
    <x v="0"/>
    <x v="14"/>
    <s v="No"/>
    <x v="3"/>
    <x v="1"/>
    <x v="1"/>
    <x v="9"/>
    <x v="5"/>
    <x v="1"/>
    <x v="2"/>
    <n v="24"/>
    <n v="0"/>
  </r>
  <r>
    <n v="2277"/>
    <x v="18"/>
    <x v="0"/>
    <s v="Jeans"/>
    <x v="0"/>
    <n v="82"/>
    <s v="Wyoming"/>
    <s v="L"/>
    <s v="Red"/>
    <x v="2"/>
    <x v="7"/>
    <s v="No"/>
    <x v="4"/>
    <x v="1"/>
    <x v="1"/>
    <x v="29"/>
    <x v="5"/>
    <x v="1"/>
    <x v="2"/>
    <n v="82"/>
    <n v="0"/>
  </r>
  <r>
    <n v="2278"/>
    <x v="15"/>
    <x v="0"/>
    <s v="Hat"/>
    <x v="3"/>
    <n v="56"/>
    <s v="Alabama"/>
    <s v="M"/>
    <s v="Beige"/>
    <x v="2"/>
    <x v="12"/>
    <s v="No"/>
    <x v="2"/>
    <x v="1"/>
    <x v="1"/>
    <x v="27"/>
    <x v="2"/>
    <x v="3"/>
    <x v="1"/>
    <n v="56"/>
    <n v="0"/>
  </r>
  <r>
    <n v="2279"/>
    <x v="12"/>
    <x v="0"/>
    <s v="Gloves"/>
    <x v="3"/>
    <n v="25"/>
    <s v="Maryland"/>
    <s v="M"/>
    <s v="Maroon"/>
    <x v="3"/>
    <x v="22"/>
    <s v="No"/>
    <x v="5"/>
    <x v="1"/>
    <x v="1"/>
    <x v="49"/>
    <x v="1"/>
    <x v="6"/>
    <x v="0"/>
    <n v="25"/>
    <n v="0"/>
  </r>
  <r>
    <n v="2280"/>
    <x v="10"/>
    <x v="0"/>
    <s v="Sneakers"/>
    <x v="1"/>
    <n v="67"/>
    <s v="West Virginia"/>
    <s v="L"/>
    <s v="Indigo"/>
    <x v="1"/>
    <x v="3"/>
    <s v="No"/>
    <x v="1"/>
    <x v="1"/>
    <x v="1"/>
    <x v="31"/>
    <x v="4"/>
    <x v="3"/>
    <x v="0"/>
    <n v="67"/>
    <n v="0"/>
  </r>
  <r>
    <n v="2281"/>
    <x v="40"/>
    <x v="0"/>
    <s v="Shoes"/>
    <x v="1"/>
    <n v="21"/>
    <s v="Kentucky"/>
    <s v="M"/>
    <s v="Red"/>
    <x v="2"/>
    <x v="11"/>
    <s v="No"/>
    <x v="3"/>
    <x v="1"/>
    <x v="1"/>
    <x v="4"/>
    <x v="2"/>
    <x v="0"/>
    <x v="1"/>
    <n v="21"/>
    <n v="0"/>
  </r>
  <r>
    <n v="2282"/>
    <x v="48"/>
    <x v="0"/>
    <s v="Hoodie"/>
    <x v="0"/>
    <n v="27"/>
    <s v="Kansas"/>
    <s v="XL"/>
    <s v="Maroon"/>
    <x v="2"/>
    <x v="21"/>
    <s v="No"/>
    <x v="5"/>
    <x v="1"/>
    <x v="1"/>
    <x v="23"/>
    <x v="4"/>
    <x v="2"/>
    <x v="2"/>
    <n v="27"/>
    <n v="0"/>
  </r>
  <r>
    <n v="2283"/>
    <x v="20"/>
    <x v="0"/>
    <s v="Sneakers"/>
    <x v="1"/>
    <n v="97"/>
    <s v="Idaho"/>
    <s v="S"/>
    <s v="Red"/>
    <x v="3"/>
    <x v="19"/>
    <s v="No"/>
    <x v="4"/>
    <x v="1"/>
    <x v="1"/>
    <x v="6"/>
    <x v="2"/>
    <x v="2"/>
    <x v="1"/>
    <n v="97"/>
    <n v="0"/>
  </r>
  <r>
    <n v="2284"/>
    <x v="42"/>
    <x v="0"/>
    <s v="Handbag"/>
    <x v="3"/>
    <n v="45"/>
    <s v="Ohio"/>
    <s v="S"/>
    <s v="Black"/>
    <x v="0"/>
    <x v="7"/>
    <s v="No"/>
    <x v="1"/>
    <x v="1"/>
    <x v="1"/>
    <x v="11"/>
    <x v="2"/>
    <x v="0"/>
    <x v="2"/>
    <n v="45"/>
    <n v="0"/>
  </r>
  <r>
    <n v="2285"/>
    <x v="45"/>
    <x v="0"/>
    <s v="Blouse"/>
    <x v="0"/>
    <n v="63"/>
    <s v="Iowa"/>
    <s v="XL"/>
    <s v="Black"/>
    <x v="3"/>
    <x v="7"/>
    <s v="No"/>
    <x v="0"/>
    <x v="1"/>
    <x v="1"/>
    <x v="41"/>
    <x v="0"/>
    <x v="2"/>
    <x v="2"/>
    <n v="63"/>
    <n v="0"/>
  </r>
  <r>
    <n v="2286"/>
    <x v="50"/>
    <x v="0"/>
    <s v="Belt"/>
    <x v="3"/>
    <n v="100"/>
    <s v="Michigan"/>
    <s v="L"/>
    <s v="Pink"/>
    <x v="2"/>
    <x v="12"/>
    <s v="No"/>
    <x v="4"/>
    <x v="1"/>
    <x v="1"/>
    <x v="25"/>
    <x v="3"/>
    <x v="6"/>
    <x v="2"/>
    <n v="100"/>
    <n v="0"/>
  </r>
  <r>
    <n v="2287"/>
    <x v="29"/>
    <x v="0"/>
    <s v="Socks"/>
    <x v="0"/>
    <n v="38"/>
    <s v="South Dakota"/>
    <s v="L"/>
    <s v="Blue"/>
    <x v="1"/>
    <x v="25"/>
    <s v="No"/>
    <x v="5"/>
    <x v="1"/>
    <x v="1"/>
    <x v="31"/>
    <x v="0"/>
    <x v="3"/>
    <x v="0"/>
    <n v="38"/>
    <n v="0"/>
  </r>
  <r>
    <n v="2288"/>
    <x v="17"/>
    <x v="0"/>
    <s v="Blouse"/>
    <x v="0"/>
    <n v="45"/>
    <s v="Nebraska"/>
    <s v="L"/>
    <s v="Green"/>
    <x v="2"/>
    <x v="21"/>
    <s v="No"/>
    <x v="5"/>
    <x v="1"/>
    <x v="1"/>
    <x v="49"/>
    <x v="5"/>
    <x v="2"/>
    <x v="0"/>
    <n v="45"/>
    <n v="0"/>
  </r>
  <r>
    <n v="2289"/>
    <x v="48"/>
    <x v="0"/>
    <s v="Jewelry"/>
    <x v="3"/>
    <n v="91"/>
    <s v="California"/>
    <s v="M"/>
    <s v="Orange"/>
    <x v="3"/>
    <x v="22"/>
    <s v="No"/>
    <x v="2"/>
    <x v="1"/>
    <x v="1"/>
    <x v="16"/>
    <x v="3"/>
    <x v="1"/>
    <x v="2"/>
    <n v="91"/>
    <n v="0"/>
  </r>
  <r>
    <n v="2290"/>
    <x v="27"/>
    <x v="0"/>
    <s v="Shorts"/>
    <x v="0"/>
    <n v="82"/>
    <s v="Nevada"/>
    <s v="M"/>
    <s v="Orange"/>
    <x v="3"/>
    <x v="7"/>
    <s v="No"/>
    <x v="1"/>
    <x v="1"/>
    <x v="1"/>
    <x v="39"/>
    <x v="0"/>
    <x v="1"/>
    <x v="0"/>
    <n v="82"/>
    <n v="0"/>
  </r>
  <r>
    <n v="2291"/>
    <x v="43"/>
    <x v="0"/>
    <s v="Boots"/>
    <x v="1"/>
    <n v="48"/>
    <s v="Kansas"/>
    <s v="L"/>
    <s v="Magenta"/>
    <x v="0"/>
    <x v="13"/>
    <s v="No"/>
    <x v="3"/>
    <x v="1"/>
    <x v="1"/>
    <x v="2"/>
    <x v="3"/>
    <x v="3"/>
    <x v="2"/>
    <n v="48"/>
    <n v="0"/>
  </r>
  <r>
    <n v="2292"/>
    <x v="48"/>
    <x v="0"/>
    <s v="Coat"/>
    <x v="2"/>
    <n v="30"/>
    <s v="Ohio"/>
    <s v="M"/>
    <s v="Indigo"/>
    <x v="1"/>
    <x v="16"/>
    <s v="No"/>
    <x v="4"/>
    <x v="1"/>
    <x v="1"/>
    <x v="21"/>
    <x v="2"/>
    <x v="3"/>
    <x v="2"/>
    <n v="30"/>
    <n v="0"/>
  </r>
  <r>
    <n v="2293"/>
    <x v="49"/>
    <x v="0"/>
    <s v="T-shirt"/>
    <x v="0"/>
    <n v="34"/>
    <s v="Vermont"/>
    <s v="S"/>
    <s v="Beige"/>
    <x v="1"/>
    <x v="22"/>
    <s v="No"/>
    <x v="2"/>
    <x v="1"/>
    <x v="1"/>
    <x v="4"/>
    <x v="5"/>
    <x v="5"/>
    <x v="2"/>
    <n v="34"/>
    <n v="0"/>
  </r>
  <r>
    <n v="2294"/>
    <x v="43"/>
    <x v="0"/>
    <s v="Sweater"/>
    <x v="0"/>
    <n v="68"/>
    <s v="Georgia"/>
    <s v="L"/>
    <s v="Green"/>
    <x v="3"/>
    <x v="13"/>
    <s v="No"/>
    <x v="0"/>
    <x v="1"/>
    <x v="1"/>
    <x v="20"/>
    <x v="5"/>
    <x v="6"/>
    <x v="2"/>
    <n v="68"/>
    <n v="0"/>
  </r>
  <r>
    <n v="2295"/>
    <x v="22"/>
    <x v="0"/>
    <s v="Sunglasses"/>
    <x v="3"/>
    <n v="95"/>
    <s v="Maryland"/>
    <s v="M"/>
    <s v="Red"/>
    <x v="0"/>
    <x v="16"/>
    <s v="No"/>
    <x v="0"/>
    <x v="1"/>
    <x v="1"/>
    <x v="19"/>
    <x v="5"/>
    <x v="2"/>
    <x v="0"/>
    <n v="95"/>
    <n v="0"/>
  </r>
  <r>
    <n v="2296"/>
    <x v="2"/>
    <x v="0"/>
    <s v="Hat"/>
    <x v="3"/>
    <n v="22"/>
    <s v="Connecticut"/>
    <s v="L"/>
    <s v="Beige"/>
    <x v="1"/>
    <x v="3"/>
    <s v="No"/>
    <x v="4"/>
    <x v="1"/>
    <x v="1"/>
    <x v="24"/>
    <x v="3"/>
    <x v="3"/>
    <x v="2"/>
    <n v="22"/>
    <n v="0"/>
  </r>
  <r>
    <n v="2297"/>
    <x v="5"/>
    <x v="0"/>
    <s v="Gloves"/>
    <x v="3"/>
    <n v="88"/>
    <s v="Washington"/>
    <s v="M"/>
    <s v="Green"/>
    <x v="3"/>
    <x v="25"/>
    <s v="No"/>
    <x v="2"/>
    <x v="1"/>
    <x v="1"/>
    <x v="16"/>
    <x v="0"/>
    <x v="6"/>
    <x v="2"/>
    <n v="88"/>
    <n v="0"/>
  </r>
  <r>
    <n v="2298"/>
    <x v="52"/>
    <x v="0"/>
    <s v="Socks"/>
    <x v="0"/>
    <n v="83"/>
    <s v="California"/>
    <s v="M"/>
    <s v="Orange"/>
    <x v="2"/>
    <x v="10"/>
    <s v="No"/>
    <x v="3"/>
    <x v="1"/>
    <x v="1"/>
    <x v="43"/>
    <x v="4"/>
    <x v="3"/>
    <x v="0"/>
    <n v="83"/>
    <n v="0"/>
  </r>
  <r>
    <n v="2299"/>
    <x v="37"/>
    <x v="0"/>
    <s v="Handbag"/>
    <x v="3"/>
    <n v="87"/>
    <s v="Montana"/>
    <s v="L"/>
    <s v="Cyan"/>
    <x v="1"/>
    <x v="3"/>
    <s v="No"/>
    <x v="4"/>
    <x v="1"/>
    <x v="1"/>
    <x v="9"/>
    <x v="1"/>
    <x v="6"/>
    <x v="2"/>
    <n v="87"/>
    <n v="0"/>
  </r>
  <r>
    <n v="2300"/>
    <x v="14"/>
    <x v="0"/>
    <s v="Coat"/>
    <x v="2"/>
    <n v="57"/>
    <s v="Idaho"/>
    <s v="M"/>
    <s v="Violet"/>
    <x v="2"/>
    <x v="18"/>
    <s v="No"/>
    <x v="5"/>
    <x v="1"/>
    <x v="1"/>
    <x v="26"/>
    <x v="2"/>
    <x v="6"/>
    <x v="0"/>
    <n v="57"/>
    <n v="0"/>
  </r>
  <r>
    <n v="2301"/>
    <x v="20"/>
    <x v="0"/>
    <s v="Coat"/>
    <x v="2"/>
    <n v="88"/>
    <s v="Pennsylvania"/>
    <s v="XL"/>
    <s v="Lavender"/>
    <x v="2"/>
    <x v="14"/>
    <s v="No"/>
    <x v="4"/>
    <x v="1"/>
    <x v="1"/>
    <x v="25"/>
    <x v="2"/>
    <x v="5"/>
    <x v="1"/>
    <n v="88"/>
    <n v="0"/>
  </r>
  <r>
    <n v="2302"/>
    <x v="43"/>
    <x v="0"/>
    <s v="Pants"/>
    <x v="0"/>
    <n v="20"/>
    <s v="Maine"/>
    <s v="L"/>
    <s v="Turquoise"/>
    <x v="0"/>
    <x v="3"/>
    <s v="No"/>
    <x v="2"/>
    <x v="1"/>
    <x v="1"/>
    <x v="33"/>
    <x v="5"/>
    <x v="2"/>
    <x v="2"/>
    <n v="20"/>
    <n v="0"/>
  </r>
  <r>
    <n v="2303"/>
    <x v="24"/>
    <x v="0"/>
    <s v="Belt"/>
    <x v="3"/>
    <n v="39"/>
    <s v="Montana"/>
    <s v="L"/>
    <s v="Pink"/>
    <x v="2"/>
    <x v="15"/>
    <s v="No"/>
    <x v="5"/>
    <x v="1"/>
    <x v="1"/>
    <x v="25"/>
    <x v="0"/>
    <x v="5"/>
    <x v="2"/>
    <n v="39"/>
    <n v="0"/>
  </r>
  <r>
    <n v="2304"/>
    <x v="47"/>
    <x v="0"/>
    <s v="Sunglasses"/>
    <x v="3"/>
    <n v="71"/>
    <s v="New Jersey"/>
    <s v="S"/>
    <s v="Beige"/>
    <x v="1"/>
    <x v="6"/>
    <s v="No"/>
    <x v="4"/>
    <x v="1"/>
    <x v="1"/>
    <x v="4"/>
    <x v="2"/>
    <x v="0"/>
    <x v="0"/>
    <n v="71"/>
    <n v="0"/>
  </r>
  <r>
    <n v="2305"/>
    <x v="8"/>
    <x v="0"/>
    <s v="Hoodie"/>
    <x v="0"/>
    <n v="73"/>
    <s v="Louisiana"/>
    <s v="L"/>
    <s v="Silver"/>
    <x v="0"/>
    <x v="10"/>
    <s v="No"/>
    <x v="1"/>
    <x v="1"/>
    <x v="1"/>
    <x v="44"/>
    <x v="5"/>
    <x v="0"/>
    <x v="2"/>
    <n v="73"/>
    <n v="0"/>
  </r>
  <r>
    <n v="2306"/>
    <x v="33"/>
    <x v="0"/>
    <s v="Handbag"/>
    <x v="3"/>
    <n v="63"/>
    <s v="Maine"/>
    <s v="M"/>
    <s v="Gold"/>
    <x v="2"/>
    <x v="5"/>
    <s v="No"/>
    <x v="1"/>
    <x v="1"/>
    <x v="1"/>
    <x v="39"/>
    <x v="1"/>
    <x v="1"/>
    <x v="0"/>
    <n v="63"/>
    <n v="0"/>
  </r>
  <r>
    <n v="2307"/>
    <x v="7"/>
    <x v="0"/>
    <s v="Gloves"/>
    <x v="3"/>
    <n v="78"/>
    <s v="Florida"/>
    <s v="L"/>
    <s v="Silver"/>
    <x v="0"/>
    <x v="23"/>
    <s v="No"/>
    <x v="3"/>
    <x v="1"/>
    <x v="1"/>
    <x v="6"/>
    <x v="1"/>
    <x v="4"/>
    <x v="2"/>
    <n v="78"/>
    <n v="0"/>
  </r>
  <r>
    <n v="2308"/>
    <x v="48"/>
    <x v="0"/>
    <s v="Skirt"/>
    <x v="0"/>
    <n v="96"/>
    <s v="Missouri"/>
    <s v="L"/>
    <s v="Green"/>
    <x v="3"/>
    <x v="1"/>
    <s v="No"/>
    <x v="2"/>
    <x v="1"/>
    <x v="1"/>
    <x v="48"/>
    <x v="5"/>
    <x v="2"/>
    <x v="2"/>
    <n v="96"/>
    <n v="0"/>
  </r>
  <r>
    <n v="2309"/>
    <x v="34"/>
    <x v="0"/>
    <s v="Sunglasses"/>
    <x v="3"/>
    <n v="81"/>
    <s v="North Dakota"/>
    <s v="M"/>
    <s v="Teal"/>
    <x v="0"/>
    <x v="23"/>
    <s v="No"/>
    <x v="4"/>
    <x v="1"/>
    <x v="1"/>
    <x v="17"/>
    <x v="4"/>
    <x v="3"/>
    <x v="2"/>
    <n v="81"/>
    <n v="0"/>
  </r>
  <r>
    <n v="2310"/>
    <x v="27"/>
    <x v="0"/>
    <s v="Dress"/>
    <x v="0"/>
    <n v="95"/>
    <s v="Connecticut"/>
    <s v="S"/>
    <s v="Gold"/>
    <x v="3"/>
    <x v="16"/>
    <s v="No"/>
    <x v="4"/>
    <x v="1"/>
    <x v="1"/>
    <x v="35"/>
    <x v="4"/>
    <x v="3"/>
    <x v="0"/>
    <n v="95"/>
    <n v="0"/>
  </r>
  <r>
    <n v="2311"/>
    <x v="11"/>
    <x v="0"/>
    <s v="Gloves"/>
    <x v="3"/>
    <n v="68"/>
    <s v="Virginia"/>
    <s v="M"/>
    <s v="Cyan"/>
    <x v="1"/>
    <x v="12"/>
    <s v="No"/>
    <x v="3"/>
    <x v="1"/>
    <x v="1"/>
    <x v="28"/>
    <x v="3"/>
    <x v="5"/>
    <x v="2"/>
    <n v="68"/>
    <n v="0"/>
  </r>
  <r>
    <n v="2312"/>
    <x v="7"/>
    <x v="0"/>
    <s v="Sneakers"/>
    <x v="1"/>
    <n v="28"/>
    <s v="Montana"/>
    <s v="L"/>
    <s v="Gold"/>
    <x v="1"/>
    <x v="6"/>
    <s v="No"/>
    <x v="4"/>
    <x v="1"/>
    <x v="1"/>
    <x v="9"/>
    <x v="4"/>
    <x v="6"/>
    <x v="2"/>
    <n v="28"/>
    <n v="0"/>
  </r>
  <r>
    <n v="2313"/>
    <x v="1"/>
    <x v="0"/>
    <s v="T-shirt"/>
    <x v="0"/>
    <n v="30"/>
    <s v="Vermont"/>
    <s v="L"/>
    <s v="Violet"/>
    <x v="2"/>
    <x v="18"/>
    <s v="No"/>
    <x v="1"/>
    <x v="1"/>
    <x v="1"/>
    <x v="5"/>
    <x v="1"/>
    <x v="6"/>
    <x v="1"/>
    <n v="30"/>
    <n v="0"/>
  </r>
  <r>
    <n v="2314"/>
    <x v="14"/>
    <x v="0"/>
    <s v="Dress"/>
    <x v="0"/>
    <n v="31"/>
    <s v="Georgia"/>
    <s v="M"/>
    <s v="Black"/>
    <x v="2"/>
    <x v="10"/>
    <s v="No"/>
    <x v="2"/>
    <x v="1"/>
    <x v="1"/>
    <x v="13"/>
    <x v="4"/>
    <x v="0"/>
    <x v="0"/>
    <n v="31"/>
    <n v="0"/>
  </r>
  <r>
    <n v="2315"/>
    <x v="32"/>
    <x v="0"/>
    <s v="Handbag"/>
    <x v="3"/>
    <n v="95"/>
    <s v="Virginia"/>
    <s v="XL"/>
    <s v="Brown"/>
    <x v="0"/>
    <x v="14"/>
    <s v="No"/>
    <x v="0"/>
    <x v="1"/>
    <x v="1"/>
    <x v="45"/>
    <x v="4"/>
    <x v="6"/>
    <x v="2"/>
    <n v="95"/>
    <n v="0"/>
  </r>
  <r>
    <n v="2316"/>
    <x v="28"/>
    <x v="0"/>
    <s v="Socks"/>
    <x v="0"/>
    <n v="79"/>
    <s v="Vermont"/>
    <s v="M"/>
    <s v="Indigo"/>
    <x v="0"/>
    <x v="1"/>
    <s v="No"/>
    <x v="4"/>
    <x v="1"/>
    <x v="1"/>
    <x v="3"/>
    <x v="5"/>
    <x v="3"/>
    <x v="0"/>
    <n v="79"/>
    <n v="0"/>
  </r>
  <r>
    <n v="2317"/>
    <x v="48"/>
    <x v="0"/>
    <s v="Sneakers"/>
    <x v="1"/>
    <n v="39"/>
    <s v="Montana"/>
    <s v="L"/>
    <s v="Yellow"/>
    <x v="0"/>
    <x v="22"/>
    <s v="No"/>
    <x v="3"/>
    <x v="1"/>
    <x v="1"/>
    <x v="22"/>
    <x v="5"/>
    <x v="2"/>
    <x v="2"/>
    <n v="39"/>
    <n v="0"/>
  </r>
  <r>
    <n v="2318"/>
    <x v="36"/>
    <x v="0"/>
    <s v="Jacket"/>
    <x v="2"/>
    <n v="34"/>
    <s v="New Jersey"/>
    <s v="M"/>
    <s v="Purple"/>
    <x v="2"/>
    <x v="10"/>
    <s v="No"/>
    <x v="2"/>
    <x v="1"/>
    <x v="1"/>
    <x v="40"/>
    <x v="4"/>
    <x v="5"/>
    <x v="2"/>
    <n v="34"/>
    <n v="0"/>
  </r>
  <r>
    <n v="2319"/>
    <x v="28"/>
    <x v="0"/>
    <s v="Hoodie"/>
    <x v="0"/>
    <n v="28"/>
    <s v="Wyoming"/>
    <s v="L"/>
    <s v="White"/>
    <x v="1"/>
    <x v="0"/>
    <s v="No"/>
    <x v="5"/>
    <x v="1"/>
    <x v="1"/>
    <x v="48"/>
    <x v="2"/>
    <x v="2"/>
    <x v="0"/>
    <n v="28"/>
    <n v="0"/>
  </r>
  <r>
    <n v="2320"/>
    <x v="19"/>
    <x v="0"/>
    <s v="Sandals"/>
    <x v="1"/>
    <n v="38"/>
    <s v="Maine"/>
    <s v="XL"/>
    <s v="Turquoise"/>
    <x v="0"/>
    <x v="16"/>
    <s v="No"/>
    <x v="1"/>
    <x v="1"/>
    <x v="1"/>
    <x v="32"/>
    <x v="3"/>
    <x v="5"/>
    <x v="0"/>
    <n v="38"/>
    <n v="0"/>
  </r>
  <r>
    <n v="2321"/>
    <x v="48"/>
    <x v="0"/>
    <s v="Shoes"/>
    <x v="1"/>
    <n v="55"/>
    <s v="New Mexico"/>
    <s v="M"/>
    <s v="Olive"/>
    <x v="1"/>
    <x v="18"/>
    <s v="No"/>
    <x v="1"/>
    <x v="1"/>
    <x v="1"/>
    <x v="44"/>
    <x v="5"/>
    <x v="6"/>
    <x v="2"/>
    <n v="55"/>
    <n v="0"/>
  </r>
  <r>
    <n v="2322"/>
    <x v="2"/>
    <x v="0"/>
    <s v="Sandals"/>
    <x v="1"/>
    <n v="31"/>
    <s v="Colorado"/>
    <s v="M"/>
    <s v="Beige"/>
    <x v="0"/>
    <x v="21"/>
    <s v="No"/>
    <x v="2"/>
    <x v="1"/>
    <x v="1"/>
    <x v="46"/>
    <x v="5"/>
    <x v="0"/>
    <x v="2"/>
    <n v="31"/>
    <n v="0"/>
  </r>
  <r>
    <n v="2323"/>
    <x v="31"/>
    <x v="0"/>
    <s v="Coat"/>
    <x v="2"/>
    <n v="84"/>
    <s v="Connecticut"/>
    <s v="S"/>
    <s v="Lavender"/>
    <x v="1"/>
    <x v="9"/>
    <s v="No"/>
    <x v="5"/>
    <x v="1"/>
    <x v="1"/>
    <x v="33"/>
    <x v="0"/>
    <x v="0"/>
    <x v="2"/>
    <n v="84"/>
    <n v="0"/>
  </r>
  <r>
    <n v="2324"/>
    <x v="25"/>
    <x v="0"/>
    <s v="Gloves"/>
    <x v="3"/>
    <n v="93"/>
    <s v="Maryland"/>
    <s v="L"/>
    <s v="White"/>
    <x v="0"/>
    <x v="10"/>
    <s v="No"/>
    <x v="0"/>
    <x v="1"/>
    <x v="1"/>
    <x v="13"/>
    <x v="2"/>
    <x v="5"/>
    <x v="2"/>
    <n v="93"/>
    <n v="0"/>
  </r>
  <r>
    <n v="2325"/>
    <x v="35"/>
    <x v="0"/>
    <s v="Coat"/>
    <x v="2"/>
    <n v="28"/>
    <s v="Oregon"/>
    <s v="L"/>
    <s v="Brown"/>
    <x v="0"/>
    <x v="1"/>
    <s v="No"/>
    <x v="1"/>
    <x v="1"/>
    <x v="1"/>
    <x v="5"/>
    <x v="5"/>
    <x v="2"/>
    <x v="0"/>
    <n v="28"/>
    <n v="0"/>
  </r>
  <r>
    <n v="2326"/>
    <x v="42"/>
    <x v="0"/>
    <s v="Boots"/>
    <x v="1"/>
    <n v="55"/>
    <s v="New York"/>
    <s v="M"/>
    <s v="Charcoal"/>
    <x v="2"/>
    <x v="14"/>
    <s v="No"/>
    <x v="4"/>
    <x v="1"/>
    <x v="1"/>
    <x v="39"/>
    <x v="1"/>
    <x v="1"/>
    <x v="2"/>
    <n v="55"/>
    <n v="0"/>
  </r>
  <r>
    <n v="2327"/>
    <x v="17"/>
    <x v="0"/>
    <s v="Skirt"/>
    <x v="0"/>
    <n v="63"/>
    <s v="Oklahoma"/>
    <s v="L"/>
    <s v="Maroon"/>
    <x v="0"/>
    <x v="5"/>
    <s v="No"/>
    <x v="3"/>
    <x v="1"/>
    <x v="1"/>
    <x v="25"/>
    <x v="4"/>
    <x v="2"/>
    <x v="0"/>
    <n v="63"/>
    <n v="0"/>
  </r>
  <r>
    <n v="2328"/>
    <x v="30"/>
    <x v="0"/>
    <s v="Skirt"/>
    <x v="0"/>
    <n v="94"/>
    <s v="Alabama"/>
    <s v="M"/>
    <s v="Red"/>
    <x v="0"/>
    <x v="19"/>
    <s v="No"/>
    <x v="4"/>
    <x v="1"/>
    <x v="1"/>
    <x v="17"/>
    <x v="0"/>
    <x v="4"/>
    <x v="1"/>
    <n v="94"/>
    <n v="0"/>
  </r>
  <r>
    <n v="2329"/>
    <x v="4"/>
    <x v="0"/>
    <s v="Pants"/>
    <x v="0"/>
    <n v="36"/>
    <s v="North Dakota"/>
    <s v="M"/>
    <s v="Maroon"/>
    <x v="3"/>
    <x v="5"/>
    <s v="No"/>
    <x v="0"/>
    <x v="1"/>
    <x v="1"/>
    <x v="32"/>
    <x v="0"/>
    <x v="4"/>
    <x v="2"/>
    <n v="36"/>
    <n v="0"/>
  </r>
  <r>
    <n v="2330"/>
    <x v="34"/>
    <x v="0"/>
    <s v="Hat"/>
    <x v="3"/>
    <n v="97"/>
    <s v="Nebraska"/>
    <s v="S"/>
    <s v="Teal"/>
    <x v="1"/>
    <x v="6"/>
    <s v="No"/>
    <x v="1"/>
    <x v="1"/>
    <x v="1"/>
    <x v="38"/>
    <x v="4"/>
    <x v="2"/>
    <x v="2"/>
    <n v="97"/>
    <n v="0"/>
  </r>
  <r>
    <n v="2331"/>
    <x v="52"/>
    <x v="0"/>
    <s v="Backpack"/>
    <x v="3"/>
    <n v="63"/>
    <s v="Arizona"/>
    <s v="L"/>
    <s v="Orange"/>
    <x v="2"/>
    <x v="3"/>
    <s v="No"/>
    <x v="5"/>
    <x v="1"/>
    <x v="1"/>
    <x v="39"/>
    <x v="3"/>
    <x v="6"/>
    <x v="0"/>
    <n v="63"/>
    <n v="0"/>
  </r>
  <r>
    <n v="2332"/>
    <x v="12"/>
    <x v="0"/>
    <s v="Scarf"/>
    <x v="3"/>
    <n v="77"/>
    <s v="Illinois"/>
    <s v="S"/>
    <s v="Olive"/>
    <x v="1"/>
    <x v="24"/>
    <s v="No"/>
    <x v="4"/>
    <x v="1"/>
    <x v="1"/>
    <x v="9"/>
    <x v="2"/>
    <x v="4"/>
    <x v="0"/>
    <n v="77"/>
    <n v="0"/>
  </r>
  <r>
    <n v="2333"/>
    <x v="24"/>
    <x v="0"/>
    <s v="Scarf"/>
    <x v="3"/>
    <n v="53"/>
    <s v="South Carolina"/>
    <s v="XL"/>
    <s v="Olive"/>
    <x v="3"/>
    <x v="5"/>
    <s v="No"/>
    <x v="5"/>
    <x v="1"/>
    <x v="1"/>
    <x v="9"/>
    <x v="0"/>
    <x v="5"/>
    <x v="2"/>
    <n v="53"/>
    <n v="0"/>
  </r>
  <r>
    <n v="2334"/>
    <x v="23"/>
    <x v="0"/>
    <s v="Shirt"/>
    <x v="0"/>
    <n v="77"/>
    <s v="Kansas"/>
    <s v="M"/>
    <s v="Beige"/>
    <x v="1"/>
    <x v="22"/>
    <s v="No"/>
    <x v="2"/>
    <x v="1"/>
    <x v="1"/>
    <x v="43"/>
    <x v="3"/>
    <x v="6"/>
    <x v="2"/>
    <n v="77"/>
    <n v="0"/>
  </r>
  <r>
    <n v="2335"/>
    <x v="34"/>
    <x v="0"/>
    <s v="Boots"/>
    <x v="1"/>
    <n v="79"/>
    <s v="Kansas"/>
    <s v="L"/>
    <s v="Green"/>
    <x v="2"/>
    <x v="19"/>
    <s v="No"/>
    <x v="3"/>
    <x v="1"/>
    <x v="1"/>
    <x v="22"/>
    <x v="2"/>
    <x v="5"/>
    <x v="2"/>
    <n v="79"/>
    <n v="0"/>
  </r>
  <r>
    <n v="2336"/>
    <x v="18"/>
    <x v="0"/>
    <s v="Coat"/>
    <x v="2"/>
    <n v="37"/>
    <s v="Idaho"/>
    <s v="M"/>
    <s v="Black"/>
    <x v="2"/>
    <x v="20"/>
    <s v="No"/>
    <x v="5"/>
    <x v="1"/>
    <x v="1"/>
    <x v="9"/>
    <x v="0"/>
    <x v="0"/>
    <x v="2"/>
    <n v="37"/>
    <n v="0"/>
  </r>
  <r>
    <n v="2337"/>
    <x v="1"/>
    <x v="0"/>
    <s v="Belt"/>
    <x v="3"/>
    <n v="94"/>
    <s v="California"/>
    <s v="M"/>
    <s v="Green"/>
    <x v="0"/>
    <x v="0"/>
    <s v="No"/>
    <x v="1"/>
    <x v="1"/>
    <x v="1"/>
    <x v="47"/>
    <x v="2"/>
    <x v="1"/>
    <x v="1"/>
    <n v="94"/>
    <n v="0"/>
  </r>
  <r>
    <n v="2338"/>
    <x v="31"/>
    <x v="0"/>
    <s v="Boots"/>
    <x v="1"/>
    <n v="76"/>
    <s v="North Dakota"/>
    <s v="S"/>
    <s v="Violet"/>
    <x v="3"/>
    <x v="15"/>
    <s v="No"/>
    <x v="5"/>
    <x v="1"/>
    <x v="1"/>
    <x v="36"/>
    <x v="1"/>
    <x v="2"/>
    <x v="2"/>
    <n v="76"/>
    <n v="0"/>
  </r>
  <r>
    <n v="2339"/>
    <x v="17"/>
    <x v="0"/>
    <s v="Sneakers"/>
    <x v="1"/>
    <n v="68"/>
    <s v="Georgia"/>
    <s v="S"/>
    <s v="Silver"/>
    <x v="3"/>
    <x v="17"/>
    <s v="No"/>
    <x v="0"/>
    <x v="1"/>
    <x v="1"/>
    <x v="33"/>
    <x v="3"/>
    <x v="3"/>
    <x v="0"/>
    <n v="68"/>
    <n v="0"/>
  </r>
  <r>
    <n v="2340"/>
    <x v="15"/>
    <x v="0"/>
    <s v="Shirt"/>
    <x v="0"/>
    <n v="65"/>
    <s v="Illinois"/>
    <s v="L"/>
    <s v="Maroon"/>
    <x v="1"/>
    <x v="23"/>
    <s v="No"/>
    <x v="2"/>
    <x v="1"/>
    <x v="1"/>
    <x v="37"/>
    <x v="4"/>
    <x v="3"/>
    <x v="1"/>
    <n v="65"/>
    <n v="0"/>
  </r>
  <r>
    <n v="2341"/>
    <x v="6"/>
    <x v="0"/>
    <s v="Blouse"/>
    <x v="0"/>
    <n v="24"/>
    <s v="Delaware"/>
    <s v="M"/>
    <s v="Cyan"/>
    <x v="2"/>
    <x v="5"/>
    <s v="No"/>
    <x v="3"/>
    <x v="1"/>
    <x v="1"/>
    <x v="10"/>
    <x v="2"/>
    <x v="0"/>
    <x v="0"/>
    <n v="24"/>
    <n v="0"/>
  </r>
  <r>
    <n v="2342"/>
    <x v="19"/>
    <x v="0"/>
    <s v="Jacket"/>
    <x v="2"/>
    <n v="31"/>
    <s v="Connecticut"/>
    <s v="L"/>
    <s v="Teal"/>
    <x v="2"/>
    <x v="9"/>
    <s v="No"/>
    <x v="0"/>
    <x v="1"/>
    <x v="1"/>
    <x v="17"/>
    <x v="0"/>
    <x v="6"/>
    <x v="0"/>
    <n v="31"/>
    <n v="0"/>
  </r>
  <r>
    <n v="2343"/>
    <x v="30"/>
    <x v="0"/>
    <s v="Skirt"/>
    <x v="0"/>
    <n v="89"/>
    <s v="Tennessee"/>
    <s v="M"/>
    <s v="Olive"/>
    <x v="3"/>
    <x v="8"/>
    <s v="No"/>
    <x v="3"/>
    <x v="1"/>
    <x v="1"/>
    <x v="20"/>
    <x v="5"/>
    <x v="0"/>
    <x v="1"/>
    <n v="89"/>
    <n v="0"/>
  </r>
  <r>
    <n v="2344"/>
    <x v="44"/>
    <x v="0"/>
    <s v="Socks"/>
    <x v="0"/>
    <n v="49"/>
    <s v="Maryland"/>
    <s v="M"/>
    <s v="Red"/>
    <x v="2"/>
    <x v="14"/>
    <s v="No"/>
    <x v="4"/>
    <x v="1"/>
    <x v="1"/>
    <x v="12"/>
    <x v="3"/>
    <x v="5"/>
    <x v="0"/>
    <n v="49"/>
    <n v="0"/>
  </r>
  <r>
    <n v="2345"/>
    <x v="50"/>
    <x v="0"/>
    <s v="Sandals"/>
    <x v="1"/>
    <n v="92"/>
    <s v="Rhode Island"/>
    <s v="XL"/>
    <s v="Lavender"/>
    <x v="3"/>
    <x v="1"/>
    <s v="No"/>
    <x v="0"/>
    <x v="1"/>
    <x v="1"/>
    <x v="0"/>
    <x v="0"/>
    <x v="4"/>
    <x v="2"/>
    <n v="92"/>
    <n v="0"/>
  </r>
  <r>
    <n v="2346"/>
    <x v="48"/>
    <x v="0"/>
    <s v="T-shirt"/>
    <x v="0"/>
    <n v="32"/>
    <s v="New York"/>
    <s v="S"/>
    <s v="Orange"/>
    <x v="0"/>
    <x v="13"/>
    <s v="No"/>
    <x v="0"/>
    <x v="1"/>
    <x v="1"/>
    <x v="2"/>
    <x v="4"/>
    <x v="6"/>
    <x v="2"/>
    <n v="32"/>
    <n v="0"/>
  </r>
  <r>
    <n v="2347"/>
    <x v="40"/>
    <x v="0"/>
    <s v="Jacket"/>
    <x v="2"/>
    <n v="67"/>
    <s v="New Mexico"/>
    <s v="L"/>
    <s v="Brown"/>
    <x v="0"/>
    <x v="0"/>
    <s v="No"/>
    <x v="3"/>
    <x v="1"/>
    <x v="1"/>
    <x v="15"/>
    <x v="5"/>
    <x v="0"/>
    <x v="1"/>
    <n v="67"/>
    <n v="0"/>
  </r>
  <r>
    <n v="2348"/>
    <x v="43"/>
    <x v="0"/>
    <s v="Belt"/>
    <x v="3"/>
    <n v="64"/>
    <s v="California"/>
    <s v="S"/>
    <s v="Gray"/>
    <x v="3"/>
    <x v="19"/>
    <s v="No"/>
    <x v="0"/>
    <x v="1"/>
    <x v="1"/>
    <x v="15"/>
    <x v="1"/>
    <x v="6"/>
    <x v="2"/>
    <n v="64"/>
    <n v="0"/>
  </r>
  <r>
    <n v="2349"/>
    <x v="22"/>
    <x v="0"/>
    <s v="Shoes"/>
    <x v="1"/>
    <n v="84"/>
    <s v="Maine"/>
    <s v="M"/>
    <s v="Orange"/>
    <x v="1"/>
    <x v="8"/>
    <s v="No"/>
    <x v="2"/>
    <x v="1"/>
    <x v="1"/>
    <x v="20"/>
    <x v="3"/>
    <x v="6"/>
    <x v="0"/>
    <n v="84"/>
    <n v="0"/>
  </r>
  <r>
    <n v="2350"/>
    <x v="13"/>
    <x v="0"/>
    <s v="Blouse"/>
    <x v="0"/>
    <n v="34"/>
    <s v="New York"/>
    <s v="M"/>
    <s v="Orange"/>
    <x v="3"/>
    <x v="20"/>
    <s v="No"/>
    <x v="3"/>
    <x v="1"/>
    <x v="1"/>
    <x v="19"/>
    <x v="2"/>
    <x v="6"/>
    <x v="0"/>
    <n v="34"/>
    <n v="0"/>
  </r>
  <r>
    <n v="2351"/>
    <x v="9"/>
    <x v="0"/>
    <s v="Shoes"/>
    <x v="1"/>
    <n v="26"/>
    <s v="Hawaii"/>
    <s v="M"/>
    <s v="Turquoise"/>
    <x v="0"/>
    <x v="19"/>
    <s v="No"/>
    <x v="1"/>
    <x v="1"/>
    <x v="1"/>
    <x v="33"/>
    <x v="1"/>
    <x v="2"/>
    <x v="0"/>
    <n v="26"/>
    <n v="0"/>
  </r>
  <r>
    <n v="2352"/>
    <x v="21"/>
    <x v="0"/>
    <s v="Sweater"/>
    <x v="0"/>
    <n v="50"/>
    <s v="New Hampshire"/>
    <s v="S"/>
    <s v="Cyan"/>
    <x v="3"/>
    <x v="8"/>
    <s v="No"/>
    <x v="5"/>
    <x v="1"/>
    <x v="1"/>
    <x v="29"/>
    <x v="3"/>
    <x v="4"/>
    <x v="2"/>
    <n v="50"/>
    <n v="0"/>
  </r>
  <r>
    <n v="2353"/>
    <x v="27"/>
    <x v="0"/>
    <s v="Boots"/>
    <x v="1"/>
    <n v="46"/>
    <s v="Nebraska"/>
    <s v="M"/>
    <s v="Yellow"/>
    <x v="3"/>
    <x v="11"/>
    <s v="No"/>
    <x v="5"/>
    <x v="1"/>
    <x v="1"/>
    <x v="29"/>
    <x v="4"/>
    <x v="3"/>
    <x v="0"/>
    <n v="46"/>
    <n v="0"/>
  </r>
  <r>
    <n v="2354"/>
    <x v="19"/>
    <x v="0"/>
    <s v="Handbag"/>
    <x v="3"/>
    <n v="71"/>
    <s v="Montana"/>
    <s v="M"/>
    <s v="White"/>
    <x v="3"/>
    <x v="7"/>
    <s v="No"/>
    <x v="3"/>
    <x v="1"/>
    <x v="1"/>
    <x v="29"/>
    <x v="5"/>
    <x v="6"/>
    <x v="0"/>
    <n v="71"/>
    <n v="0"/>
  </r>
  <r>
    <n v="2355"/>
    <x v="19"/>
    <x v="0"/>
    <s v="Blouse"/>
    <x v="0"/>
    <n v="78"/>
    <s v="Wisconsin"/>
    <s v="M"/>
    <s v="Blue"/>
    <x v="2"/>
    <x v="6"/>
    <s v="No"/>
    <x v="2"/>
    <x v="1"/>
    <x v="1"/>
    <x v="46"/>
    <x v="0"/>
    <x v="5"/>
    <x v="0"/>
    <n v="78"/>
    <n v="0"/>
  </r>
  <r>
    <n v="2356"/>
    <x v="40"/>
    <x v="0"/>
    <s v="Skirt"/>
    <x v="0"/>
    <n v="35"/>
    <s v="Tennessee"/>
    <s v="S"/>
    <s v="Purple"/>
    <x v="0"/>
    <x v="7"/>
    <s v="No"/>
    <x v="2"/>
    <x v="1"/>
    <x v="1"/>
    <x v="45"/>
    <x v="1"/>
    <x v="5"/>
    <x v="1"/>
    <n v="35"/>
    <n v="0"/>
  </r>
  <r>
    <n v="2357"/>
    <x v="9"/>
    <x v="0"/>
    <s v="Backpack"/>
    <x v="3"/>
    <n v="58"/>
    <s v="Montana"/>
    <s v="M"/>
    <s v="Gray"/>
    <x v="2"/>
    <x v="21"/>
    <s v="No"/>
    <x v="1"/>
    <x v="1"/>
    <x v="1"/>
    <x v="46"/>
    <x v="5"/>
    <x v="3"/>
    <x v="0"/>
    <n v="58"/>
    <n v="0"/>
  </r>
  <r>
    <n v="2358"/>
    <x v="10"/>
    <x v="0"/>
    <s v="Shirt"/>
    <x v="0"/>
    <n v="67"/>
    <s v="Michigan"/>
    <s v="L"/>
    <s v="Cyan"/>
    <x v="3"/>
    <x v="19"/>
    <s v="No"/>
    <x v="4"/>
    <x v="1"/>
    <x v="1"/>
    <x v="19"/>
    <x v="2"/>
    <x v="4"/>
    <x v="0"/>
    <n v="67"/>
    <n v="0"/>
  </r>
  <r>
    <n v="2359"/>
    <x v="10"/>
    <x v="0"/>
    <s v="Sweater"/>
    <x v="0"/>
    <n v="93"/>
    <s v="Texas"/>
    <s v="L"/>
    <s v="Pink"/>
    <x v="1"/>
    <x v="22"/>
    <s v="No"/>
    <x v="3"/>
    <x v="1"/>
    <x v="1"/>
    <x v="25"/>
    <x v="2"/>
    <x v="3"/>
    <x v="0"/>
    <n v="93"/>
    <n v="0"/>
  </r>
  <r>
    <n v="2360"/>
    <x v="1"/>
    <x v="0"/>
    <s v="Scarf"/>
    <x v="3"/>
    <n v="81"/>
    <s v="Pennsylvania"/>
    <s v="S"/>
    <s v="Gold"/>
    <x v="1"/>
    <x v="13"/>
    <s v="No"/>
    <x v="4"/>
    <x v="1"/>
    <x v="1"/>
    <x v="12"/>
    <x v="4"/>
    <x v="6"/>
    <x v="1"/>
    <n v="81"/>
    <n v="0"/>
  </r>
  <r>
    <n v="2361"/>
    <x v="34"/>
    <x v="0"/>
    <s v="Handbag"/>
    <x v="3"/>
    <n v="80"/>
    <s v="New York"/>
    <s v="L"/>
    <s v="Silver"/>
    <x v="3"/>
    <x v="10"/>
    <s v="No"/>
    <x v="4"/>
    <x v="1"/>
    <x v="1"/>
    <x v="46"/>
    <x v="0"/>
    <x v="6"/>
    <x v="2"/>
    <n v="80"/>
    <n v="0"/>
  </r>
  <r>
    <n v="2362"/>
    <x v="42"/>
    <x v="0"/>
    <s v="Scarf"/>
    <x v="3"/>
    <n v="64"/>
    <s v="Alabama"/>
    <s v="M"/>
    <s v="Gray"/>
    <x v="1"/>
    <x v="24"/>
    <s v="No"/>
    <x v="4"/>
    <x v="1"/>
    <x v="1"/>
    <x v="48"/>
    <x v="2"/>
    <x v="6"/>
    <x v="2"/>
    <n v="64"/>
    <n v="0"/>
  </r>
  <r>
    <n v="2363"/>
    <x v="7"/>
    <x v="0"/>
    <s v="Jeans"/>
    <x v="0"/>
    <n v="41"/>
    <s v="Virginia"/>
    <s v="M"/>
    <s v="Brown"/>
    <x v="3"/>
    <x v="2"/>
    <s v="No"/>
    <x v="3"/>
    <x v="1"/>
    <x v="1"/>
    <x v="37"/>
    <x v="2"/>
    <x v="5"/>
    <x v="2"/>
    <n v="41"/>
    <n v="0"/>
  </r>
  <r>
    <n v="2364"/>
    <x v="52"/>
    <x v="0"/>
    <s v="Socks"/>
    <x v="0"/>
    <n v="79"/>
    <s v="Pennsylvania"/>
    <s v="XL"/>
    <s v="Pink"/>
    <x v="0"/>
    <x v="19"/>
    <s v="No"/>
    <x v="0"/>
    <x v="1"/>
    <x v="1"/>
    <x v="25"/>
    <x v="1"/>
    <x v="4"/>
    <x v="0"/>
    <n v="79"/>
    <n v="0"/>
  </r>
  <r>
    <n v="2365"/>
    <x v="46"/>
    <x v="0"/>
    <s v="Sunglasses"/>
    <x v="3"/>
    <n v="60"/>
    <s v="Mississippi"/>
    <s v="L"/>
    <s v="Maroon"/>
    <x v="0"/>
    <x v="19"/>
    <s v="No"/>
    <x v="1"/>
    <x v="1"/>
    <x v="1"/>
    <x v="7"/>
    <x v="3"/>
    <x v="3"/>
    <x v="0"/>
    <n v="60"/>
    <n v="0"/>
  </r>
  <r>
    <n v="2366"/>
    <x v="16"/>
    <x v="0"/>
    <s v="Sneakers"/>
    <x v="1"/>
    <n v="91"/>
    <s v="Wyoming"/>
    <s v="S"/>
    <s v="Peach"/>
    <x v="0"/>
    <x v="25"/>
    <s v="No"/>
    <x v="2"/>
    <x v="1"/>
    <x v="1"/>
    <x v="18"/>
    <x v="0"/>
    <x v="5"/>
    <x v="0"/>
    <n v="91"/>
    <n v="0"/>
  </r>
  <r>
    <n v="2367"/>
    <x v="11"/>
    <x v="0"/>
    <s v="Shoes"/>
    <x v="1"/>
    <n v="66"/>
    <s v="New Mexico"/>
    <s v="L"/>
    <s v="Brown"/>
    <x v="0"/>
    <x v="15"/>
    <s v="No"/>
    <x v="0"/>
    <x v="1"/>
    <x v="1"/>
    <x v="18"/>
    <x v="2"/>
    <x v="0"/>
    <x v="2"/>
    <n v="66"/>
    <n v="0"/>
  </r>
  <r>
    <n v="2368"/>
    <x v="17"/>
    <x v="0"/>
    <s v="Socks"/>
    <x v="0"/>
    <n v="85"/>
    <s v="North Dakota"/>
    <s v="L"/>
    <s v="Green"/>
    <x v="0"/>
    <x v="23"/>
    <s v="No"/>
    <x v="3"/>
    <x v="1"/>
    <x v="1"/>
    <x v="40"/>
    <x v="4"/>
    <x v="4"/>
    <x v="0"/>
    <n v="85"/>
    <n v="0"/>
  </r>
  <r>
    <n v="2369"/>
    <x v="26"/>
    <x v="0"/>
    <s v="Sunglasses"/>
    <x v="3"/>
    <n v="38"/>
    <s v="New Jersey"/>
    <s v="M"/>
    <s v="Lavender"/>
    <x v="2"/>
    <x v="13"/>
    <s v="No"/>
    <x v="3"/>
    <x v="1"/>
    <x v="1"/>
    <x v="49"/>
    <x v="5"/>
    <x v="6"/>
    <x v="2"/>
    <n v="38"/>
    <n v="0"/>
  </r>
  <r>
    <n v="2370"/>
    <x v="41"/>
    <x v="0"/>
    <s v="Sweater"/>
    <x v="0"/>
    <n v="23"/>
    <s v="Vermont"/>
    <s v="M"/>
    <s v="Cyan"/>
    <x v="0"/>
    <x v="12"/>
    <s v="No"/>
    <x v="3"/>
    <x v="1"/>
    <x v="1"/>
    <x v="37"/>
    <x v="3"/>
    <x v="5"/>
    <x v="1"/>
    <n v="23"/>
    <n v="0"/>
  </r>
  <r>
    <n v="2371"/>
    <x v="47"/>
    <x v="0"/>
    <s v="Shoes"/>
    <x v="1"/>
    <n v="71"/>
    <s v="Alaska"/>
    <s v="M"/>
    <s v="Black"/>
    <x v="1"/>
    <x v="20"/>
    <s v="No"/>
    <x v="5"/>
    <x v="1"/>
    <x v="1"/>
    <x v="25"/>
    <x v="0"/>
    <x v="1"/>
    <x v="0"/>
    <n v="71"/>
    <n v="0"/>
  </r>
  <r>
    <n v="2372"/>
    <x v="29"/>
    <x v="0"/>
    <s v="Socks"/>
    <x v="0"/>
    <n v="25"/>
    <s v="Indiana"/>
    <s v="M"/>
    <s v="Charcoal"/>
    <x v="0"/>
    <x v="18"/>
    <s v="No"/>
    <x v="2"/>
    <x v="1"/>
    <x v="1"/>
    <x v="40"/>
    <x v="5"/>
    <x v="2"/>
    <x v="0"/>
    <n v="25"/>
    <n v="0"/>
  </r>
  <r>
    <n v="2373"/>
    <x v="2"/>
    <x v="0"/>
    <s v="Boots"/>
    <x v="1"/>
    <n v="39"/>
    <s v="Alabama"/>
    <s v="XL"/>
    <s v="Silver"/>
    <x v="1"/>
    <x v="0"/>
    <s v="No"/>
    <x v="0"/>
    <x v="1"/>
    <x v="1"/>
    <x v="44"/>
    <x v="3"/>
    <x v="0"/>
    <x v="2"/>
    <n v="39"/>
    <n v="0"/>
  </r>
  <r>
    <n v="2374"/>
    <x v="43"/>
    <x v="0"/>
    <s v="Hoodie"/>
    <x v="0"/>
    <n v="20"/>
    <s v="Michigan"/>
    <s v="M"/>
    <s v="Gray"/>
    <x v="1"/>
    <x v="8"/>
    <s v="No"/>
    <x v="0"/>
    <x v="1"/>
    <x v="1"/>
    <x v="33"/>
    <x v="5"/>
    <x v="6"/>
    <x v="2"/>
    <n v="20"/>
    <n v="0"/>
  </r>
  <r>
    <n v="2375"/>
    <x v="28"/>
    <x v="0"/>
    <s v="Gloves"/>
    <x v="3"/>
    <n v="73"/>
    <s v="Washington"/>
    <s v="L"/>
    <s v="Peach"/>
    <x v="0"/>
    <x v="10"/>
    <s v="No"/>
    <x v="3"/>
    <x v="1"/>
    <x v="1"/>
    <x v="4"/>
    <x v="5"/>
    <x v="5"/>
    <x v="0"/>
    <n v="73"/>
    <n v="0"/>
  </r>
  <r>
    <n v="2376"/>
    <x v="52"/>
    <x v="0"/>
    <s v="Backpack"/>
    <x v="3"/>
    <n v="63"/>
    <s v="Virginia"/>
    <s v="L"/>
    <s v="Peach"/>
    <x v="3"/>
    <x v="3"/>
    <s v="No"/>
    <x v="2"/>
    <x v="1"/>
    <x v="1"/>
    <x v="27"/>
    <x v="2"/>
    <x v="3"/>
    <x v="0"/>
    <n v="63"/>
    <n v="0"/>
  </r>
  <r>
    <n v="2377"/>
    <x v="3"/>
    <x v="0"/>
    <s v="Gloves"/>
    <x v="3"/>
    <n v="94"/>
    <s v="Tennessee"/>
    <s v="XL"/>
    <s v="Cyan"/>
    <x v="1"/>
    <x v="7"/>
    <s v="No"/>
    <x v="0"/>
    <x v="1"/>
    <x v="1"/>
    <x v="36"/>
    <x v="1"/>
    <x v="1"/>
    <x v="1"/>
    <n v="94"/>
    <n v="0"/>
  </r>
  <r>
    <n v="2378"/>
    <x v="42"/>
    <x v="0"/>
    <s v="Blouse"/>
    <x v="0"/>
    <n v="94"/>
    <s v="South Dakota"/>
    <s v="L"/>
    <s v="Magenta"/>
    <x v="3"/>
    <x v="17"/>
    <s v="No"/>
    <x v="2"/>
    <x v="1"/>
    <x v="1"/>
    <x v="17"/>
    <x v="1"/>
    <x v="2"/>
    <x v="2"/>
    <n v="94"/>
    <n v="0"/>
  </r>
  <r>
    <n v="2379"/>
    <x v="8"/>
    <x v="0"/>
    <s v="Scarf"/>
    <x v="3"/>
    <n v="71"/>
    <s v="New Hampshire"/>
    <s v="L"/>
    <s v="Teal"/>
    <x v="2"/>
    <x v="2"/>
    <s v="No"/>
    <x v="5"/>
    <x v="1"/>
    <x v="1"/>
    <x v="10"/>
    <x v="3"/>
    <x v="4"/>
    <x v="2"/>
    <n v="71"/>
    <n v="0"/>
  </r>
  <r>
    <n v="2380"/>
    <x v="37"/>
    <x v="0"/>
    <s v="Hat"/>
    <x v="3"/>
    <n v="77"/>
    <s v="South Dakota"/>
    <s v="M"/>
    <s v="Peach"/>
    <x v="1"/>
    <x v="17"/>
    <s v="No"/>
    <x v="4"/>
    <x v="1"/>
    <x v="1"/>
    <x v="17"/>
    <x v="5"/>
    <x v="5"/>
    <x v="2"/>
    <n v="77"/>
    <n v="0"/>
  </r>
  <r>
    <n v="2381"/>
    <x v="38"/>
    <x v="0"/>
    <s v="Scarf"/>
    <x v="3"/>
    <n v="66"/>
    <s v="Pennsylvania"/>
    <s v="M"/>
    <s v="Black"/>
    <x v="3"/>
    <x v="25"/>
    <s v="No"/>
    <x v="2"/>
    <x v="1"/>
    <x v="1"/>
    <x v="13"/>
    <x v="3"/>
    <x v="0"/>
    <x v="2"/>
    <n v="66"/>
    <n v="0"/>
  </r>
  <r>
    <n v="2382"/>
    <x v="46"/>
    <x v="0"/>
    <s v="Sandals"/>
    <x v="1"/>
    <n v="23"/>
    <s v="Wisconsin"/>
    <s v="M"/>
    <s v="Teal"/>
    <x v="2"/>
    <x v="9"/>
    <s v="No"/>
    <x v="1"/>
    <x v="1"/>
    <x v="1"/>
    <x v="2"/>
    <x v="3"/>
    <x v="2"/>
    <x v="0"/>
    <n v="23"/>
    <n v="0"/>
  </r>
  <r>
    <n v="2383"/>
    <x v="31"/>
    <x v="0"/>
    <s v="Sweater"/>
    <x v="0"/>
    <n v="60"/>
    <s v="California"/>
    <s v="M"/>
    <s v="Turquoise"/>
    <x v="1"/>
    <x v="20"/>
    <s v="No"/>
    <x v="0"/>
    <x v="1"/>
    <x v="1"/>
    <x v="12"/>
    <x v="5"/>
    <x v="1"/>
    <x v="2"/>
    <n v="60"/>
    <n v="0"/>
  </r>
  <r>
    <n v="2384"/>
    <x v="10"/>
    <x v="0"/>
    <s v="Backpack"/>
    <x v="3"/>
    <n v="72"/>
    <s v="Rhode Island"/>
    <s v="L"/>
    <s v="Gold"/>
    <x v="1"/>
    <x v="8"/>
    <s v="No"/>
    <x v="4"/>
    <x v="1"/>
    <x v="1"/>
    <x v="29"/>
    <x v="4"/>
    <x v="2"/>
    <x v="0"/>
    <n v="72"/>
    <n v="0"/>
  </r>
  <r>
    <n v="2385"/>
    <x v="41"/>
    <x v="0"/>
    <s v="Blouse"/>
    <x v="0"/>
    <n v="35"/>
    <s v="Alabama"/>
    <s v="L"/>
    <s v="Green"/>
    <x v="0"/>
    <x v="13"/>
    <s v="No"/>
    <x v="4"/>
    <x v="1"/>
    <x v="1"/>
    <x v="19"/>
    <x v="3"/>
    <x v="3"/>
    <x v="1"/>
    <n v="35"/>
    <n v="0"/>
  </r>
  <r>
    <n v="2386"/>
    <x v="38"/>
    <x v="0"/>
    <s v="Scarf"/>
    <x v="3"/>
    <n v="31"/>
    <s v="Oklahoma"/>
    <s v="M"/>
    <s v="Brown"/>
    <x v="3"/>
    <x v="22"/>
    <s v="No"/>
    <x v="0"/>
    <x v="1"/>
    <x v="1"/>
    <x v="45"/>
    <x v="3"/>
    <x v="1"/>
    <x v="2"/>
    <n v="31"/>
    <n v="0"/>
  </r>
  <r>
    <n v="2387"/>
    <x v="1"/>
    <x v="0"/>
    <s v="Socks"/>
    <x v="0"/>
    <n v="33"/>
    <s v="Illinois"/>
    <s v="L"/>
    <s v="Blue"/>
    <x v="2"/>
    <x v="3"/>
    <s v="No"/>
    <x v="3"/>
    <x v="1"/>
    <x v="1"/>
    <x v="0"/>
    <x v="0"/>
    <x v="5"/>
    <x v="1"/>
    <n v="33"/>
    <n v="0"/>
  </r>
  <r>
    <n v="2388"/>
    <x v="24"/>
    <x v="0"/>
    <s v="Hat"/>
    <x v="3"/>
    <n v="95"/>
    <s v="Tennessee"/>
    <s v="M"/>
    <s v="Gold"/>
    <x v="2"/>
    <x v="17"/>
    <s v="No"/>
    <x v="4"/>
    <x v="1"/>
    <x v="1"/>
    <x v="0"/>
    <x v="5"/>
    <x v="5"/>
    <x v="2"/>
    <n v="95"/>
    <n v="0"/>
  </r>
  <r>
    <n v="2389"/>
    <x v="3"/>
    <x v="0"/>
    <s v="Dress"/>
    <x v="0"/>
    <n v="68"/>
    <s v="Alabama"/>
    <s v="M"/>
    <s v="Peach"/>
    <x v="3"/>
    <x v="7"/>
    <s v="No"/>
    <x v="5"/>
    <x v="1"/>
    <x v="1"/>
    <x v="9"/>
    <x v="5"/>
    <x v="2"/>
    <x v="1"/>
    <n v="68"/>
    <n v="0"/>
  </r>
  <r>
    <n v="2390"/>
    <x v="15"/>
    <x v="0"/>
    <s v="Coat"/>
    <x v="2"/>
    <n v="87"/>
    <s v="Kansas"/>
    <s v="M"/>
    <s v="Violet"/>
    <x v="1"/>
    <x v="0"/>
    <s v="No"/>
    <x v="5"/>
    <x v="1"/>
    <x v="1"/>
    <x v="14"/>
    <x v="4"/>
    <x v="6"/>
    <x v="1"/>
    <n v="87"/>
    <n v="0"/>
  </r>
  <r>
    <n v="2391"/>
    <x v="13"/>
    <x v="0"/>
    <s v="Shirt"/>
    <x v="0"/>
    <n v="64"/>
    <s v="Arizona"/>
    <s v="XL"/>
    <s v="Yellow"/>
    <x v="0"/>
    <x v="12"/>
    <s v="No"/>
    <x v="0"/>
    <x v="1"/>
    <x v="1"/>
    <x v="37"/>
    <x v="5"/>
    <x v="0"/>
    <x v="0"/>
    <n v="64"/>
    <n v="0"/>
  </r>
  <r>
    <n v="2392"/>
    <x v="32"/>
    <x v="0"/>
    <s v="Shirt"/>
    <x v="0"/>
    <n v="74"/>
    <s v="Michigan"/>
    <s v="M"/>
    <s v="Black"/>
    <x v="0"/>
    <x v="12"/>
    <s v="No"/>
    <x v="2"/>
    <x v="1"/>
    <x v="1"/>
    <x v="4"/>
    <x v="4"/>
    <x v="3"/>
    <x v="2"/>
    <n v="74"/>
    <n v="0"/>
  </r>
  <r>
    <n v="2393"/>
    <x v="37"/>
    <x v="0"/>
    <s v="Jeans"/>
    <x v="0"/>
    <n v="62"/>
    <s v="Missouri"/>
    <s v="L"/>
    <s v="Silver"/>
    <x v="1"/>
    <x v="5"/>
    <s v="No"/>
    <x v="4"/>
    <x v="1"/>
    <x v="1"/>
    <x v="13"/>
    <x v="1"/>
    <x v="2"/>
    <x v="2"/>
    <n v="62"/>
    <n v="0"/>
  </r>
  <r>
    <n v="2394"/>
    <x v="44"/>
    <x v="0"/>
    <s v="Socks"/>
    <x v="0"/>
    <n v="97"/>
    <s v="Louisiana"/>
    <s v="M"/>
    <s v="Brown"/>
    <x v="0"/>
    <x v="16"/>
    <s v="No"/>
    <x v="4"/>
    <x v="1"/>
    <x v="1"/>
    <x v="25"/>
    <x v="3"/>
    <x v="6"/>
    <x v="0"/>
    <n v="97"/>
    <n v="0"/>
  </r>
  <r>
    <n v="2395"/>
    <x v="37"/>
    <x v="0"/>
    <s v="Sandals"/>
    <x v="1"/>
    <n v="47"/>
    <s v="Connecticut"/>
    <s v="L"/>
    <s v="Peach"/>
    <x v="3"/>
    <x v="3"/>
    <s v="No"/>
    <x v="4"/>
    <x v="1"/>
    <x v="1"/>
    <x v="2"/>
    <x v="5"/>
    <x v="0"/>
    <x v="2"/>
    <n v="47"/>
    <n v="0"/>
  </r>
  <r>
    <n v="2396"/>
    <x v="46"/>
    <x v="0"/>
    <s v="Blouse"/>
    <x v="0"/>
    <n v="83"/>
    <s v="Connecticut"/>
    <s v="M"/>
    <s v="Cyan"/>
    <x v="0"/>
    <x v="1"/>
    <s v="No"/>
    <x v="4"/>
    <x v="1"/>
    <x v="1"/>
    <x v="39"/>
    <x v="3"/>
    <x v="4"/>
    <x v="0"/>
    <n v="83"/>
    <n v="0"/>
  </r>
  <r>
    <n v="2397"/>
    <x v="21"/>
    <x v="0"/>
    <s v="Shirt"/>
    <x v="0"/>
    <n v="82"/>
    <s v="Oregon"/>
    <s v="M"/>
    <s v="Olive"/>
    <x v="1"/>
    <x v="18"/>
    <s v="No"/>
    <x v="4"/>
    <x v="1"/>
    <x v="1"/>
    <x v="41"/>
    <x v="0"/>
    <x v="1"/>
    <x v="2"/>
    <n v="82"/>
    <n v="0"/>
  </r>
  <r>
    <n v="2398"/>
    <x v="43"/>
    <x v="0"/>
    <s v="Sunglasses"/>
    <x v="3"/>
    <n v="26"/>
    <s v="West Virginia"/>
    <s v="L"/>
    <s v="Black"/>
    <x v="3"/>
    <x v="3"/>
    <s v="No"/>
    <x v="5"/>
    <x v="1"/>
    <x v="1"/>
    <x v="23"/>
    <x v="0"/>
    <x v="5"/>
    <x v="2"/>
    <n v="26"/>
    <n v="0"/>
  </r>
  <r>
    <n v="2399"/>
    <x v="13"/>
    <x v="0"/>
    <s v="Jacket"/>
    <x v="2"/>
    <n v="81"/>
    <s v="Florida"/>
    <s v="M"/>
    <s v="Orange"/>
    <x v="0"/>
    <x v="24"/>
    <s v="No"/>
    <x v="1"/>
    <x v="1"/>
    <x v="1"/>
    <x v="12"/>
    <x v="4"/>
    <x v="0"/>
    <x v="0"/>
    <n v="81"/>
    <n v="0"/>
  </r>
  <r>
    <n v="2400"/>
    <x v="0"/>
    <x v="0"/>
    <s v="Dress"/>
    <x v="0"/>
    <n v="44"/>
    <s v="New Hampshire"/>
    <s v="L"/>
    <s v="Beige"/>
    <x v="1"/>
    <x v="4"/>
    <s v="No"/>
    <x v="5"/>
    <x v="1"/>
    <x v="1"/>
    <x v="4"/>
    <x v="1"/>
    <x v="5"/>
    <x v="0"/>
    <n v="44"/>
    <n v="0"/>
  </r>
  <r>
    <n v="2401"/>
    <x v="49"/>
    <x v="0"/>
    <s v="Sunglasses"/>
    <x v="3"/>
    <n v="88"/>
    <s v="Oregon"/>
    <s v="M"/>
    <s v="Peach"/>
    <x v="0"/>
    <x v="19"/>
    <s v="No"/>
    <x v="2"/>
    <x v="1"/>
    <x v="1"/>
    <x v="47"/>
    <x v="2"/>
    <x v="4"/>
    <x v="2"/>
    <n v="88"/>
    <n v="0"/>
  </r>
  <r>
    <n v="2402"/>
    <x v="49"/>
    <x v="0"/>
    <s v="Boots"/>
    <x v="1"/>
    <n v="76"/>
    <s v="Oregon"/>
    <s v="M"/>
    <s v="Pink"/>
    <x v="0"/>
    <x v="19"/>
    <s v="No"/>
    <x v="3"/>
    <x v="1"/>
    <x v="1"/>
    <x v="29"/>
    <x v="3"/>
    <x v="4"/>
    <x v="2"/>
    <n v="76"/>
    <n v="0"/>
  </r>
  <r>
    <n v="2403"/>
    <x v="4"/>
    <x v="0"/>
    <s v="Scarf"/>
    <x v="3"/>
    <n v="89"/>
    <s v="Utah"/>
    <s v="M"/>
    <s v="Brown"/>
    <x v="0"/>
    <x v="22"/>
    <s v="No"/>
    <x v="1"/>
    <x v="1"/>
    <x v="1"/>
    <x v="4"/>
    <x v="1"/>
    <x v="1"/>
    <x v="2"/>
    <n v="89"/>
    <n v="0"/>
  </r>
  <r>
    <n v="2404"/>
    <x v="14"/>
    <x v="0"/>
    <s v="Shorts"/>
    <x v="0"/>
    <n v="22"/>
    <s v="Missouri"/>
    <s v="M"/>
    <s v="Magenta"/>
    <x v="3"/>
    <x v="14"/>
    <s v="No"/>
    <x v="3"/>
    <x v="1"/>
    <x v="1"/>
    <x v="19"/>
    <x v="5"/>
    <x v="1"/>
    <x v="0"/>
    <n v="22"/>
    <n v="0"/>
  </r>
  <r>
    <n v="2405"/>
    <x v="48"/>
    <x v="0"/>
    <s v="Shorts"/>
    <x v="0"/>
    <n v="33"/>
    <s v="West Virginia"/>
    <s v="L"/>
    <s v="Cyan"/>
    <x v="0"/>
    <x v="0"/>
    <s v="No"/>
    <x v="4"/>
    <x v="1"/>
    <x v="1"/>
    <x v="2"/>
    <x v="2"/>
    <x v="4"/>
    <x v="2"/>
    <n v="33"/>
    <n v="0"/>
  </r>
  <r>
    <n v="2406"/>
    <x v="28"/>
    <x v="0"/>
    <s v="Jeans"/>
    <x v="0"/>
    <n v="97"/>
    <s v="California"/>
    <s v="XL"/>
    <s v="Silver"/>
    <x v="3"/>
    <x v="16"/>
    <s v="No"/>
    <x v="3"/>
    <x v="1"/>
    <x v="1"/>
    <x v="36"/>
    <x v="5"/>
    <x v="3"/>
    <x v="0"/>
    <n v="97"/>
    <n v="0"/>
  </r>
  <r>
    <n v="2407"/>
    <x v="22"/>
    <x v="0"/>
    <s v="Scarf"/>
    <x v="3"/>
    <n v="57"/>
    <s v="California"/>
    <s v="M"/>
    <s v="Indigo"/>
    <x v="0"/>
    <x v="10"/>
    <s v="No"/>
    <x v="3"/>
    <x v="1"/>
    <x v="1"/>
    <x v="8"/>
    <x v="3"/>
    <x v="1"/>
    <x v="0"/>
    <n v="57"/>
    <n v="0"/>
  </r>
  <r>
    <n v="2408"/>
    <x v="16"/>
    <x v="0"/>
    <s v="Shorts"/>
    <x v="0"/>
    <n v="38"/>
    <s v="Illinois"/>
    <s v="M"/>
    <s v="Beige"/>
    <x v="2"/>
    <x v="21"/>
    <s v="No"/>
    <x v="0"/>
    <x v="1"/>
    <x v="1"/>
    <x v="47"/>
    <x v="2"/>
    <x v="4"/>
    <x v="0"/>
    <n v="38"/>
    <n v="0"/>
  </r>
  <r>
    <n v="2409"/>
    <x v="51"/>
    <x v="0"/>
    <s v="Sneakers"/>
    <x v="1"/>
    <n v="55"/>
    <s v="Hawaii"/>
    <s v="XL"/>
    <s v="Black"/>
    <x v="3"/>
    <x v="19"/>
    <s v="No"/>
    <x v="2"/>
    <x v="1"/>
    <x v="1"/>
    <x v="12"/>
    <x v="5"/>
    <x v="6"/>
    <x v="1"/>
    <n v="55"/>
    <n v="0"/>
  </r>
  <r>
    <n v="2410"/>
    <x v="8"/>
    <x v="0"/>
    <s v="Jewelry"/>
    <x v="3"/>
    <n v="37"/>
    <s v="Washington"/>
    <s v="L"/>
    <s v="Yellow"/>
    <x v="1"/>
    <x v="21"/>
    <s v="No"/>
    <x v="5"/>
    <x v="1"/>
    <x v="1"/>
    <x v="39"/>
    <x v="1"/>
    <x v="6"/>
    <x v="2"/>
    <n v="37"/>
    <n v="0"/>
  </r>
  <r>
    <n v="2411"/>
    <x v="39"/>
    <x v="0"/>
    <s v="Shoes"/>
    <x v="1"/>
    <n v="43"/>
    <s v="Wisconsin"/>
    <s v="M"/>
    <s v="Maroon"/>
    <x v="2"/>
    <x v="18"/>
    <s v="No"/>
    <x v="1"/>
    <x v="1"/>
    <x v="1"/>
    <x v="15"/>
    <x v="3"/>
    <x v="5"/>
    <x v="2"/>
    <n v="43"/>
    <n v="0"/>
  </r>
  <r>
    <n v="2412"/>
    <x v="34"/>
    <x v="0"/>
    <s v="Hoodie"/>
    <x v="0"/>
    <n v="96"/>
    <s v="Virginia"/>
    <s v="M"/>
    <s v="Cyan"/>
    <x v="2"/>
    <x v="2"/>
    <s v="No"/>
    <x v="1"/>
    <x v="1"/>
    <x v="1"/>
    <x v="31"/>
    <x v="1"/>
    <x v="6"/>
    <x v="2"/>
    <n v="96"/>
    <n v="0"/>
  </r>
  <r>
    <n v="2413"/>
    <x v="10"/>
    <x v="0"/>
    <s v="Jacket"/>
    <x v="2"/>
    <n v="51"/>
    <s v="Oregon"/>
    <s v="M"/>
    <s v="Pink"/>
    <x v="0"/>
    <x v="24"/>
    <s v="No"/>
    <x v="4"/>
    <x v="1"/>
    <x v="1"/>
    <x v="6"/>
    <x v="4"/>
    <x v="4"/>
    <x v="0"/>
    <n v="51"/>
    <n v="0"/>
  </r>
  <r>
    <n v="2414"/>
    <x v="28"/>
    <x v="0"/>
    <s v="Shorts"/>
    <x v="0"/>
    <n v="95"/>
    <s v="Pennsylvania"/>
    <s v="XL"/>
    <s v="Violet"/>
    <x v="3"/>
    <x v="2"/>
    <s v="No"/>
    <x v="4"/>
    <x v="1"/>
    <x v="1"/>
    <x v="48"/>
    <x v="4"/>
    <x v="1"/>
    <x v="0"/>
    <n v="95"/>
    <n v="0"/>
  </r>
  <r>
    <n v="2415"/>
    <x v="8"/>
    <x v="0"/>
    <s v="Socks"/>
    <x v="0"/>
    <n v="26"/>
    <s v="Virginia"/>
    <s v="M"/>
    <s v="Lavender"/>
    <x v="2"/>
    <x v="18"/>
    <s v="No"/>
    <x v="2"/>
    <x v="1"/>
    <x v="1"/>
    <x v="0"/>
    <x v="2"/>
    <x v="4"/>
    <x v="2"/>
    <n v="26"/>
    <n v="0"/>
  </r>
  <r>
    <n v="2416"/>
    <x v="3"/>
    <x v="0"/>
    <s v="Coat"/>
    <x v="2"/>
    <n v="34"/>
    <s v="Hawaii"/>
    <s v="XL"/>
    <s v="Lavender"/>
    <x v="3"/>
    <x v="24"/>
    <s v="No"/>
    <x v="3"/>
    <x v="1"/>
    <x v="1"/>
    <x v="48"/>
    <x v="4"/>
    <x v="1"/>
    <x v="1"/>
    <n v="34"/>
    <n v="0"/>
  </r>
  <r>
    <n v="2417"/>
    <x v="35"/>
    <x v="0"/>
    <s v="Sandals"/>
    <x v="1"/>
    <n v="83"/>
    <s v="Nebraska"/>
    <s v="S"/>
    <s v="Black"/>
    <x v="2"/>
    <x v="17"/>
    <s v="No"/>
    <x v="2"/>
    <x v="1"/>
    <x v="1"/>
    <x v="8"/>
    <x v="2"/>
    <x v="6"/>
    <x v="0"/>
    <n v="83"/>
    <n v="0"/>
  </r>
  <r>
    <n v="2418"/>
    <x v="3"/>
    <x v="0"/>
    <s v="Backpack"/>
    <x v="3"/>
    <n v="24"/>
    <s v="Alaska"/>
    <s v="M"/>
    <s v="Olive"/>
    <x v="3"/>
    <x v="13"/>
    <s v="No"/>
    <x v="3"/>
    <x v="1"/>
    <x v="1"/>
    <x v="18"/>
    <x v="0"/>
    <x v="0"/>
    <x v="1"/>
    <n v="24"/>
    <n v="0"/>
  </r>
  <r>
    <n v="2419"/>
    <x v="40"/>
    <x v="0"/>
    <s v="Pants"/>
    <x v="0"/>
    <n v="69"/>
    <s v="Michigan"/>
    <s v="S"/>
    <s v="Indigo"/>
    <x v="3"/>
    <x v="17"/>
    <s v="No"/>
    <x v="2"/>
    <x v="1"/>
    <x v="1"/>
    <x v="39"/>
    <x v="1"/>
    <x v="6"/>
    <x v="1"/>
    <n v="69"/>
    <n v="0"/>
  </r>
  <r>
    <n v="2420"/>
    <x v="8"/>
    <x v="0"/>
    <s v="Sweater"/>
    <x v="0"/>
    <n v="40"/>
    <s v="North Carolina"/>
    <s v="M"/>
    <s v="Blue"/>
    <x v="3"/>
    <x v="2"/>
    <s v="No"/>
    <x v="2"/>
    <x v="1"/>
    <x v="1"/>
    <x v="47"/>
    <x v="2"/>
    <x v="6"/>
    <x v="2"/>
    <n v="40"/>
    <n v="0"/>
  </r>
  <r>
    <n v="2421"/>
    <x v="38"/>
    <x v="0"/>
    <s v="Jacket"/>
    <x v="2"/>
    <n v="87"/>
    <s v="North Carolina"/>
    <s v="S"/>
    <s v="Green"/>
    <x v="0"/>
    <x v="19"/>
    <s v="No"/>
    <x v="1"/>
    <x v="1"/>
    <x v="1"/>
    <x v="40"/>
    <x v="3"/>
    <x v="2"/>
    <x v="2"/>
    <n v="87"/>
    <n v="0"/>
  </r>
  <r>
    <n v="2422"/>
    <x v="43"/>
    <x v="0"/>
    <s v="Sneakers"/>
    <x v="1"/>
    <n v="46"/>
    <s v="Minnesota"/>
    <s v="L"/>
    <s v="Pink"/>
    <x v="1"/>
    <x v="12"/>
    <s v="No"/>
    <x v="3"/>
    <x v="1"/>
    <x v="1"/>
    <x v="1"/>
    <x v="5"/>
    <x v="6"/>
    <x v="2"/>
    <n v="46"/>
    <n v="0"/>
  </r>
  <r>
    <n v="2423"/>
    <x v="11"/>
    <x v="0"/>
    <s v="Jewelry"/>
    <x v="3"/>
    <n v="82"/>
    <s v="Georgia"/>
    <s v="M"/>
    <s v="Peach"/>
    <x v="0"/>
    <x v="6"/>
    <s v="No"/>
    <x v="5"/>
    <x v="1"/>
    <x v="1"/>
    <x v="24"/>
    <x v="2"/>
    <x v="1"/>
    <x v="2"/>
    <n v="82"/>
    <n v="0"/>
  </r>
  <r>
    <n v="2424"/>
    <x v="34"/>
    <x v="0"/>
    <s v="Backpack"/>
    <x v="3"/>
    <n v="81"/>
    <s v="West Virginia"/>
    <s v="M"/>
    <s v="Purple"/>
    <x v="2"/>
    <x v="11"/>
    <s v="No"/>
    <x v="1"/>
    <x v="1"/>
    <x v="1"/>
    <x v="22"/>
    <x v="2"/>
    <x v="6"/>
    <x v="2"/>
    <n v="81"/>
    <n v="0"/>
  </r>
  <r>
    <n v="2425"/>
    <x v="34"/>
    <x v="0"/>
    <s v="Jewelry"/>
    <x v="3"/>
    <n v="57"/>
    <s v="Delaware"/>
    <s v="M"/>
    <s v="Peach"/>
    <x v="0"/>
    <x v="9"/>
    <s v="No"/>
    <x v="2"/>
    <x v="1"/>
    <x v="1"/>
    <x v="40"/>
    <x v="4"/>
    <x v="4"/>
    <x v="2"/>
    <n v="57"/>
    <n v="0"/>
  </r>
  <r>
    <n v="2426"/>
    <x v="44"/>
    <x v="0"/>
    <s v="Shoes"/>
    <x v="1"/>
    <n v="49"/>
    <s v="North Dakota"/>
    <s v="S"/>
    <s v="Olive"/>
    <x v="2"/>
    <x v="21"/>
    <s v="No"/>
    <x v="4"/>
    <x v="1"/>
    <x v="1"/>
    <x v="11"/>
    <x v="4"/>
    <x v="3"/>
    <x v="0"/>
    <n v="49"/>
    <n v="0"/>
  </r>
  <r>
    <n v="2427"/>
    <x v="27"/>
    <x v="0"/>
    <s v="Jacket"/>
    <x v="2"/>
    <n v="42"/>
    <s v="Florida"/>
    <s v="M"/>
    <s v="Olive"/>
    <x v="3"/>
    <x v="12"/>
    <s v="No"/>
    <x v="1"/>
    <x v="1"/>
    <x v="1"/>
    <x v="8"/>
    <x v="5"/>
    <x v="6"/>
    <x v="0"/>
    <n v="42"/>
    <n v="0"/>
  </r>
  <r>
    <n v="2428"/>
    <x v="7"/>
    <x v="0"/>
    <s v="Jacket"/>
    <x v="2"/>
    <n v="26"/>
    <s v="Oregon"/>
    <s v="M"/>
    <s v="Purple"/>
    <x v="1"/>
    <x v="13"/>
    <s v="No"/>
    <x v="3"/>
    <x v="1"/>
    <x v="1"/>
    <x v="24"/>
    <x v="1"/>
    <x v="3"/>
    <x v="2"/>
    <n v="26"/>
    <n v="0"/>
  </r>
  <r>
    <n v="2429"/>
    <x v="13"/>
    <x v="0"/>
    <s v="T-shirt"/>
    <x v="0"/>
    <n v="38"/>
    <s v="Idaho"/>
    <s v="M"/>
    <s v="Violet"/>
    <x v="1"/>
    <x v="14"/>
    <s v="No"/>
    <x v="2"/>
    <x v="1"/>
    <x v="1"/>
    <x v="11"/>
    <x v="5"/>
    <x v="2"/>
    <x v="0"/>
    <n v="38"/>
    <n v="0"/>
  </r>
  <r>
    <n v="2430"/>
    <x v="9"/>
    <x v="0"/>
    <s v="Sneakers"/>
    <x v="1"/>
    <n v="57"/>
    <s v="Virginia"/>
    <s v="XL"/>
    <s v="Maroon"/>
    <x v="2"/>
    <x v="14"/>
    <s v="No"/>
    <x v="3"/>
    <x v="1"/>
    <x v="1"/>
    <x v="39"/>
    <x v="2"/>
    <x v="0"/>
    <x v="0"/>
    <n v="57"/>
    <n v="0"/>
  </r>
  <r>
    <n v="2431"/>
    <x v="30"/>
    <x v="0"/>
    <s v="Jacket"/>
    <x v="2"/>
    <n v="100"/>
    <s v="North Dakota"/>
    <s v="XL"/>
    <s v="White"/>
    <x v="2"/>
    <x v="24"/>
    <s v="No"/>
    <x v="0"/>
    <x v="1"/>
    <x v="1"/>
    <x v="38"/>
    <x v="1"/>
    <x v="3"/>
    <x v="1"/>
    <n v="100"/>
    <n v="0"/>
  </r>
  <r>
    <n v="2432"/>
    <x v="50"/>
    <x v="0"/>
    <s v="Hoodie"/>
    <x v="0"/>
    <n v="73"/>
    <s v="Alabama"/>
    <s v="S"/>
    <s v="Olive"/>
    <x v="3"/>
    <x v="23"/>
    <s v="No"/>
    <x v="0"/>
    <x v="1"/>
    <x v="1"/>
    <x v="46"/>
    <x v="4"/>
    <x v="6"/>
    <x v="2"/>
    <n v="73"/>
    <n v="0"/>
  </r>
  <r>
    <n v="2433"/>
    <x v="35"/>
    <x v="0"/>
    <s v="Jacket"/>
    <x v="2"/>
    <n v="66"/>
    <s v="Hawaii"/>
    <s v="M"/>
    <s v="Peach"/>
    <x v="0"/>
    <x v="11"/>
    <s v="No"/>
    <x v="5"/>
    <x v="1"/>
    <x v="1"/>
    <x v="34"/>
    <x v="0"/>
    <x v="5"/>
    <x v="0"/>
    <n v="66"/>
    <n v="0"/>
  </r>
  <r>
    <n v="2434"/>
    <x v="22"/>
    <x v="0"/>
    <s v="T-shirt"/>
    <x v="0"/>
    <n v="73"/>
    <s v="Oregon"/>
    <s v="M"/>
    <s v="Blue"/>
    <x v="1"/>
    <x v="23"/>
    <s v="No"/>
    <x v="3"/>
    <x v="1"/>
    <x v="1"/>
    <x v="20"/>
    <x v="1"/>
    <x v="4"/>
    <x v="0"/>
    <n v="73"/>
    <n v="0"/>
  </r>
  <r>
    <n v="2435"/>
    <x v="24"/>
    <x v="0"/>
    <s v="Gloves"/>
    <x v="3"/>
    <n v="45"/>
    <s v="Utah"/>
    <s v="M"/>
    <s v="Brown"/>
    <x v="1"/>
    <x v="16"/>
    <s v="No"/>
    <x v="5"/>
    <x v="1"/>
    <x v="1"/>
    <x v="19"/>
    <x v="2"/>
    <x v="5"/>
    <x v="2"/>
    <n v="45"/>
    <n v="0"/>
  </r>
  <r>
    <n v="2436"/>
    <x v="3"/>
    <x v="0"/>
    <s v="Sneakers"/>
    <x v="1"/>
    <n v="27"/>
    <s v="Hawaii"/>
    <s v="S"/>
    <s v="Black"/>
    <x v="3"/>
    <x v="9"/>
    <s v="No"/>
    <x v="1"/>
    <x v="1"/>
    <x v="1"/>
    <x v="32"/>
    <x v="1"/>
    <x v="4"/>
    <x v="1"/>
    <n v="27"/>
    <n v="0"/>
  </r>
  <r>
    <n v="2437"/>
    <x v="16"/>
    <x v="0"/>
    <s v="T-shirt"/>
    <x v="0"/>
    <n v="24"/>
    <s v="Connecticut"/>
    <s v="M"/>
    <s v="Yellow"/>
    <x v="3"/>
    <x v="2"/>
    <s v="No"/>
    <x v="5"/>
    <x v="1"/>
    <x v="1"/>
    <x v="25"/>
    <x v="2"/>
    <x v="3"/>
    <x v="0"/>
    <n v="24"/>
    <n v="0"/>
  </r>
  <r>
    <n v="2438"/>
    <x v="49"/>
    <x v="0"/>
    <s v="Sneakers"/>
    <x v="1"/>
    <n v="59"/>
    <s v="Wyoming"/>
    <s v="XL"/>
    <s v="Magenta"/>
    <x v="0"/>
    <x v="23"/>
    <s v="No"/>
    <x v="5"/>
    <x v="1"/>
    <x v="1"/>
    <x v="11"/>
    <x v="2"/>
    <x v="1"/>
    <x v="2"/>
    <n v="59"/>
    <n v="0"/>
  </r>
  <r>
    <n v="2439"/>
    <x v="45"/>
    <x v="0"/>
    <s v="Jeans"/>
    <x v="0"/>
    <n v="20"/>
    <s v="Delaware"/>
    <s v="S"/>
    <s v="Cyan"/>
    <x v="0"/>
    <x v="23"/>
    <s v="No"/>
    <x v="0"/>
    <x v="1"/>
    <x v="1"/>
    <x v="48"/>
    <x v="0"/>
    <x v="1"/>
    <x v="2"/>
    <n v="20"/>
    <n v="0"/>
  </r>
  <r>
    <n v="2440"/>
    <x v="0"/>
    <x v="0"/>
    <s v="Handbag"/>
    <x v="3"/>
    <n v="44"/>
    <s v="Arkansas"/>
    <s v="M"/>
    <s v="Maroon"/>
    <x v="2"/>
    <x v="11"/>
    <s v="No"/>
    <x v="3"/>
    <x v="1"/>
    <x v="1"/>
    <x v="24"/>
    <x v="4"/>
    <x v="2"/>
    <x v="0"/>
    <n v="44"/>
    <n v="0"/>
  </r>
  <r>
    <n v="2441"/>
    <x v="18"/>
    <x v="0"/>
    <s v="Socks"/>
    <x v="0"/>
    <n v="90"/>
    <s v="Indiana"/>
    <s v="M"/>
    <s v="Red"/>
    <x v="1"/>
    <x v="10"/>
    <s v="No"/>
    <x v="3"/>
    <x v="1"/>
    <x v="1"/>
    <x v="39"/>
    <x v="4"/>
    <x v="2"/>
    <x v="2"/>
    <n v="90"/>
    <n v="0"/>
  </r>
  <r>
    <n v="2442"/>
    <x v="4"/>
    <x v="0"/>
    <s v="Jewelry"/>
    <x v="3"/>
    <n v="36"/>
    <s v="California"/>
    <s v="M"/>
    <s v="Black"/>
    <x v="3"/>
    <x v="10"/>
    <s v="No"/>
    <x v="1"/>
    <x v="1"/>
    <x v="1"/>
    <x v="36"/>
    <x v="2"/>
    <x v="5"/>
    <x v="2"/>
    <n v="36"/>
    <n v="0"/>
  </r>
  <r>
    <n v="2443"/>
    <x v="10"/>
    <x v="0"/>
    <s v="Blouse"/>
    <x v="0"/>
    <n v="95"/>
    <s v="Wyoming"/>
    <s v="L"/>
    <s v="Violet"/>
    <x v="0"/>
    <x v="10"/>
    <s v="No"/>
    <x v="1"/>
    <x v="1"/>
    <x v="1"/>
    <x v="16"/>
    <x v="5"/>
    <x v="4"/>
    <x v="0"/>
    <n v="95"/>
    <n v="0"/>
  </r>
  <r>
    <n v="2444"/>
    <x v="41"/>
    <x v="0"/>
    <s v="Backpack"/>
    <x v="3"/>
    <n v="30"/>
    <s v="South Dakota"/>
    <s v="M"/>
    <s v="Green"/>
    <x v="1"/>
    <x v="23"/>
    <s v="No"/>
    <x v="4"/>
    <x v="1"/>
    <x v="1"/>
    <x v="37"/>
    <x v="4"/>
    <x v="4"/>
    <x v="1"/>
    <n v="30"/>
    <n v="0"/>
  </r>
  <r>
    <n v="2445"/>
    <x v="36"/>
    <x v="0"/>
    <s v="Scarf"/>
    <x v="3"/>
    <n v="65"/>
    <s v="West Virginia"/>
    <s v="S"/>
    <s v="Gold"/>
    <x v="3"/>
    <x v="18"/>
    <s v="No"/>
    <x v="0"/>
    <x v="1"/>
    <x v="1"/>
    <x v="28"/>
    <x v="5"/>
    <x v="4"/>
    <x v="2"/>
    <n v="65"/>
    <n v="0"/>
  </r>
  <r>
    <n v="2446"/>
    <x v="6"/>
    <x v="0"/>
    <s v="Scarf"/>
    <x v="3"/>
    <n v="96"/>
    <s v="Tennessee"/>
    <s v="M"/>
    <s v="Brown"/>
    <x v="2"/>
    <x v="7"/>
    <s v="No"/>
    <x v="5"/>
    <x v="1"/>
    <x v="1"/>
    <x v="16"/>
    <x v="1"/>
    <x v="1"/>
    <x v="0"/>
    <n v="96"/>
    <n v="0"/>
  </r>
  <r>
    <n v="2447"/>
    <x v="21"/>
    <x v="0"/>
    <s v="Shirt"/>
    <x v="0"/>
    <n v="65"/>
    <s v="Alaska"/>
    <s v="L"/>
    <s v="Peach"/>
    <x v="1"/>
    <x v="3"/>
    <s v="No"/>
    <x v="4"/>
    <x v="1"/>
    <x v="1"/>
    <x v="22"/>
    <x v="2"/>
    <x v="5"/>
    <x v="2"/>
    <n v="65"/>
    <n v="0"/>
  </r>
  <r>
    <n v="2448"/>
    <x v="35"/>
    <x v="0"/>
    <s v="Pants"/>
    <x v="0"/>
    <n v="47"/>
    <s v="South Dakota"/>
    <s v="L"/>
    <s v="Peach"/>
    <x v="3"/>
    <x v="4"/>
    <s v="No"/>
    <x v="5"/>
    <x v="1"/>
    <x v="1"/>
    <x v="9"/>
    <x v="0"/>
    <x v="0"/>
    <x v="0"/>
    <n v="47"/>
    <n v="0"/>
  </r>
  <r>
    <n v="2449"/>
    <x v="22"/>
    <x v="0"/>
    <s v="Hat"/>
    <x v="3"/>
    <n v="25"/>
    <s v="Tennessee"/>
    <s v="S"/>
    <s v="Violet"/>
    <x v="3"/>
    <x v="21"/>
    <s v="No"/>
    <x v="1"/>
    <x v="1"/>
    <x v="1"/>
    <x v="25"/>
    <x v="3"/>
    <x v="4"/>
    <x v="0"/>
    <n v="25"/>
    <n v="0"/>
  </r>
  <r>
    <n v="2450"/>
    <x v="8"/>
    <x v="0"/>
    <s v="Coat"/>
    <x v="2"/>
    <n v="56"/>
    <s v="Alabama"/>
    <s v="S"/>
    <s v="Violet"/>
    <x v="3"/>
    <x v="7"/>
    <s v="No"/>
    <x v="0"/>
    <x v="1"/>
    <x v="1"/>
    <x v="4"/>
    <x v="0"/>
    <x v="0"/>
    <x v="2"/>
    <n v="56"/>
    <n v="0"/>
  </r>
  <r>
    <n v="2451"/>
    <x v="33"/>
    <x v="0"/>
    <s v="T-shirt"/>
    <x v="0"/>
    <n v="76"/>
    <s v="North Carolina"/>
    <s v="M"/>
    <s v="Magenta"/>
    <x v="3"/>
    <x v="9"/>
    <s v="No"/>
    <x v="3"/>
    <x v="1"/>
    <x v="1"/>
    <x v="22"/>
    <x v="0"/>
    <x v="3"/>
    <x v="0"/>
    <n v="76"/>
    <n v="0"/>
  </r>
  <r>
    <n v="2452"/>
    <x v="38"/>
    <x v="0"/>
    <s v="Socks"/>
    <x v="0"/>
    <n v="60"/>
    <s v="Oklahoma"/>
    <s v="M"/>
    <s v="Purple"/>
    <x v="3"/>
    <x v="23"/>
    <s v="No"/>
    <x v="5"/>
    <x v="1"/>
    <x v="1"/>
    <x v="46"/>
    <x v="0"/>
    <x v="5"/>
    <x v="2"/>
    <n v="60"/>
    <n v="0"/>
  </r>
  <r>
    <n v="2453"/>
    <x v="33"/>
    <x v="0"/>
    <s v="Shirt"/>
    <x v="0"/>
    <n v="67"/>
    <s v="New York"/>
    <s v="L"/>
    <s v="Purple"/>
    <x v="0"/>
    <x v="7"/>
    <s v="No"/>
    <x v="0"/>
    <x v="1"/>
    <x v="1"/>
    <x v="24"/>
    <x v="4"/>
    <x v="6"/>
    <x v="0"/>
    <n v="67"/>
    <n v="0"/>
  </r>
  <r>
    <n v="2454"/>
    <x v="3"/>
    <x v="0"/>
    <s v="Sweater"/>
    <x v="0"/>
    <n v="95"/>
    <s v="Iowa"/>
    <s v="XL"/>
    <s v="Cyan"/>
    <x v="1"/>
    <x v="12"/>
    <s v="No"/>
    <x v="5"/>
    <x v="1"/>
    <x v="1"/>
    <x v="21"/>
    <x v="1"/>
    <x v="2"/>
    <x v="1"/>
    <n v="95"/>
    <n v="0"/>
  </r>
  <r>
    <n v="2455"/>
    <x v="45"/>
    <x v="0"/>
    <s v="Gloves"/>
    <x v="3"/>
    <n v="72"/>
    <s v="Alaska"/>
    <s v="M"/>
    <s v="Magenta"/>
    <x v="0"/>
    <x v="12"/>
    <s v="No"/>
    <x v="0"/>
    <x v="1"/>
    <x v="1"/>
    <x v="42"/>
    <x v="0"/>
    <x v="2"/>
    <x v="2"/>
    <n v="72"/>
    <n v="0"/>
  </r>
  <r>
    <n v="2456"/>
    <x v="30"/>
    <x v="0"/>
    <s v="Belt"/>
    <x v="3"/>
    <n v="98"/>
    <s v="Alaska"/>
    <s v="L"/>
    <s v="Lavender"/>
    <x v="1"/>
    <x v="23"/>
    <s v="No"/>
    <x v="0"/>
    <x v="1"/>
    <x v="1"/>
    <x v="29"/>
    <x v="1"/>
    <x v="6"/>
    <x v="1"/>
    <n v="98"/>
    <n v="0"/>
  </r>
  <r>
    <n v="2457"/>
    <x v="35"/>
    <x v="0"/>
    <s v="Jeans"/>
    <x v="0"/>
    <n v="83"/>
    <s v="Nebraska"/>
    <s v="M"/>
    <s v="Green"/>
    <x v="0"/>
    <x v="13"/>
    <s v="No"/>
    <x v="4"/>
    <x v="1"/>
    <x v="1"/>
    <x v="36"/>
    <x v="3"/>
    <x v="5"/>
    <x v="0"/>
    <n v="83"/>
    <n v="0"/>
  </r>
  <r>
    <n v="2458"/>
    <x v="10"/>
    <x v="0"/>
    <s v="Handbag"/>
    <x v="3"/>
    <n v="37"/>
    <s v="Delaware"/>
    <s v="M"/>
    <s v="Maroon"/>
    <x v="3"/>
    <x v="15"/>
    <s v="No"/>
    <x v="4"/>
    <x v="1"/>
    <x v="1"/>
    <x v="2"/>
    <x v="1"/>
    <x v="3"/>
    <x v="0"/>
    <n v="37"/>
    <n v="0"/>
  </r>
  <r>
    <n v="2459"/>
    <x v="17"/>
    <x v="0"/>
    <s v="T-shirt"/>
    <x v="0"/>
    <n v="85"/>
    <s v="Texas"/>
    <s v="L"/>
    <s v="Turquoise"/>
    <x v="3"/>
    <x v="12"/>
    <s v="No"/>
    <x v="1"/>
    <x v="1"/>
    <x v="1"/>
    <x v="14"/>
    <x v="4"/>
    <x v="1"/>
    <x v="0"/>
    <n v="85"/>
    <n v="0"/>
  </r>
  <r>
    <n v="2460"/>
    <x v="36"/>
    <x v="0"/>
    <s v="Socks"/>
    <x v="0"/>
    <n v="36"/>
    <s v="Missouri"/>
    <s v="L"/>
    <s v="Violet"/>
    <x v="3"/>
    <x v="24"/>
    <s v="No"/>
    <x v="4"/>
    <x v="1"/>
    <x v="1"/>
    <x v="0"/>
    <x v="1"/>
    <x v="1"/>
    <x v="2"/>
    <n v="36"/>
    <n v="0"/>
  </r>
  <r>
    <n v="2461"/>
    <x v="44"/>
    <x v="0"/>
    <s v="Jeans"/>
    <x v="0"/>
    <n v="36"/>
    <s v="Maine"/>
    <s v="S"/>
    <s v="Lavender"/>
    <x v="0"/>
    <x v="17"/>
    <s v="No"/>
    <x v="5"/>
    <x v="1"/>
    <x v="1"/>
    <x v="40"/>
    <x v="2"/>
    <x v="2"/>
    <x v="0"/>
    <n v="36"/>
    <n v="0"/>
  </r>
  <r>
    <n v="2462"/>
    <x v="48"/>
    <x v="0"/>
    <s v="Scarf"/>
    <x v="3"/>
    <n v="86"/>
    <s v="Pennsylvania"/>
    <s v="L"/>
    <s v="Red"/>
    <x v="2"/>
    <x v="6"/>
    <s v="No"/>
    <x v="2"/>
    <x v="1"/>
    <x v="1"/>
    <x v="5"/>
    <x v="2"/>
    <x v="1"/>
    <x v="2"/>
    <n v="86"/>
    <n v="0"/>
  </r>
  <r>
    <n v="2463"/>
    <x v="33"/>
    <x v="0"/>
    <s v="Pants"/>
    <x v="0"/>
    <n v="99"/>
    <s v="Missouri"/>
    <s v="XL"/>
    <s v="Orange"/>
    <x v="1"/>
    <x v="24"/>
    <s v="No"/>
    <x v="3"/>
    <x v="1"/>
    <x v="1"/>
    <x v="4"/>
    <x v="4"/>
    <x v="4"/>
    <x v="0"/>
    <n v="99"/>
    <n v="0"/>
  </r>
  <r>
    <n v="2464"/>
    <x v="52"/>
    <x v="0"/>
    <s v="Blouse"/>
    <x v="0"/>
    <n v="21"/>
    <s v="Mississippi"/>
    <s v="XL"/>
    <s v="Indigo"/>
    <x v="2"/>
    <x v="13"/>
    <s v="No"/>
    <x v="3"/>
    <x v="1"/>
    <x v="1"/>
    <x v="29"/>
    <x v="1"/>
    <x v="4"/>
    <x v="0"/>
    <n v="21"/>
    <n v="0"/>
  </r>
  <r>
    <n v="2465"/>
    <x v="36"/>
    <x v="0"/>
    <s v="Jacket"/>
    <x v="2"/>
    <n v="84"/>
    <s v="Hawaii"/>
    <s v="L"/>
    <s v="Teal"/>
    <x v="0"/>
    <x v="11"/>
    <s v="No"/>
    <x v="0"/>
    <x v="1"/>
    <x v="1"/>
    <x v="7"/>
    <x v="1"/>
    <x v="4"/>
    <x v="2"/>
    <n v="84"/>
    <n v="0"/>
  </r>
  <r>
    <n v="2466"/>
    <x v="20"/>
    <x v="0"/>
    <s v="Sandals"/>
    <x v="1"/>
    <n v="63"/>
    <s v="Texas"/>
    <s v="M"/>
    <s v="Brown"/>
    <x v="1"/>
    <x v="14"/>
    <s v="No"/>
    <x v="1"/>
    <x v="1"/>
    <x v="1"/>
    <x v="41"/>
    <x v="4"/>
    <x v="1"/>
    <x v="1"/>
    <n v="63"/>
    <n v="0"/>
  </r>
  <r>
    <n v="2467"/>
    <x v="45"/>
    <x v="0"/>
    <s v="Shorts"/>
    <x v="0"/>
    <n v="84"/>
    <s v="South Dakota"/>
    <s v="S"/>
    <s v="Pink"/>
    <x v="2"/>
    <x v="18"/>
    <s v="No"/>
    <x v="0"/>
    <x v="1"/>
    <x v="1"/>
    <x v="10"/>
    <x v="1"/>
    <x v="2"/>
    <x v="2"/>
    <n v="84"/>
    <n v="0"/>
  </r>
  <r>
    <n v="2468"/>
    <x v="7"/>
    <x v="0"/>
    <s v="Shorts"/>
    <x v="0"/>
    <n v="72"/>
    <s v="New Jersey"/>
    <s v="M"/>
    <s v="Lavender"/>
    <x v="1"/>
    <x v="15"/>
    <s v="No"/>
    <x v="0"/>
    <x v="1"/>
    <x v="1"/>
    <x v="40"/>
    <x v="2"/>
    <x v="2"/>
    <x v="2"/>
    <n v="72"/>
    <n v="0"/>
  </r>
  <r>
    <n v="2469"/>
    <x v="13"/>
    <x v="0"/>
    <s v="Skirt"/>
    <x v="0"/>
    <n v="21"/>
    <s v="Connecticut"/>
    <s v="L"/>
    <s v="Cyan"/>
    <x v="0"/>
    <x v="18"/>
    <s v="No"/>
    <x v="4"/>
    <x v="1"/>
    <x v="1"/>
    <x v="49"/>
    <x v="0"/>
    <x v="1"/>
    <x v="0"/>
    <n v="21"/>
    <n v="0"/>
  </r>
  <r>
    <n v="2470"/>
    <x v="33"/>
    <x v="0"/>
    <s v="Sandals"/>
    <x v="1"/>
    <n v="92"/>
    <s v="Maryland"/>
    <s v="M"/>
    <s v="Yellow"/>
    <x v="3"/>
    <x v="16"/>
    <s v="No"/>
    <x v="3"/>
    <x v="1"/>
    <x v="1"/>
    <x v="46"/>
    <x v="3"/>
    <x v="2"/>
    <x v="0"/>
    <n v="92"/>
    <n v="0"/>
  </r>
  <r>
    <n v="2471"/>
    <x v="0"/>
    <x v="0"/>
    <s v="Blouse"/>
    <x v="0"/>
    <n v="72"/>
    <s v="Arizona"/>
    <s v="XL"/>
    <s v="Pink"/>
    <x v="3"/>
    <x v="2"/>
    <s v="No"/>
    <x v="2"/>
    <x v="1"/>
    <x v="1"/>
    <x v="32"/>
    <x v="2"/>
    <x v="0"/>
    <x v="0"/>
    <n v="72"/>
    <n v="0"/>
  </r>
  <r>
    <n v="2472"/>
    <x v="11"/>
    <x v="0"/>
    <s v="Sandals"/>
    <x v="1"/>
    <n v="83"/>
    <s v="Oklahoma"/>
    <s v="M"/>
    <s v="Gray"/>
    <x v="1"/>
    <x v="24"/>
    <s v="No"/>
    <x v="5"/>
    <x v="1"/>
    <x v="1"/>
    <x v="43"/>
    <x v="1"/>
    <x v="2"/>
    <x v="2"/>
    <n v="83"/>
    <n v="0"/>
  </r>
  <r>
    <n v="2473"/>
    <x v="41"/>
    <x v="0"/>
    <s v="Shirt"/>
    <x v="0"/>
    <n v="73"/>
    <s v="Utah"/>
    <s v="M"/>
    <s v="Peach"/>
    <x v="2"/>
    <x v="7"/>
    <s v="No"/>
    <x v="3"/>
    <x v="1"/>
    <x v="1"/>
    <x v="4"/>
    <x v="2"/>
    <x v="2"/>
    <x v="1"/>
    <n v="73"/>
    <n v="0"/>
  </r>
  <r>
    <n v="2474"/>
    <x v="9"/>
    <x v="0"/>
    <s v="Socks"/>
    <x v="0"/>
    <n v="98"/>
    <s v="Arkansas"/>
    <s v="M"/>
    <s v="Red"/>
    <x v="0"/>
    <x v="5"/>
    <s v="No"/>
    <x v="2"/>
    <x v="1"/>
    <x v="1"/>
    <x v="40"/>
    <x v="1"/>
    <x v="3"/>
    <x v="0"/>
    <n v="98"/>
    <n v="0"/>
  </r>
  <r>
    <n v="2475"/>
    <x v="51"/>
    <x v="0"/>
    <s v="T-shirt"/>
    <x v="0"/>
    <n v="76"/>
    <s v="North Carolina"/>
    <s v="M"/>
    <s v="Olive"/>
    <x v="3"/>
    <x v="4"/>
    <s v="No"/>
    <x v="5"/>
    <x v="1"/>
    <x v="1"/>
    <x v="5"/>
    <x v="4"/>
    <x v="3"/>
    <x v="1"/>
    <n v="76"/>
    <n v="0"/>
  </r>
  <r>
    <n v="2476"/>
    <x v="28"/>
    <x v="0"/>
    <s v="Dress"/>
    <x v="0"/>
    <n v="43"/>
    <s v="California"/>
    <s v="S"/>
    <s v="Lavender"/>
    <x v="2"/>
    <x v="1"/>
    <s v="No"/>
    <x v="2"/>
    <x v="1"/>
    <x v="1"/>
    <x v="13"/>
    <x v="0"/>
    <x v="5"/>
    <x v="0"/>
    <n v="43"/>
    <n v="0"/>
  </r>
  <r>
    <n v="2477"/>
    <x v="52"/>
    <x v="0"/>
    <s v="Hat"/>
    <x v="3"/>
    <n v="60"/>
    <s v="Colorado"/>
    <s v="M"/>
    <s v="Turquoise"/>
    <x v="2"/>
    <x v="18"/>
    <s v="No"/>
    <x v="2"/>
    <x v="1"/>
    <x v="1"/>
    <x v="40"/>
    <x v="1"/>
    <x v="5"/>
    <x v="0"/>
    <n v="60"/>
    <n v="0"/>
  </r>
  <r>
    <n v="2478"/>
    <x v="15"/>
    <x v="0"/>
    <s v="Gloves"/>
    <x v="3"/>
    <n v="40"/>
    <s v="California"/>
    <s v="L"/>
    <s v="Turquoise"/>
    <x v="1"/>
    <x v="22"/>
    <s v="No"/>
    <x v="4"/>
    <x v="1"/>
    <x v="1"/>
    <x v="32"/>
    <x v="3"/>
    <x v="1"/>
    <x v="1"/>
    <n v="40"/>
    <n v="0"/>
  </r>
  <r>
    <n v="2479"/>
    <x v="20"/>
    <x v="0"/>
    <s v="Socks"/>
    <x v="0"/>
    <n v="93"/>
    <s v="Vermont"/>
    <s v="S"/>
    <s v="Maroon"/>
    <x v="0"/>
    <x v="6"/>
    <s v="No"/>
    <x v="4"/>
    <x v="1"/>
    <x v="1"/>
    <x v="44"/>
    <x v="4"/>
    <x v="6"/>
    <x v="1"/>
    <n v="93"/>
    <n v="0"/>
  </r>
  <r>
    <n v="2480"/>
    <x v="43"/>
    <x v="0"/>
    <s v="Dress"/>
    <x v="0"/>
    <n v="98"/>
    <s v="Kansas"/>
    <s v="S"/>
    <s v="Olive"/>
    <x v="3"/>
    <x v="19"/>
    <s v="No"/>
    <x v="3"/>
    <x v="1"/>
    <x v="1"/>
    <x v="8"/>
    <x v="2"/>
    <x v="6"/>
    <x v="2"/>
    <n v="98"/>
    <n v="0"/>
  </r>
  <r>
    <n v="2481"/>
    <x v="12"/>
    <x v="0"/>
    <s v="Socks"/>
    <x v="0"/>
    <n v="91"/>
    <s v="Ohio"/>
    <s v="XL"/>
    <s v="Maroon"/>
    <x v="2"/>
    <x v="3"/>
    <s v="No"/>
    <x v="2"/>
    <x v="1"/>
    <x v="1"/>
    <x v="22"/>
    <x v="2"/>
    <x v="0"/>
    <x v="0"/>
    <n v="91"/>
    <n v="0"/>
  </r>
  <r>
    <n v="2482"/>
    <x v="38"/>
    <x v="0"/>
    <s v="Belt"/>
    <x v="3"/>
    <n v="92"/>
    <s v="New Jersey"/>
    <s v="XL"/>
    <s v="Cyan"/>
    <x v="3"/>
    <x v="3"/>
    <s v="No"/>
    <x v="1"/>
    <x v="1"/>
    <x v="1"/>
    <x v="31"/>
    <x v="5"/>
    <x v="1"/>
    <x v="2"/>
    <n v="92"/>
    <n v="0"/>
  </r>
  <r>
    <n v="2483"/>
    <x v="28"/>
    <x v="0"/>
    <s v="Handbag"/>
    <x v="3"/>
    <n v="87"/>
    <s v="Arizona"/>
    <s v="S"/>
    <s v="Peach"/>
    <x v="0"/>
    <x v="6"/>
    <s v="No"/>
    <x v="2"/>
    <x v="1"/>
    <x v="1"/>
    <x v="15"/>
    <x v="2"/>
    <x v="6"/>
    <x v="0"/>
    <n v="87"/>
    <n v="0"/>
  </r>
  <r>
    <n v="2484"/>
    <x v="45"/>
    <x v="0"/>
    <s v="Skirt"/>
    <x v="0"/>
    <n v="96"/>
    <s v="Arizona"/>
    <s v="S"/>
    <s v="Teal"/>
    <x v="3"/>
    <x v="3"/>
    <s v="No"/>
    <x v="3"/>
    <x v="1"/>
    <x v="1"/>
    <x v="6"/>
    <x v="5"/>
    <x v="5"/>
    <x v="2"/>
    <n v="96"/>
    <n v="0"/>
  </r>
  <r>
    <n v="2485"/>
    <x v="52"/>
    <x v="0"/>
    <s v="Hoodie"/>
    <x v="0"/>
    <n v="97"/>
    <s v="New Hampshire"/>
    <s v="M"/>
    <s v="Green"/>
    <x v="2"/>
    <x v="6"/>
    <s v="No"/>
    <x v="4"/>
    <x v="1"/>
    <x v="1"/>
    <x v="16"/>
    <x v="1"/>
    <x v="6"/>
    <x v="0"/>
    <n v="97"/>
    <n v="0"/>
  </r>
  <r>
    <n v="2486"/>
    <x v="49"/>
    <x v="0"/>
    <s v="Blouse"/>
    <x v="0"/>
    <n v="55"/>
    <s v="Louisiana"/>
    <s v="M"/>
    <s v="Beige"/>
    <x v="1"/>
    <x v="12"/>
    <s v="No"/>
    <x v="4"/>
    <x v="1"/>
    <x v="1"/>
    <x v="10"/>
    <x v="4"/>
    <x v="2"/>
    <x v="2"/>
    <n v="55"/>
    <n v="0"/>
  </r>
  <r>
    <n v="2487"/>
    <x v="12"/>
    <x v="0"/>
    <s v="Jeans"/>
    <x v="0"/>
    <n v="58"/>
    <s v="Texas"/>
    <s v="L"/>
    <s v="Magenta"/>
    <x v="1"/>
    <x v="14"/>
    <s v="No"/>
    <x v="5"/>
    <x v="1"/>
    <x v="1"/>
    <x v="49"/>
    <x v="2"/>
    <x v="0"/>
    <x v="0"/>
    <n v="58"/>
    <n v="0"/>
  </r>
  <r>
    <n v="2488"/>
    <x v="9"/>
    <x v="0"/>
    <s v="Boots"/>
    <x v="1"/>
    <n v="21"/>
    <s v="Montana"/>
    <s v="L"/>
    <s v="Violet"/>
    <x v="1"/>
    <x v="21"/>
    <s v="No"/>
    <x v="2"/>
    <x v="1"/>
    <x v="1"/>
    <x v="20"/>
    <x v="3"/>
    <x v="4"/>
    <x v="0"/>
    <n v="21"/>
    <n v="0"/>
  </r>
  <r>
    <n v="2489"/>
    <x v="19"/>
    <x v="0"/>
    <s v="Handbag"/>
    <x v="3"/>
    <n v="82"/>
    <s v="New Hampshire"/>
    <s v="XL"/>
    <s v="Charcoal"/>
    <x v="2"/>
    <x v="14"/>
    <s v="No"/>
    <x v="0"/>
    <x v="1"/>
    <x v="1"/>
    <x v="48"/>
    <x v="3"/>
    <x v="5"/>
    <x v="0"/>
    <n v="82"/>
    <n v="0"/>
  </r>
  <r>
    <n v="2490"/>
    <x v="17"/>
    <x v="0"/>
    <s v="Coat"/>
    <x v="2"/>
    <n v="34"/>
    <s v="South Dakota"/>
    <s v="M"/>
    <s v="Green"/>
    <x v="0"/>
    <x v="20"/>
    <s v="No"/>
    <x v="0"/>
    <x v="1"/>
    <x v="1"/>
    <x v="16"/>
    <x v="0"/>
    <x v="3"/>
    <x v="0"/>
    <n v="34"/>
    <n v="0"/>
  </r>
  <r>
    <n v="2491"/>
    <x v="16"/>
    <x v="0"/>
    <s v="Blouse"/>
    <x v="0"/>
    <n v="78"/>
    <s v="Montana"/>
    <s v="M"/>
    <s v="Gray"/>
    <x v="1"/>
    <x v="17"/>
    <s v="No"/>
    <x v="1"/>
    <x v="1"/>
    <x v="1"/>
    <x v="36"/>
    <x v="1"/>
    <x v="6"/>
    <x v="0"/>
    <n v="78"/>
    <n v="0"/>
  </r>
  <r>
    <n v="2492"/>
    <x v="6"/>
    <x v="0"/>
    <s v="Handbag"/>
    <x v="3"/>
    <n v="47"/>
    <s v="North Carolina"/>
    <s v="M"/>
    <s v="Magenta"/>
    <x v="1"/>
    <x v="25"/>
    <s v="No"/>
    <x v="0"/>
    <x v="1"/>
    <x v="1"/>
    <x v="28"/>
    <x v="4"/>
    <x v="5"/>
    <x v="0"/>
    <n v="47"/>
    <n v="0"/>
  </r>
  <r>
    <n v="2493"/>
    <x v="2"/>
    <x v="0"/>
    <s v="Sunglasses"/>
    <x v="3"/>
    <n v="96"/>
    <s v="South Dakota"/>
    <s v="S"/>
    <s v="Silver"/>
    <x v="2"/>
    <x v="7"/>
    <s v="No"/>
    <x v="2"/>
    <x v="1"/>
    <x v="1"/>
    <x v="11"/>
    <x v="4"/>
    <x v="4"/>
    <x v="2"/>
    <n v="96"/>
    <n v="0"/>
  </r>
  <r>
    <n v="2494"/>
    <x v="3"/>
    <x v="0"/>
    <s v="Socks"/>
    <x v="0"/>
    <n v="23"/>
    <s v="Maine"/>
    <s v="S"/>
    <s v="Beige"/>
    <x v="3"/>
    <x v="6"/>
    <s v="No"/>
    <x v="4"/>
    <x v="1"/>
    <x v="1"/>
    <x v="49"/>
    <x v="0"/>
    <x v="6"/>
    <x v="1"/>
    <n v="23"/>
    <n v="0"/>
  </r>
  <r>
    <n v="2495"/>
    <x v="32"/>
    <x v="0"/>
    <s v="Shoes"/>
    <x v="1"/>
    <n v="27"/>
    <s v="Oklahoma"/>
    <s v="S"/>
    <s v="Peach"/>
    <x v="0"/>
    <x v="5"/>
    <s v="No"/>
    <x v="5"/>
    <x v="1"/>
    <x v="1"/>
    <x v="8"/>
    <x v="5"/>
    <x v="2"/>
    <x v="2"/>
    <n v="27"/>
    <n v="0"/>
  </r>
  <r>
    <n v="2496"/>
    <x v="37"/>
    <x v="0"/>
    <s v="Backpack"/>
    <x v="3"/>
    <n v="37"/>
    <s v="Nebraska"/>
    <s v="XL"/>
    <s v="Orange"/>
    <x v="1"/>
    <x v="0"/>
    <s v="No"/>
    <x v="1"/>
    <x v="1"/>
    <x v="1"/>
    <x v="11"/>
    <x v="2"/>
    <x v="6"/>
    <x v="2"/>
    <n v="37"/>
    <n v="0"/>
  </r>
  <r>
    <n v="2497"/>
    <x v="29"/>
    <x v="0"/>
    <s v="Scarf"/>
    <x v="3"/>
    <n v="79"/>
    <s v="Illinois"/>
    <s v="S"/>
    <s v="Yellow"/>
    <x v="2"/>
    <x v="4"/>
    <s v="No"/>
    <x v="5"/>
    <x v="1"/>
    <x v="1"/>
    <x v="10"/>
    <x v="2"/>
    <x v="1"/>
    <x v="0"/>
    <n v="79"/>
    <n v="0"/>
  </r>
  <r>
    <n v="2498"/>
    <x v="25"/>
    <x v="0"/>
    <s v="Backpack"/>
    <x v="3"/>
    <n v="40"/>
    <s v="Colorado"/>
    <s v="M"/>
    <s v="Violet"/>
    <x v="2"/>
    <x v="19"/>
    <s v="No"/>
    <x v="3"/>
    <x v="1"/>
    <x v="1"/>
    <x v="40"/>
    <x v="4"/>
    <x v="2"/>
    <x v="2"/>
    <n v="40"/>
    <n v="0"/>
  </r>
  <r>
    <n v="2499"/>
    <x v="20"/>
    <x v="0"/>
    <s v="Coat"/>
    <x v="2"/>
    <n v="39"/>
    <s v="Massachusetts"/>
    <s v="S"/>
    <s v="Green"/>
    <x v="3"/>
    <x v="5"/>
    <s v="No"/>
    <x v="2"/>
    <x v="1"/>
    <x v="1"/>
    <x v="25"/>
    <x v="1"/>
    <x v="0"/>
    <x v="1"/>
    <n v="39"/>
    <n v="0"/>
  </r>
  <r>
    <n v="2500"/>
    <x v="16"/>
    <x v="0"/>
    <s v="Hoodie"/>
    <x v="0"/>
    <n v="73"/>
    <s v="Louisiana"/>
    <s v="L"/>
    <s v="Pink"/>
    <x v="2"/>
    <x v="0"/>
    <s v="No"/>
    <x v="2"/>
    <x v="1"/>
    <x v="1"/>
    <x v="1"/>
    <x v="1"/>
    <x v="3"/>
    <x v="0"/>
    <n v="73"/>
    <n v="0"/>
  </r>
  <r>
    <n v="2501"/>
    <x v="35"/>
    <x v="0"/>
    <s v="Gloves"/>
    <x v="3"/>
    <n v="84"/>
    <s v="Massachusetts"/>
    <s v="M"/>
    <s v="Violet"/>
    <x v="3"/>
    <x v="3"/>
    <s v="No"/>
    <x v="5"/>
    <x v="1"/>
    <x v="1"/>
    <x v="18"/>
    <x v="1"/>
    <x v="4"/>
    <x v="0"/>
    <n v="84"/>
    <n v="0"/>
  </r>
  <r>
    <n v="2502"/>
    <x v="34"/>
    <x v="0"/>
    <s v="Shorts"/>
    <x v="0"/>
    <n v="94"/>
    <s v="West Virginia"/>
    <s v="M"/>
    <s v="Violet"/>
    <x v="3"/>
    <x v="12"/>
    <s v="No"/>
    <x v="1"/>
    <x v="1"/>
    <x v="1"/>
    <x v="48"/>
    <x v="0"/>
    <x v="4"/>
    <x v="2"/>
    <n v="94"/>
    <n v="0"/>
  </r>
  <r>
    <n v="2503"/>
    <x v="5"/>
    <x v="0"/>
    <s v="Skirt"/>
    <x v="0"/>
    <n v="47"/>
    <s v="Idaho"/>
    <s v="L"/>
    <s v="Pink"/>
    <x v="1"/>
    <x v="7"/>
    <s v="No"/>
    <x v="3"/>
    <x v="1"/>
    <x v="1"/>
    <x v="14"/>
    <x v="3"/>
    <x v="6"/>
    <x v="2"/>
    <n v="47"/>
    <n v="0"/>
  </r>
  <r>
    <n v="2504"/>
    <x v="28"/>
    <x v="0"/>
    <s v="Boots"/>
    <x v="1"/>
    <n v="77"/>
    <s v="Ohio"/>
    <s v="M"/>
    <s v="Violet"/>
    <x v="2"/>
    <x v="25"/>
    <s v="No"/>
    <x v="5"/>
    <x v="1"/>
    <x v="1"/>
    <x v="36"/>
    <x v="5"/>
    <x v="4"/>
    <x v="0"/>
    <n v="77"/>
    <n v="0"/>
  </r>
  <r>
    <n v="2505"/>
    <x v="19"/>
    <x v="0"/>
    <s v="Shorts"/>
    <x v="0"/>
    <n v="94"/>
    <s v="Rhode Island"/>
    <s v="M"/>
    <s v="Turquoise"/>
    <x v="0"/>
    <x v="17"/>
    <s v="No"/>
    <x v="5"/>
    <x v="1"/>
    <x v="1"/>
    <x v="4"/>
    <x v="1"/>
    <x v="4"/>
    <x v="0"/>
    <n v="94"/>
    <n v="0"/>
  </r>
  <r>
    <n v="2506"/>
    <x v="7"/>
    <x v="0"/>
    <s v="Handbag"/>
    <x v="3"/>
    <n v="75"/>
    <s v="Illinois"/>
    <s v="M"/>
    <s v="Cyan"/>
    <x v="2"/>
    <x v="1"/>
    <s v="No"/>
    <x v="0"/>
    <x v="1"/>
    <x v="1"/>
    <x v="34"/>
    <x v="3"/>
    <x v="3"/>
    <x v="2"/>
    <n v="75"/>
    <n v="0"/>
  </r>
  <r>
    <n v="2507"/>
    <x v="9"/>
    <x v="0"/>
    <s v="Dress"/>
    <x v="0"/>
    <n v="82"/>
    <s v="New York"/>
    <s v="XL"/>
    <s v="Orange"/>
    <x v="1"/>
    <x v="14"/>
    <s v="No"/>
    <x v="1"/>
    <x v="1"/>
    <x v="1"/>
    <x v="5"/>
    <x v="0"/>
    <x v="2"/>
    <x v="0"/>
    <n v="82"/>
    <n v="0"/>
  </r>
  <r>
    <n v="2508"/>
    <x v="44"/>
    <x v="0"/>
    <s v="Shoes"/>
    <x v="1"/>
    <n v="36"/>
    <s v="Louisiana"/>
    <s v="M"/>
    <s v="Cyan"/>
    <x v="3"/>
    <x v="3"/>
    <s v="No"/>
    <x v="5"/>
    <x v="1"/>
    <x v="1"/>
    <x v="18"/>
    <x v="2"/>
    <x v="6"/>
    <x v="0"/>
    <n v="36"/>
    <n v="0"/>
  </r>
  <r>
    <n v="2509"/>
    <x v="51"/>
    <x v="0"/>
    <s v="Sneakers"/>
    <x v="1"/>
    <n v="90"/>
    <s v="California"/>
    <s v="XL"/>
    <s v="Indigo"/>
    <x v="1"/>
    <x v="0"/>
    <s v="No"/>
    <x v="4"/>
    <x v="1"/>
    <x v="1"/>
    <x v="36"/>
    <x v="5"/>
    <x v="4"/>
    <x v="1"/>
    <n v="90"/>
    <n v="0"/>
  </r>
  <r>
    <n v="2510"/>
    <x v="1"/>
    <x v="0"/>
    <s v="Socks"/>
    <x v="0"/>
    <n v="48"/>
    <s v="Washington"/>
    <s v="M"/>
    <s v="Black"/>
    <x v="1"/>
    <x v="14"/>
    <s v="No"/>
    <x v="1"/>
    <x v="1"/>
    <x v="1"/>
    <x v="44"/>
    <x v="4"/>
    <x v="3"/>
    <x v="1"/>
    <n v="48"/>
    <n v="0"/>
  </r>
  <r>
    <n v="2511"/>
    <x v="37"/>
    <x v="0"/>
    <s v="Jacket"/>
    <x v="2"/>
    <n v="42"/>
    <s v="South Dakota"/>
    <s v="L"/>
    <s v="Purple"/>
    <x v="0"/>
    <x v="14"/>
    <s v="No"/>
    <x v="3"/>
    <x v="1"/>
    <x v="1"/>
    <x v="26"/>
    <x v="2"/>
    <x v="1"/>
    <x v="2"/>
    <n v="42"/>
    <n v="0"/>
  </r>
  <r>
    <n v="2512"/>
    <x v="22"/>
    <x v="0"/>
    <s v="Backpack"/>
    <x v="3"/>
    <n v="33"/>
    <s v="Idaho"/>
    <s v="M"/>
    <s v="Cyan"/>
    <x v="2"/>
    <x v="2"/>
    <s v="No"/>
    <x v="5"/>
    <x v="1"/>
    <x v="1"/>
    <x v="43"/>
    <x v="3"/>
    <x v="3"/>
    <x v="0"/>
    <n v="33"/>
    <n v="0"/>
  </r>
  <r>
    <n v="2513"/>
    <x v="2"/>
    <x v="0"/>
    <s v="Socks"/>
    <x v="0"/>
    <n v="63"/>
    <s v="North Dakota"/>
    <s v="M"/>
    <s v="Green"/>
    <x v="2"/>
    <x v="8"/>
    <s v="No"/>
    <x v="1"/>
    <x v="1"/>
    <x v="1"/>
    <x v="41"/>
    <x v="2"/>
    <x v="5"/>
    <x v="2"/>
    <n v="63"/>
    <n v="0"/>
  </r>
  <r>
    <n v="2514"/>
    <x v="28"/>
    <x v="0"/>
    <s v="Handbag"/>
    <x v="3"/>
    <n v="53"/>
    <s v="Washington"/>
    <s v="L"/>
    <s v="Teal"/>
    <x v="0"/>
    <x v="1"/>
    <s v="No"/>
    <x v="4"/>
    <x v="1"/>
    <x v="1"/>
    <x v="38"/>
    <x v="1"/>
    <x v="2"/>
    <x v="0"/>
    <n v="53"/>
    <n v="0"/>
  </r>
  <r>
    <n v="2515"/>
    <x v="32"/>
    <x v="0"/>
    <s v="Hat"/>
    <x v="3"/>
    <n v="37"/>
    <s v="Alaska"/>
    <s v="L"/>
    <s v="Teal"/>
    <x v="1"/>
    <x v="6"/>
    <s v="No"/>
    <x v="1"/>
    <x v="1"/>
    <x v="1"/>
    <x v="24"/>
    <x v="3"/>
    <x v="4"/>
    <x v="2"/>
    <n v="37"/>
    <n v="0"/>
  </r>
  <r>
    <n v="2516"/>
    <x v="43"/>
    <x v="0"/>
    <s v="Blouse"/>
    <x v="0"/>
    <n v="92"/>
    <s v="Kansas"/>
    <s v="M"/>
    <s v="Magenta"/>
    <x v="2"/>
    <x v="19"/>
    <s v="No"/>
    <x v="4"/>
    <x v="1"/>
    <x v="1"/>
    <x v="23"/>
    <x v="1"/>
    <x v="5"/>
    <x v="2"/>
    <n v="92"/>
    <n v="0"/>
  </r>
  <r>
    <n v="2517"/>
    <x v="5"/>
    <x v="0"/>
    <s v="Shorts"/>
    <x v="0"/>
    <n v="73"/>
    <s v="Utah"/>
    <s v="XL"/>
    <s v="Brown"/>
    <x v="1"/>
    <x v="12"/>
    <s v="No"/>
    <x v="3"/>
    <x v="1"/>
    <x v="1"/>
    <x v="13"/>
    <x v="5"/>
    <x v="3"/>
    <x v="2"/>
    <n v="73"/>
    <n v="0"/>
  </r>
  <r>
    <n v="2518"/>
    <x v="14"/>
    <x v="0"/>
    <s v="Shirt"/>
    <x v="0"/>
    <n v="38"/>
    <s v="Wyoming"/>
    <s v="L"/>
    <s v="Orange"/>
    <x v="1"/>
    <x v="3"/>
    <s v="No"/>
    <x v="3"/>
    <x v="1"/>
    <x v="1"/>
    <x v="9"/>
    <x v="0"/>
    <x v="2"/>
    <x v="0"/>
    <n v="38"/>
    <n v="0"/>
  </r>
  <r>
    <n v="2519"/>
    <x v="30"/>
    <x v="0"/>
    <s v="Boots"/>
    <x v="1"/>
    <n v="51"/>
    <s v="Maine"/>
    <s v="XL"/>
    <s v="Blue"/>
    <x v="3"/>
    <x v="17"/>
    <s v="No"/>
    <x v="5"/>
    <x v="1"/>
    <x v="1"/>
    <x v="4"/>
    <x v="0"/>
    <x v="2"/>
    <x v="1"/>
    <n v="51"/>
    <n v="0"/>
  </r>
  <r>
    <n v="2520"/>
    <x v="37"/>
    <x v="0"/>
    <s v="Jacket"/>
    <x v="2"/>
    <n v="90"/>
    <s v="Michigan"/>
    <s v="L"/>
    <s v="Magenta"/>
    <x v="1"/>
    <x v="8"/>
    <s v="No"/>
    <x v="3"/>
    <x v="1"/>
    <x v="1"/>
    <x v="33"/>
    <x v="2"/>
    <x v="3"/>
    <x v="2"/>
    <n v="90"/>
    <n v="0"/>
  </r>
  <r>
    <n v="2521"/>
    <x v="14"/>
    <x v="0"/>
    <s v="Jacket"/>
    <x v="2"/>
    <n v="56"/>
    <s v="Illinois"/>
    <s v="L"/>
    <s v="Magenta"/>
    <x v="2"/>
    <x v="0"/>
    <s v="No"/>
    <x v="2"/>
    <x v="1"/>
    <x v="1"/>
    <x v="20"/>
    <x v="1"/>
    <x v="6"/>
    <x v="0"/>
    <n v="56"/>
    <n v="0"/>
  </r>
  <r>
    <n v="2522"/>
    <x v="26"/>
    <x v="0"/>
    <s v="Handbag"/>
    <x v="3"/>
    <n v="33"/>
    <s v="Minnesota"/>
    <s v="M"/>
    <s v="Magenta"/>
    <x v="3"/>
    <x v="14"/>
    <s v="No"/>
    <x v="3"/>
    <x v="1"/>
    <x v="1"/>
    <x v="27"/>
    <x v="3"/>
    <x v="6"/>
    <x v="2"/>
    <n v="33"/>
    <n v="0"/>
  </r>
  <r>
    <n v="2523"/>
    <x v="30"/>
    <x v="0"/>
    <s v="Belt"/>
    <x v="3"/>
    <n v="53"/>
    <s v="Massachusetts"/>
    <s v="S"/>
    <s v="Olive"/>
    <x v="0"/>
    <x v="25"/>
    <s v="No"/>
    <x v="4"/>
    <x v="1"/>
    <x v="1"/>
    <x v="41"/>
    <x v="5"/>
    <x v="1"/>
    <x v="1"/>
    <n v="53"/>
    <n v="0"/>
  </r>
  <r>
    <n v="2524"/>
    <x v="49"/>
    <x v="0"/>
    <s v="Handbag"/>
    <x v="3"/>
    <n v="24"/>
    <s v="New Jersey"/>
    <s v="S"/>
    <s v="Cyan"/>
    <x v="1"/>
    <x v="23"/>
    <s v="No"/>
    <x v="0"/>
    <x v="1"/>
    <x v="1"/>
    <x v="33"/>
    <x v="4"/>
    <x v="2"/>
    <x v="2"/>
    <n v="24"/>
    <n v="0"/>
  </r>
  <r>
    <n v="2525"/>
    <x v="52"/>
    <x v="0"/>
    <s v="Coat"/>
    <x v="2"/>
    <n v="59"/>
    <s v="Kansas"/>
    <s v="M"/>
    <s v="Purple"/>
    <x v="1"/>
    <x v="18"/>
    <s v="No"/>
    <x v="0"/>
    <x v="1"/>
    <x v="1"/>
    <x v="2"/>
    <x v="2"/>
    <x v="3"/>
    <x v="0"/>
    <n v="59"/>
    <n v="0"/>
  </r>
  <r>
    <n v="2526"/>
    <x v="31"/>
    <x v="0"/>
    <s v="Sweater"/>
    <x v="0"/>
    <n v="72"/>
    <s v="Kentucky"/>
    <s v="M"/>
    <s v="Purple"/>
    <x v="0"/>
    <x v="19"/>
    <s v="No"/>
    <x v="3"/>
    <x v="1"/>
    <x v="1"/>
    <x v="41"/>
    <x v="3"/>
    <x v="1"/>
    <x v="2"/>
    <n v="72"/>
    <n v="0"/>
  </r>
  <r>
    <n v="2527"/>
    <x v="36"/>
    <x v="0"/>
    <s v="Shorts"/>
    <x v="0"/>
    <n v="28"/>
    <s v="Rhode Island"/>
    <s v="S"/>
    <s v="Peach"/>
    <x v="1"/>
    <x v="23"/>
    <s v="No"/>
    <x v="0"/>
    <x v="1"/>
    <x v="1"/>
    <x v="48"/>
    <x v="3"/>
    <x v="4"/>
    <x v="2"/>
    <n v="28"/>
    <n v="0"/>
  </r>
  <r>
    <n v="2528"/>
    <x v="1"/>
    <x v="0"/>
    <s v="Pants"/>
    <x v="0"/>
    <n v="36"/>
    <s v="Illinois"/>
    <s v="M"/>
    <s v="Gold"/>
    <x v="3"/>
    <x v="15"/>
    <s v="No"/>
    <x v="0"/>
    <x v="1"/>
    <x v="1"/>
    <x v="42"/>
    <x v="4"/>
    <x v="6"/>
    <x v="1"/>
    <n v="36"/>
    <n v="0"/>
  </r>
  <r>
    <n v="2529"/>
    <x v="16"/>
    <x v="0"/>
    <s v="Jewelry"/>
    <x v="3"/>
    <n v="47"/>
    <s v="Alabama"/>
    <s v="S"/>
    <s v="Peach"/>
    <x v="3"/>
    <x v="10"/>
    <s v="No"/>
    <x v="4"/>
    <x v="1"/>
    <x v="1"/>
    <x v="4"/>
    <x v="5"/>
    <x v="5"/>
    <x v="0"/>
    <n v="47"/>
    <n v="0"/>
  </r>
  <r>
    <n v="2530"/>
    <x v="50"/>
    <x v="0"/>
    <s v="Gloves"/>
    <x v="3"/>
    <n v="62"/>
    <s v="Tennessee"/>
    <s v="M"/>
    <s v="Magenta"/>
    <x v="1"/>
    <x v="10"/>
    <s v="No"/>
    <x v="2"/>
    <x v="1"/>
    <x v="1"/>
    <x v="26"/>
    <x v="4"/>
    <x v="5"/>
    <x v="2"/>
    <n v="62"/>
    <n v="0"/>
  </r>
  <r>
    <n v="2531"/>
    <x v="15"/>
    <x v="0"/>
    <s v="Skirt"/>
    <x v="0"/>
    <n v="98"/>
    <s v="Massachusetts"/>
    <s v="S"/>
    <s v="Cyan"/>
    <x v="1"/>
    <x v="15"/>
    <s v="No"/>
    <x v="1"/>
    <x v="1"/>
    <x v="1"/>
    <x v="40"/>
    <x v="5"/>
    <x v="1"/>
    <x v="1"/>
    <n v="98"/>
    <n v="0"/>
  </r>
  <r>
    <n v="2532"/>
    <x v="49"/>
    <x v="0"/>
    <s v="Sandals"/>
    <x v="1"/>
    <n v="28"/>
    <s v="Texas"/>
    <s v="M"/>
    <s v="Violet"/>
    <x v="2"/>
    <x v="12"/>
    <s v="No"/>
    <x v="1"/>
    <x v="1"/>
    <x v="1"/>
    <x v="22"/>
    <x v="1"/>
    <x v="6"/>
    <x v="2"/>
    <n v="28"/>
    <n v="0"/>
  </r>
  <r>
    <n v="2533"/>
    <x v="0"/>
    <x v="0"/>
    <s v="Socks"/>
    <x v="0"/>
    <n v="86"/>
    <s v="Nebraska"/>
    <s v="S"/>
    <s v="Charcoal"/>
    <x v="2"/>
    <x v="5"/>
    <s v="No"/>
    <x v="2"/>
    <x v="1"/>
    <x v="1"/>
    <x v="7"/>
    <x v="5"/>
    <x v="1"/>
    <x v="0"/>
    <n v="86"/>
    <n v="0"/>
  </r>
  <r>
    <n v="2534"/>
    <x v="17"/>
    <x v="0"/>
    <s v="Jewelry"/>
    <x v="3"/>
    <n v="46"/>
    <s v="Pennsylvania"/>
    <s v="S"/>
    <s v="Blue"/>
    <x v="2"/>
    <x v="0"/>
    <s v="No"/>
    <x v="3"/>
    <x v="1"/>
    <x v="1"/>
    <x v="3"/>
    <x v="1"/>
    <x v="4"/>
    <x v="0"/>
    <n v="46"/>
    <n v="0"/>
  </r>
  <r>
    <n v="2535"/>
    <x v="38"/>
    <x v="0"/>
    <s v="Sunglasses"/>
    <x v="3"/>
    <n v="42"/>
    <s v="Virginia"/>
    <s v="XL"/>
    <s v="Red"/>
    <x v="3"/>
    <x v="4"/>
    <s v="No"/>
    <x v="1"/>
    <x v="1"/>
    <x v="1"/>
    <x v="17"/>
    <x v="1"/>
    <x v="1"/>
    <x v="2"/>
    <n v="42"/>
    <n v="0"/>
  </r>
  <r>
    <n v="2536"/>
    <x v="36"/>
    <x v="0"/>
    <s v="Coat"/>
    <x v="2"/>
    <n v="80"/>
    <s v="Vermont"/>
    <s v="S"/>
    <s v="Purple"/>
    <x v="0"/>
    <x v="20"/>
    <s v="No"/>
    <x v="0"/>
    <x v="1"/>
    <x v="1"/>
    <x v="30"/>
    <x v="4"/>
    <x v="0"/>
    <x v="2"/>
    <n v="80"/>
    <n v="0"/>
  </r>
  <r>
    <n v="2537"/>
    <x v="47"/>
    <x v="0"/>
    <s v="Belt"/>
    <x v="3"/>
    <n v="39"/>
    <s v="Oklahoma"/>
    <s v="L"/>
    <s v="Gray"/>
    <x v="1"/>
    <x v="8"/>
    <s v="No"/>
    <x v="0"/>
    <x v="1"/>
    <x v="1"/>
    <x v="24"/>
    <x v="3"/>
    <x v="6"/>
    <x v="0"/>
    <n v="39"/>
    <n v="0"/>
  </r>
  <r>
    <n v="2538"/>
    <x v="42"/>
    <x v="0"/>
    <s v="Coat"/>
    <x v="2"/>
    <n v="49"/>
    <s v="Maine"/>
    <s v="M"/>
    <s v="Purple"/>
    <x v="2"/>
    <x v="7"/>
    <s v="No"/>
    <x v="4"/>
    <x v="1"/>
    <x v="1"/>
    <x v="48"/>
    <x v="3"/>
    <x v="0"/>
    <x v="2"/>
    <n v="49"/>
    <n v="0"/>
  </r>
  <r>
    <n v="2539"/>
    <x v="20"/>
    <x v="0"/>
    <s v="Scarf"/>
    <x v="3"/>
    <n v="32"/>
    <s v="New Jersey"/>
    <s v="M"/>
    <s v="Silver"/>
    <x v="2"/>
    <x v="19"/>
    <s v="No"/>
    <x v="2"/>
    <x v="1"/>
    <x v="1"/>
    <x v="42"/>
    <x v="2"/>
    <x v="4"/>
    <x v="1"/>
    <n v="32"/>
    <n v="0"/>
  </r>
  <r>
    <n v="2540"/>
    <x v="23"/>
    <x v="0"/>
    <s v="Sandals"/>
    <x v="1"/>
    <n v="73"/>
    <s v="Massachusetts"/>
    <s v="M"/>
    <s v="Purple"/>
    <x v="3"/>
    <x v="7"/>
    <s v="No"/>
    <x v="2"/>
    <x v="1"/>
    <x v="1"/>
    <x v="37"/>
    <x v="1"/>
    <x v="4"/>
    <x v="2"/>
    <n v="73"/>
    <n v="0"/>
  </r>
  <r>
    <n v="2541"/>
    <x v="41"/>
    <x v="0"/>
    <s v="Belt"/>
    <x v="3"/>
    <n v="42"/>
    <s v="New Jersey"/>
    <s v="M"/>
    <s v="Charcoal"/>
    <x v="2"/>
    <x v="20"/>
    <s v="No"/>
    <x v="1"/>
    <x v="1"/>
    <x v="1"/>
    <x v="47"/>
    <x v="5"/>
    <x v="3"/>
    <x v="1"/>
    <n v="42"/>
    <n v="0"/>
  </r>
  <r>
    <n v="2542"/>
    <x v="23"/>
    <x v="0"/>
    <s v="Scarf"/>
    <x v="3"/>
    <n v="58"/>
    <s v="Washington"/>
    <s v="M"/>
    <s v="Silver"/>
    <x v="1"/>
    <x v="2"/>
    <s v="No"/>
    <x v="2"/>
    <x v="1"/>
    <x v="1"/>
    <x v="21"/>
    <x v="0"/>
    <x v="6"/>
    <x v="2"/>
    <n v="58"/>
    <n v="0"/>
  </r>
  <r>
    <n v="2543"/>
    <x v="12"/>
    <x v="0"/>
    <s v="Jewelry"/>
    <x v="3"/>
    <n v="22"/>
    <s v="Arkansas"/>
    <s v="M"/>
    <s v="White"/>
    <x v="0"/>
    <x v="18"/>
    <s v="No"/>
    <x v="0"/>
    <x v="1"/>
    <x v="1"/>
    <x v="46"/>
    <x v="3"/>
    <x v="2"/>
    <x v="0"/>
    <n v="22"/>
    <n v="0"/>
  </r>
  <r>
    <n v="2544"/>
    <x v="7"/>
    <x v="0"/>
    <s v="Scarf"/>
    <x v="3"/>
    <n v="56"/>
    <s v="West Virginia"/>
    <s v="L"/>
    <s v="Peach"/>
    <x v="1"/>
    <x v="2"/>
    <s v="No"/>
    <x v="2"/>
    <x v="1"/>
    <x v="1"/>
    <x v="48"/>
    <x v="3"/>
    <x v="4"/>
    <x v="2"/>
    <n v="56"/>
    <n v="0"/>
  </r>
  <r>
    <n v="2545"/>
    <x v="5"/>
    <x v="0"/>
    <s v="Pants"/>
    <x v="0"/>
    <n v="70"/>
    <s v="Delaware"/>
    <s v="M"/>
    <s v="Red"/>
    <x v="1"/>
    <x v="25"/>
    <s v="No"/>
    <x v="2"/>
    <x v="1"/>
    <x v="1"/>
    <x v="30"/>
    <x v="0"/>
    <x v="3"/>
    <x v="2"/>
    <n v="70"/>
    <n v="0"/>
  </r>
  <r>
    <n v="2546"/>
    <x v="21"/>
    <x v="0"/>
    <s v="Shoes"/>
    <x v="1"/>
    <n v="50"/>
    <s v="Texas"/>
    <s v="L"/>
    <s v="Olive"/>
    <x v="1"/>
    <x v="20"/>
    <s v="No"/>
    <x v="1"/>
    <x v="1"/>
    <x v="1"/>
    <x v="9"/>
    <x v="5"/>
    <x v="2"/>
    <x v="2"/>
    <n v="50"/>
    <n v="0"/>
  </r>
  <r>
    <n v="2547"/>
    <x v="6"/>
    <x v="0"/>
    <s v="Boots"/>
    <x v="1"/>
    <n v="21"/>
    <s v="Texas"/>
    <s v="L"/>
    <s v="Gray"/>
    <x v="2"/>
    <x v="21"/>
    <s v="No"/>
    <x v="0"/>
    <x v="1"/>
    <x v="1"/>
    <x v="7"/>
    <x v="2"/>
    <x v="3"/>
    <x v="0"/>
    <n v="21"/>
    <n v="0"/>
  </r>
  <r>
    <n v="2548"/>
    <x v="36"/>
    <x v="0"/>
    <s v="Jacket"/>
    <x v="2"/>
    <n v="97"/>
    <s v="Mississippi"/>
    <s v="M"/>
    <s v="Beige"/>
    <x v="2"/>
    <x v="4"/>
    <s v="No"/>
    <x v="4"/>
    <x v="1"/>
    <x v="1"/>
    <x v="20"/>
    <x v="1"/>
    <x v="1"/>
    <x v="2"/>
    <n v="97"/>
    <n v="0"/>
  </r>
  <r>
    <n v="2549"/>
    <x v="32"/>
    <x v="0"/>
    <s v="Backpack"/>
    <x v="3"/>
    <n v="63"/>
    <s v="Texas"/>
    <s v="L"/>
    <s v="Pink"/>
    <x v="0"/>
    <x v="22"/>
    <s v="No"/>
    <x v="3"/>
    <x v="1"/>
    <x v="1"/>
    <x v="11"/>
    <x v="2"/>
    <x v="5"/>
    <x v="2"/>
    <n v="63"/>
    <n v="0"/>
  </r>
  <r>
    <n v="2550"/>
    <x v="38"/>
    <x v="0"/>
    <s v="Jacket"/>
    <x v="2"/>
    <n v="60"/>
    <s v="Virginia"/>
    <s v="M"/>
    <s v="Red"/>
    <x v="3"/>
    <x v="2"/>
    <s v="No"/>
    <x v="3"/>
    <x v="1"/>
    <x v="1"/>
    <x v="47"/>
    <x v="5"/>
    <x v="6"/>
    <x v="2"/>
    <n v="60"/>
    <n v="0"/>
  </r>
  <r>
    <n v="2551"/>
    <x v="10"/>
    <x v="0"/>
    <s v="Boots"/>
    <x v="1"/>
    <n v="52"/>
    <s v="New Hampshire"/>
    <s v="XL"/>
    <s v="Peach"/>
    <x v="3"/>
    <x v="21"/>
    <s v="No"/>
    <x v="5"/>
    <x v="1"/>
    <x v="1"/>
    <x v="48"/>
    <x v="5"/>
    <x v="0"/>
    <x v="0"/>
    <n v="52"/>
    <n v="0"/>
  </r>
  <r>
    <n v="2552"/>
    <x v="26"/>
    <x v="0"/>
    <s v="Shoes"/>
    <x v="1"/>
    <n v="32"/>
    <s v="Minnesota"/>
    <s v="M"/>
    <s v="Maroon"/>
    <x v="0"/>
    <x v="7"/>
    <s v="No"/>
    <x v="2"/>
    <x v="1"/>
    <x v="1"/>
    <x v="19"/>
    <x v="5"/>
    <x v="2"/>
    <x v="2"/>
    <n v="32"/>
    <n v="0"/>
  </r>
  <r>
    <n v="2553"/>
    <x v="12"/>
    <x v="0"/>
    <s v="Belt"/>
    <x v="3"/>
    <n v="48"/>
    <s v="Maryland"/>
    <s v="XL"/>
    <s v="Purple"/>
    <x v="1"/>
    <x v="4"/>
    <s v="No"/>
    <x v="4"/>
    <x v="1"/>
    <x v="1"/>
    <x v="21"/>
    <x v="2"/>
    <x v="2"/>
    <x v="0"/>
    <n v="48"/>
    <n v="0"/>
  </r>
  <r>
    <n v="2554"/>
    <x v="28"/>
    <x v="0"/>
    <s v="Jewelry"/>
    <x v="3"/>
    <n v="25"/>
    <s v="Vermont"/>
    <s v="M"/>
    <s v="Maroon"/>
    <x v="2"/>
    <x v="9"/>
    <s v="No"/>
    <x v="5"/>
    <x v="1"/>
    <x v="1"/>
    <x v="40"/>
    <x v="0"/>
    <x v="6"/>
    <x v="0"/>
    <n v="25"/>
    <n v="0"/>
  </r>
  <r>
    <n v="2555"/>
    <x v="47"/>
    <x v="0"/>
    <s v="Jewelry"/>
    <x v="3"/>
    <n v="68"/>
    <s v="Kansas"/>
    <s v="M"/>
    <s v="Gray"/>
    <x v="2"/>
    <x v="24"/>
    <s v="No"/>
    <x v="5"/>
    <x v="1"/>
    <x v="1"/>
    <x v="3"/>
    <x v="5"/>
    <x v="4"/>
    <x v="0"/>
    <n v="68"/>
    <n v="0"/>
  </r>
  <r>
    <n v="2556"/>
    <x v="41"/>
    <x v="0"/>
    <s v="Pants"/>
    <x v="0"/>
    <n v="74"/>
    <s v="Idaho"/>
    <s v="M"/>
    <s v="Gray"/>
    <x v="3"/>
    <x v="1"/>
    <s v="No"/>
    <x v="3"/>
    <x v="1"/>
    <x v="1"/>
    <x v="2"/>
    <x v="2"/>
    <x v="1"/>
    <x v="1"/>
    <n v="74"/>
    <n v="0"/>
  </r>
  <r>
    <n v="2557"/>
    <x v="41"/>
    <x v="0"/>
    <s v="T-shirt"/>
    <x v="0"/>
    <n v="88"/>
    <s v="Montana"/>
    <s v="XL"/>
    <s v="Magenta"/>
    <x v="3"/>
    <x v="0"/>
    <s v="No"/>
    <x v="3"/>
    <x v="1"/>
    <x v="1"/>
    <x v="7"/>
    <x v="4"/>
    <x v="3"/>
    <x v="1"/>
    <n v="88"/>
    <n v="0"/>
  </r>
  <r>
    <n v="2558"/>
    <x v="27"/>
    <x v="0"/>
    <s v="Shorts"/>
    <x v="0"/>
    <n v="23"/>
    <s v="Oklahoma"/>
    <s v="L"/>
    <s v="Cyan"/>
    <x v="1"/>
    <x v="20"/>
    <s v="No"/>
    <x v="3"/>
    <x v="1"/>
    <x v="1"/>
    <x v="14"/>
    <x v="3"/>
    <x v="0"/>
    <x v="0"/>
    <n v="23"/>
    <n v="0"/>
  </r>
  <r>
    <n v="2559"/>
    <x v="34"/>
    <x v="0"/>
    <s v="Hoodie"/>
    <x v="0"/>
    <n v="32"/>
    <s v="California"/>
    <s v="M"/>
    <s v="Silver"/>
    <x v="3"/>
    <x v="2"/>
    <s v="No"/>
    <x v="0"/>
    <x v="1"/>
    <x v="1"/>
    <x v="37"/>
    <x v="3"/>
    <x v="0"/>
    <x v="2"/>
    <n v="32"/>
    <n v="0"/>
  </r>
  <r>
    <n v="2560"/>
    <x v="39"/>
    <x v="0"/>
    <s v="Belt"/>
    <x v="3"/>
    <n v="71"/>
    <s v="Mississippi"/>
    <s v="S"/>
    <s v="Green"/>
    <x v="0"/>
    <x v="17"/>
    <s v="No"/>
    <x v="1"/>
    <x v="1"/>
    <x v="1"/>
    <x v="33"/>
    <x v="5"/>
    <x v="6"/>
    <x v="2"/>
    <n v="71"/>
    <n v="0"/>
  </r>
  <r>
    <n v="2561"/>
    <x v="44"/>
    <x v="0"/>
    <s v="Boots"/>
    <x v="1"/>
    <n v="62"/>
    <s v="California"/>
    <s v="M"/>
    <s v="Violet"/>
    <x v="1"/>
    <x v="2"/>
    <s v="No"/>
    <x v="2"/>
    <x v="1"/>
    <x v="1"/>
    <x v="14"/>
    <x v="5"/>
    <x v="4"/>
    <x v="0"/>
    <n v="62"/>
    <n v="0"/>
  </r>
  <r>
    <n v="2562"/>
    <x v="45"/>
    <x v="0"/>
    <s v="Hoodie"/>
    <x v="0"/>
    <n v="20"/>
    <s v="New York"/>
    <s v="L"/>
    <s v="Magenta"/>
    <x v="1"/>
    <x v="2"/>
    <s v="No"/>
    <x v="1"/>
    <x v="1"/>
    <x v="1"/>
    <x v="17"/>
    <x v="5"/>
    <x v="3"/>
    <x v="2"/>
    <n v="20"/>
    <n v="0"/>
  </r>
  <r>
    <n v="2563"/>
    <x v="9"/>
    <x v="0"/>
    <s v="Shorts"/>
    <x v="0"/>
    <n v="62"/>
    <s v="Arizona"/>
    <s v="XL"/>
    <s v="Yellow"/>
    <x v="1"/>
    <x v="10"/>
    <s v="No"/>
    <x v="3"/>
    <x v="1"/>
    <x v="1"/>
    <x v="46"/>
    <x v="1"/>
    <x v="0"/>
    <x v="0"/>
    <n v="62"/>
    <n v="0"/>
  </r>
  <r>
    <n v="2564"/>
    <x v="28"/>
    <x v="0"/>
    <s v="Backpack"/>
    <x v="3"/>
    <n v="81"/>
    <s v="Massachusetts"/>
    <s v="XL"/>
    <s v="Gray"/>
    <x v="0"/>
    <x v="9"/>
    <s v="No"/>
    <x v="3"/>
    <x v="1"/>
    <x v="1"/>
    <x v="43"/>
    <x v="0"/>
    <x v="6"/>
    <x v="0"/>
    <n v="81"/>
    <n v="0"/>
  </r>
  <r>
    <n v="2565"/>
    <x v="32"/>
    <x v="0"/>
    <s v="Scarf"/>
    <x v="3"/>
    <n v="90"/>
    <s v="Kentucky"/>
    <s v="L"/>
    <s v="Indigo"/>
    <x v="0"/>
    <x v="21"/>
    <s v="No"/>
    <x v="4"/>
    <x v="1"/>
    <x v="1"/>
    <x v="46"/>
    <x v="4"/>
    <x v="1"/>
    <x v="2"/>
    <n v="90"/>
    <n v="0"/>
  </r>
  <r>
    <n v="2566"/>
    <x v="11"/>
    <x v="0"/>
    <s v="Socks"/>
    <x v="0"/>
    <n v="43"/>
    <s v="Vermont"/>
    <s v="S"/>
    <s v="Indigo"/>
    <x v="3"/>
    <x v="15"/>
    <s v="No"/>
    <x v="5"/>
    <x v="1"/>
    <x v="1"/>
    <x v="6"/>
    <x v="0"/>
    <x v="3"/>
    <x v="2"/>
    <n v="43"/>
    <n v="0"/>
  </r>
  <r>
    <n v="2567"/>
    <x v="25"/>
    <x v="0"/>
    <s v="Handbag"/>
    <x v="3"/>
    <n v="38"/>
    <s v="Missouri"/>
    <s v="S"/>
    <s v="Yellow"/>
    <x v="3"/>
    <x v="13"/>
    <s v="No"/>
    <x v="3"/>
    <x v="1"/>
    <x v="1"/>
    <x v="34"/>
    <x v="3"/>
    <x v="3"/>
    <x v="2"/>
    <n v="38"/>
    <n v="0"/>
  </r>
  <r>
    <n v="2568"/>
    <x v="1"/>
    <x v="0"/>
    <s v="Sunglasses"/>
    <x v="3"/>
    <n v="25"/>
    <s v="Michigan"/>
    <s v="XL"/>
    <s v="Gold"/>
    <x v="1"/>
    <x v="24"/>
    <s v="No"/>
    <x v="5"/>
    <x v="1"/>
    <x v="1"/>
    <x v="37"/>
    <x v="1"/>
    <x v="0"/>
    <x v="1"/>
    <n v="25"/>
    <n v="0"/>
  </r>
  <r>
    <n v="2569"/>
    <x v="16"/>
    <x v="0"/>
    <s v="T-shirt"/>
    <x v="0"/>
    <n v="98"/>
    <s v="Texas"/>
    <s v="XL"/>
    <s v="Green"/>
    <x v="0"/>
    <x v="24"/>
    <s v="No"/>
    <x v="0"/>
    <x v="1"/>
    <x v="1"/>
    <x v="32"/>
    <x v="3"/>
    <x v="0"/>
    <x v="0"/>
    <n v="98"/>
    <n v="0"/>
  </r>
  <r>
    <n v="2570"/>
    <x v="32"/>
    <x v="0"/>
    <s v="Dress"/>
    <x v="0"/>
    <n v="75"/>
    <s v="New York"/>
    <s v="M"/>
    <s v="Charcoal"/>
    <x v="1"/>
    <x v="6"/>
    <s v="No"/>
    <x v="1"/>
    <x v="1"/>
    <x v="1"/>
    <x v="9"/>
    <x v="4"/>
    <x v="4"/>
    <x v="2"/>
    <n v="75"/>
    <n v="0"/>
  </r>
  <r>
    <n v="2571"/>
    <x v="24"/>
    <x v="0"/>
    <s v="Sneakers"/>
    <x v="1"/>
    <n v="27"/>
    <s v="New Mexico"/>
    <s v="XL"/>
    <s v="Olive"/>
    <x v="1"/>
    <x v="17"/>
    <s v="No"/>
    <x v="5"/>
    <x v="1"/>
    <x v="1"/>
    <x v="45"/>
    <x v="3"/>
    <x v="0"/>
    <x v="2"/>
    <n v="27"/>
    <n v="0"/>
  </r>
  <r>
    <n v="2572"/>
    <x v="4"/>
    <x v="0"/>
    <s v="Sunglasses"/>
    <x v="3"/>
    <n v="27"/>
    <s v="Mississippi"/>
    <s v="L"/>
    <s v="Black"/>
    <x v="0"/>
    <x v="1"/>
    <s v="No"/>
    <x v="3"/>
    <x v="1"/>
    <x v="1"/>
    <x v="26"/>
    <x v="1"/>
    <x v="0"/>
    <x v="2"/>
    <n v="27"/>
    <n v="0"/>
  </r>
  <r>
    <n v="2573"/>
    <x v="22"/>
    <x v="0"/>
    <s v="Blouse"/>
    <x v="0"/>
    <n v="42"/>
    <s v="Washington"/>
    <s v="M"/>
    <s v="Silver"/>
    <x v="3"/>
    <x v="20"/>
    <s v="No"/>
    <x v="2"/>
    <x v="1"/>
    <x v="1"/>
    <x v="19"/>
    <x v="4"/>
    <x v="3"/>
    <x v="0"/>
    <n v="42"/>
    <n v="0"/>
  </r>
  <r>
    <n v="2574"/>
    <x v="22"/>
    <x v="0"/>
    <s v="T-shirt"/>
    <x v="0"/>
    <n v="90"/>
    <s v="New Mexico"/>
    <s v="M"/>
    <s v="Red"/>
    <x v="2"/>
    <x v="14"/>
    <s v="No"/>
    <x v="5"/>
    <x v="1"/>
    <x v="1"/>
    <x v="43"/>
    <x v="4"/>
    <x v="2"/>
    <x v="0"/>
    <n v="90"/>
    <n v="0"/>
  </r>
  <r>
    <n v="2575"/>
    <x v="7"/>
    <x v="0"/>
    <s v="Hat"/>
    <x v="3"/>
    <n v="63"/>
    <s v="Florida"/>
    <s v="M"/>
    <s v="Brown"/>
    <x v="2"/>
    <x v="12"/>
    <s v="No"/>
    <x v="4"/>
    <x v="1"/>
    <x v="1"/>
    <x v="8"/>
    <x v="2"/>
    <x v="0"/>
    <x v="2"/>
    <n v="63"/>
    <n v="0"/>
  </r>
  <r>
    <n v="2576"/>
    <x v="10"/>
    <x v="0"/>
    <s v="Shorts"/>
    <x v="0"/>
    <n v="96"/>
    <s v="Minnesota"/>
    <s v="M"/>
    <s v="Silver"/>
    <x v="3"/>
    <x v="17"/>
    <s v="No"/>
    <x v="0"/>
    <x v="1"/>
    <x v="1"/>
    <x v="44"/>
    <x v="3"/>
    <x v="2"/>
    <x v="0"/>
    <n v="96"/>
    <n v="0"/>
  </r>
  <r>
    <n v="2577"/>
    <x v="30"/>
    <x v="0"/>
    <s v="Hoodie"/>
    <x v="0"/>
    <n v="40"/>
    <s v="New Hampshire"/>
    <s v="M"/>
    <s v="Silver"/>
    <x v="0"/>
    <x v="19"/>
    <s v="No"/>
    <x v="1"/>
    <x v="1"/>
    <x v="1"/>
    <x v="5"/>
    <x v="5"/>
    <x v="3"/>
    <x v="1"/>
    <n v="40"/>
    <n v="0"/>
  </r>
  <r>
    <n v="2578"/>
    <x v="16"/>
    <x v="0"/>
    <s v="Socks"/>
    <x v="0"/>
    <n v="39"/>
    <s v="Minnesota"/>
    <s v="L"/>
    <s v="Black"/>
    <x v="3"/>
    <x v="9"/>
    <s v="No"/>
    <x v="2"/>
    <x v="1"/>
    <x v="1"/>
    <x v="10"/>
    <x v="4"/>
    <x v="5"/>
    <x v="0"/>
    <n v="39"/>
    <n v="0"/>
  </r>
  <r>
    <n v="2579"/>
    <x v="22"/>
    <x v="0"/>
    <s v="Sunglasses"/>
    <x v="3"/>
    <n v="48"/>
    <s v="Vermont"/>
    <s v="M"/>
    <s v="Purple"/>
    <x v="3"/>
    <x v="20"/>
    <s v="No"/>
    <x v="1"/>
    <x v="1"/>
    <x v="1"/>
    <x v="35"/>
    <x v="1"/>
    <x v="3"/>
    <x v="0"/>
    <n v="48"/>
    <n v="0"/>
  </r>
  <r>
    <n v="2580"/>
    <x v="13"/>
    <x v="0"/>
    <s v="Blouse"/>
    <x v="0"/>
    <n v="20"/>
    <s v="Minnesota"/>
    <s v="M"/>
    <s v="Purple"/>
    <x v="2"/>
    <x v="18"/>
    <s v="No"/>
    <x v="0"/>
    <x v="1"/>
    <x v="1"/>
    <x v="19"/>
    <x v="0"/>
    <x v="1"/>
    <x v="0"/>
    <n v="20"/>
    <n v="0"/>
  </r>
  <r>
    <n v="2581"/>
    <x v="49"/>
    <x v="0"/>
    <s v="Jeans"/>
    <x v="0"/>
    <n v="29"/>
    <s v="Massachusetts"/>
    <s v="S"/>
    <s v="Turquoise"/>
    <x v="2"/>
    <x v="15"/>
    <s v="No"/>
    <x v="5"/>
    <x v="1"/>
    <x v="1"/>
    <x v="21"/>
    <x v="4"/>
    <x v="3"/>
    <x v="2"/>
    <n v="29"/>
    <n v="0"/>
  </r>
  <r>
    <n v="2582"/>
    <x v="9"/>
    <x v="0"/>
    <s v="Dress"/>
    <x v="0"/>
    <n v="81"/>
    <s v="Wyoming"/>
    <s v="M"/>
    <s v="Gold"/>
    <x v="0"/>
    <x v="10"/>
    <s v="No"/>
    <x v="0"/>
    <x v="1"/>
    <x v="1"/>
    <x v="26"/>
    <x v="2"/>
    <x v="5"/>
    <x v="0"/>
    <n v="81"/>
    <n v="0"/>
  </r>
  <r>
    <n v="2583"/>
    <x v="1"/>
    <x v="0"/>
    <s v="Dress"/>
    <x v="0"/>
    <n v="98"/>
    <s v="South Dakota"/>
    <s v="S"/>
    <s v="Indigo"/>
    <x v="3"/>
    <x v="15"/>
    <s v="No"/>
    <x v="4"/>
    <x v="1"/>
    <x v="1"/>
    <x v="7"/>
    <x v="0"/>
    <x v="6"/>
    <x v="1"/>
    <n v="98"/>
    <n v="0"/>
  </r>
  <r>
    <n v="2584"/>
    <x v="28"/>
    <x v="0"/>
    <s v="Jeans"/>
    <x v="0"/>
    <n v="93"/>
    <s v="Oklahoma"/>
    <s v="M"/>
    <s v="Lavender"/>
    <x v="3"/>
    <x v="25"/>
    <s v="No"/>
    <x v="2"/>
    <x v="1"/>
    <x v="1"/>
    <x v="44"/>
    <x v="1"/>
    <x v="1"/>
    <x v="0"/>
    <n v="93"/>
    <n v="0"/>
  </r>
  <r>
    <n v="2585"/>
    <x v="8"/>
    <x v="0"/>
    <s v="Socks"/>
    <x v="0"/>
    <n v="30"/>
    <s v="Florida"/>
    <s v="L"/>
    <s v="Blue"/>
    <x v="2"/>
    <x v="3"/>
    <s v="No"/>
    <x v="5"/>
    <x v="1"/>
    <x v="1"/>
    <x v="8"/>
    <x v="4"/>
    <x v="4"/>
    <x v="2"/>
    <n v="30"/>
    <n v="0"/>
  </r>
  <r>
    <n v="2586"/>
    <x v="9"/>
    <x v="0"/>
    <s v="Sunglasses"/>
    <x v="3"/>
    <n v="37"/>
    <s v="Wisconsin"/>
    <s v="L"/>
    <s v="Maroon"/>
    <x v="3"/>
    <x v="14"/>
    <s v="No"/>
    <x v="1"/>
    <x v="1"/>
    <x v="1"/>
    <x v="5"/>
    <x v="5"/>
    <x v="1"/>
    <x v="0"/>
    <n v="37"/>
    <n v="0"/>
  </r>
  <r>
    <n v="2587"/>
    <x v="30"/>
    <x v="0"/>
    <s v="Coat"/>
    <x v="2"/>
    <n v="28"/>
    <s v="Maine"/>
    <s v="L"/>
    <s v="Yellow"/>
    <x v="0"/>
    <x v="12"/>
    <s v="No"/>
    <x v="0"/>
    <x v="1"/>
    <x v="1"/>
    <x v="43"/>
    <x v="2"/>
    <x v="6"/>
    <x v="1"/>
    <n v="28"/>
    <n v="0"/>
  </r>
  <r>
    <n v="2588"/>
    <x v="0"/>
    <x v="0"/>
    <s v="Scarf"/>
    <x v="3"/>
    <n v="29"/>
    <s v="Connecticut"/>
    <s v="M"/>
    <s v="Purple"/>
    <x v="0"/>
    <x v="18"/>
    <s v="No"/>
    <x v="0"/>
    <x v="1"/>
    <x v="1"/>
    <x v="32"/>
    <x v="3"/>
    <x v="6"/>
    <x v="0"/>
    <n v="29"/>
    <n v="0"/>
  </r>
  <r>
    <n v="2589"/>
    <x v="42"/>
    <x v="0"/>
    <s v="Backpack"/>
    <x v="3"/>
    <n v="49"/>
    <s v="Delaware"/>
    <s v="M"/>
    <s v="Peach"/>
    <x v="2"/>
    <x v="4"/>
    <s v="No"/>
    <x v="1"/>
    <x v="1"/>
    <x v="1"/>
    <x v="25"/>
    <x v="0"/>
    <x v="4"/>
    <x v="2"/>
    <n v="49"/>
    <n v="0"/>
  </r>
  <r>
    <n v="2590"/>
    <x v="16"/>
    <x v="0"/>
    <s v="Pants"/>
    <x v="0"/>
    <n v="53"/>
    <s v="North Dakota"/>
    <s v="M"/>
    <s v="Silver"/>
    <x v="0"/>
    <x v="8"/>
    <s v="No"/>
    <x v="4"/>
    <x v="1"/>
    <x v="1"/>
    <x v="4"/>
    <x v="3"/>
    <x v="2"/>
    <x v="0"/>
    <n v="53"/>
    <n v="0"/>
  </r>
  <r>
    <n v="2591"/>
    <x v="9"/>
    <x v="0"/>
    <s v="Gloves"/>
    <x v="3"/>
    <n v="66"/>
    <s v="California"/>
    <s v="M"/>
    <s v="Turquoise"/>
    <x v="2"/>
    <x v="16"/>
    <s v="No"/>
    <x v="1"/>
    <x v="1"/>
    <x v="1"/>
    <x v="31"/>
    <x v="0"/>
    <x v="2"/>
    <x v="0"/>
    <n v="66"/>
    <n v="0"/>
  </r>
  <r>
    <n v="2592"/>
    <x v="37"/>
    <x v="0"/>
    <s v="Jacket"/>
    <x v="2"/>
    <n v="61"/>
    <s v="New Mexico"/>
    <s v="S"/>
    <s v="Olive"/>
    <x v="1"/>
    <x v="13"/>
    <s v="No"/>
    <x v="0"/>
    <x v="1"/>
    <x v="1"/>
    <x v="19"/>
    <x v="1"/>
    <x v="3"/>
    <x v="2"/>
    <n v="61"/>
    <n v="0"/>
  </r>
  <r>
    <n v="2593"/>
    <x v="51"/>
    <x v="0"/>
    <s v="Shorts"/>
    <x v="0"/>
    <n v="23"/>
    <s v="Iowa"/>
    <s v="XL"/>
    <s v="Peach"/>
    <x v="2"/>
    <x v="14"/>
    <s v="No"/>
    <x v="5"/>
    <x v="1"/>
    <x v="1"/>
    <x v="21"/>
    <x v="0"/>
    <x v="3"/>
    <x v="1"/>
    <n v="23"/>
    <n v="0"/>
  </r>
  <r>
    <n v="2594"/>
    <x v="24"/>
    <x v="0"/>
    <s v="Pants"/>
    <x v="0"/>
    <n v="36"/>
    <s v="Colorado"/>
    <s v="S"/>
    <s v="Indigo"/>
    <x v="3"/>
    <x v="10"/>
    <s v="No"/>
    <x v="5"/>
    <x v="1"/>
    <x v="1"/>
    <x v="44"/>
    <x v="4"/>
    <x v="6"/>
    <x v="2"/>
    <n v="36"/>
    <n v="0"/>
  </r>
  <r>
    <n v="2595"/>
    <x v="35"/>
    <x v="0"/>
    <s v="Skirt"/>
    <x v="0"/>
    <n v="81"/>
    <s v="Montana"/>
    <s v="L"/>
    <s v="Indigo"/>
    <x v="3"/>
    <x v="15"/>
    <s v="No"/>
    <x v="1"/>
    <x v="1"/>
    <x v="1"/>
    <x v="29"/>
    <x v="1"/>
    <x v="6"/>
    <x v="0"/>
    <n v="81"/>
    <n v="0"/>
  </r>
  <r>
    <n v="2596"/>
    <x v="26"/>
    <x v="0"/>
    <s v="Blouse"/>
    <x v="0"/>
    <n v="56"/>
    <s v="Iowa"/>
    <s v="XL"/>
    <s v="Maroon"/>
    <x v="2"/>
    <x v="4"/>
    <s v="No"/>
    <x v="1"/>
    <x v="1"/>
    <x v="1"/>
    <x v="35"/>
    <x v="4"/>
    <x v="4"/>
    <x v="2"/>
    <n v="56"/>
    <n v="0"/>
  </r>
  <r>
    <n v="2597"/>
    <x v="6"/>
    <x v="0"/>
    <s v="Shirt"/>
    <x v="0"/>
    <n v="78"/>
    <s v="Louisiana"/>
    <s v="L"/>
    <s v="Black"/>
    <x v="1"/>
    <x v="21"/>
    <s v="No"/>
    <x v="2"/>
    <x v="1"/>
    <x v="1"/>
    <x v="31"/>
    <x v="2"/>
    <x v="5"/>
    <x v="0"/>
    <n v="78"/>
    <n v="0"/>
  </r>
  <r>
    <n v="2598"/>
    <x v="52"/>
    <x v="0"/>
    <s v="Jewelry"/>
    <x v="3"/>
    <n v="25"/>
    <s v="Alabama"/>
    <s v="XL"/>
    <s v="Teal"/>
    <x v="2"/>
    <x v="14"/>
    <s v="No"/>
    <x v="5"/>
    <x v="1"/>
    <x v="1"/>
    <x v="21"/>
    <x v="0"/>
    <x v="4"/>
    <x v="0"/>
    <n v="25"/>
    <n v="0"/>
  </r>
  <r>
    <n v="2599"/>
    <x v="14"/>
    <x v="0"/>
    <s v="Backpack"/>
    <x v="3"/>
    <n v="86"/>
    <s v="Nevada"/>
    <s v="XL"/>
    <s v="Olive"/>
    <x v="3"/>
    <x v="13"/>
    <s v="No"/>
    <x v="0"/>
    <x v="1"/>
    <x v="1"/>
    <x v="4"/>
    <x v="5"/>
    <x v="2"/>
    <x v="0"/>
    <n v="86"/>
    <n v="0"/>
  </r>
  <r>
    <n v="2600"/>
    <x v="6"/>
    <x v="0"/>
    <s v="Jewelry"/>
    <x v="3"/>
    <n v="99"/>
    <s v="Vermont"/>
    <s v="M"/>
    <s v="Gold"/>
    <x v="0"/>
    <x v="23"/>
    <s v="No"/>
    <x v="0"/>
    <x v="1"/>
    <x v="1"/>
    <x v="26"/>
    <x v="2"/>
    <x v="5"/>
    <x v="0"/>
    <n v="99"/>
    <n v="0"/>
  </r>
  <r>
    <n v="2601"/>
    <x v="3"/>
    <x v="0"/>
    <s v="Belt"/>
    <x v="3"/>
    <n v="83"/>
    <s v="New York"/>
    <s v="M"/>
    <s v="Gray"/>
    <x v="3"/>
    <x v="20"/>
    <s v="No"/>
    <x v="0"/>
    <x v="1"/>
    <x v="1"/>
    <x v="49"/>
    <x v="4"/>
    <x v="4"/>
    <x v="1"/>
    <n v="83"/>
    <n v="0"/>
  </r>
  <r>
    <n v="2602"/>
    <x v="12"/>
    <x v="0"/>
    <s v="Dress"/>
    <x v="0"/>
    <n v="33"/>
    <s v="Mississippi"/>
    <s v="L"/>
    <s v="Orange"/>
    <x v="0"/>
    <x v="3"/>
    <s v="No"/>
    <x v="5"/>
    <x v="1"/>
    <x v="1"/>
    <x v="34"/>
    <x v="1"/>
    <x v="5"/>
    <x v="0"/>
    <n v="33"/>
    <n v="0"/>
  </r>
  <r>
    <n v="2603"/>
    <x v="13"/>
    <x v="0"/>
    <s v="Coat"/>
    <x v="2"/>
    <n v="44"/>
    <s v="South Carolina"/>
    <s v="M"/>
    <s v="Black"/>
    <x v="3"/>
    <x v="3"/>
    <s v="No"/>
    <x v="1"/>
    <x v="1"/>
    <x v="1"/>
    <x v="43"/>
    <x v="0"/>
    <x v="3"/>
    <x v="0"/>
    <n v="44"/>
    <n v="0"/>
  </r>
  <r>
    <n v="2604"/>
    <x v="28"/>
    <x v="0"/>
    <s v="Dress"/>
    <x v="0"/>
    <n v="58"/>
    <s v="Washington"/>
    <s v="M"/>
    <s v="Teal"/>
    <x v="1"/>
    <x v="2"/>
    <s v="No"/>
    <x v="4"/>
    <x v="1"/>
    <x v="1"/>
    <x v="6"/>
    <x v="1"/>
    <x v="2"/>
    <x v="0"/>
    <n v="58"/>
    <n v="0"/>
  </r>
  <r>
    <n v="2605"/>
    <x v="36"/>
    <x v="0"/>
    <s v="Sweater"/>
    <x v="0"/>
    <n v="54"/>
    <s v="Colorado"/>
    <s v="M"/>
    <s v="Beige"/>
    <x v="1"/>
    <x v="23"/>
    <s v="No"/>
    <x v="5"/>
    <x v="1"/>
    <x v="1"/>
    <x v="49"/>
    <x v="5"/>
    <x v="1"/>
    <x v="2"/>
    <n v="54"/>
    <n v="0"/>
  </r>
  <r>
    <n v="2606"/>
    <x v="38"/>
    <x v="0"/>
    <s v="Hoodie"/>
    <x v="0"/>
    <n v="93"/>
    <s v="Nevada"/>
    <s v="M"/>
    <s v="White"/>
    <x v="1"/>
    <x v="18"/>
    <s v="No"/>
    <x v="4"/>
    <x v="1"/>
    <x v="1"/>
    <x v="18"/>
    <x v="0"/>
    <x v="0"/>
    <x v="2"/>
    <n v="93"/>
    <n v="0"/>
  </r>
  <r>
    <n v="2607"/>
    <x v="33"/>
    <x v="0"/>
    <s v="Shoes"/>
    <x v="1"/>
    <n v="98"/>
    <s v="Nevada"/>
    <s v="L"/>
    <s v="Turquoise"/>
    <x v="1"/>
    <x v="10"/>
    <s v="No"/>
    <x v="3"/>
    <x v="1"/>
    <x v="1"/>
    <x v="15"/>
    <x v="4"/>
    <x v="4"/>
    <x v="0"/>
    <n v="98"/>
    <n v="0"/>
  </r>
  <r>
    <n v="2608"/>
    <x v="38"/>
    <x v="0"/>
    <s v="Shoes"/>
    <x v="1"/>
    <n v="36"/>
    <s v="Oklahoma"/>
    <s v="XL"/>
    <s v="Teal"/>
    <x v="1"/>
    <x v="0"/>
    <s v="No"/>
    <x v="0"/>
    <x v="1"/>
    <x v="1"/>
    <x v="25"/>
    <x v="3"/>
    <x v="6"/>
    <x v="2"/>
    <n v="36"/>
    <n v="0"/>
  </r>
  <r>
    <n v="2609"/>
    <x v="32"/>
    <x v="0"/>
    <s v="Jacket"/>
    <x v="2"/>
    <n v="68"/>
    <s v="Mississippi"/>
    <s v="L"/>
    <s v="Orange"/>
    <x v="3"/>
    <x v="19"/>
    <s v="No"/>
    <x v="4"/>
    <x v="1"/>
    <x v="1"/>
    <x v="26"/>
    <x v="2"/>
    <x v="0"/>
    <x v="2"/>
    <n v="68"/>
    <n v="0"/>
  </r>
  <r>
    <n v="2610"/>
    <x v="17"/>
    <x v="0"/>
    <s v="Backpack"/>
    <x v="3"/>
    <n v="95"/>
    <s v="Arkansas"/>
    <s v="M"/>
    <s v="Black"/>
    <x v="2"/>
    <x v="21"/>
    <s v="No"/>
    <x v="5"/>
    <x v="1"/>
    <x v="1"/>
    <x v="27"/>
    <x v="5"/>
    <x v="4"/>
    <x v="0"/>
    <n v="95"/>
    <n v="0"/>
  </r>
  <r>
    <n v="2611"/>
    <x v="17"/>
    <x v="0"/>
    <s v="Jeans"/>
    <x v="0"/>
    <n v="93"/>
    <s v="West Virginia"/>
    <s v="M"/>
    <s v="Violet"/>
    <x v="1"/>
    <x v="0"/>
    <s v="No"/>
    <x v="0"/>
    <x v="1"/>
    <x v="1"/>
    <x v="29"/>
    <x v="1"/>
    <x v="3"/>
    <x v="0"/>
    <n v="93"/>
    <n v="0"/>
  </r>
  <r>
    <n v="2612"/>
    <x v="23"/>
    <x v="0"/>
    <s v="Jacket"/>
    <x v="2"/>
    <n v="99"/>
    <s v="Michigan"/>
    <s v="L"/>
    <s v="Maroon"/>
    <x v="3"/>
    <x v="19"/>
    <s v="No"/>
    <x v="4"/>
    <x v="1"/>
    <x v="1"/>
    <x v="7"/>
    <x v="1"/>
    <x v="0"/>
    <x v="2"/>
    <n v="99"/>
    <n v="0"/>
  </r>
  <r>
    <n v="2613"/>
    <x v="0"/>
    <x v="0"/>
    <s v="Sunglasses"/>
    <x v="3"/>
    <n v="22"/>
    <s v="Louisiana"/>
    <s v="M"/>
    <s v="Turquoise"/>
    <x v="0"/>
    <x v="22"/>
    <s v="No"/>
    <x v="2"/>
    <x v="1"/>
    <x v="1"/>
    <x v="46"/>
    <x v="0"/>
    <x v="3"/>
    <x v="0"/>
    <n v="22"/>
    <n v="0"/>
  </r>
  <r>
    <n v="2614"/>
    <x v="44"/>
    <x v="0"/>
    <s v="Gloves"/>
    <x v="3"/>
    <n v="88"/>
    <s v="South Dakota"/>
    <s v="M"/>
    <s v="Gold"/>
    <x v="3"/>
    <x v="3"/>
    <s v="No"/>
    <x v="0"/>
    <x v="1"/>
    <x v="1"/>
    <x v="0"/>
    <x v="4"/>
    <x v="5"/>
    <x v="0"/>
    <n v="88"/>
    <n v="0"/>
  </r>
  <r>
    <n v="2615"/>
    <x v="20"/>
    <x v="0"/>
    <s v="Jacket"/>
    <x v="2"/>
    <n v="65"/>
    <s v="North Dakota"/>
    <s v="M"/>
    <s v="Turquoise"/>
    <x v="1"/>
    <x v="19"/>
    <s v="No"/>
    <x v="0"/>
    <x v="1"/>
    <x v="1"/>
    <x v="13"/>
    <x v="4"/>
    <x v="0"/>
    <x v="1"/>
    <n v="65"/>
    <n v="0"/>
  </r>
  <r>
    <n v="2616"/>
    <x v="34"/>
    <x v="0"/>
    <s v="T-shirt"/>
    <x v="0"/>
    <n v="62"/>
    <s v="Arizona"/>
    <s v="M"/>
    <s v="Maroon"/>
    <x v="3"/>
    <x v="0"/>
    <s v="No"/>
    <x v="4"/>
    <x v="1"/>
    <x v="1"/>
    <x v="49"/>
    <x v="5"/>
    <x v="3"/>
    <x v="2"/>
    <n v="62"/>
    <n v="0"/>
  </r>
  <r>
    <n v="2617"/>
    <x v="12"/>
    <x v="0"/>
    <s v="Sandals"/>
    <x v="1"/>
    <n v="55"/>
    <s v="Georgia"/>
    <s v="XL"/>
    <s v="Purple"/>
    <x v="1"/>
    <x v="15"/>
    <s v="No"/>
    <x v="0"/>
    <x v="1"/>
    <x v="1"/>
    <x v="15"/>
    <x v="1"/>
    <x v="2"/>
    <x v="0"/>
    <n v="55"/>
    <n v="0"/>
  </r>
  <r>
    <n v="2618"/>
    <x v="18"/>
    <x v="0"/>
    <s v="Shorts"/>
    <x v="0"/>
    <n v="97"/>
    <s v="Idaho"/>
    <s v="S"/>
    <s v="Maroon"/>
    <x v="1"/>
    <x v="6"/>
    <s v="No"/>
    <x v="3"/>
    <x v="1"/>
    <x v="1"/>
    <x v="32"/>
    <x v="4"/>
    <x v="2"/>
    <x v="2"/>
    <n v="97"/>
    <n v="0"/>
  </r>
  <r>
    <n v="2619"/>
    <x v="27"/>
    <x v="0"/>
    <s v="Handbag"/>
    <x v="3"/>
    <n v="77"/>
    <s v="Louisiana"/>
    <s v="L"/>
    <s v="Brown"/>
    <x v="3"/>
    <x v="7"/>
    <s v="No"/>
    <x v="0"/>
    <x v="1"/>
    <x v="1"/>
    <x v="45"/>
    <x v="0"/>
    <x v="5"/>
    <x v="0"/>
    <n v="77"/>
    <n v="0"/>
  </r>
  <r>
    <n v="2620"/>
    <x v="33"/>
    <x v="0"/>
    <s v="Pants"/>
    <x v="0"/>
    <n v="40"/>
    <s v="Connecticut"/>
    <s v="L"/>
    <s v="Indigo"/>
    <x v="0"/>
    <x v="20"/>
    <s v="No"/>
    <x v="1"/>
    <x v="1"/>
    <x v="1"/>
    <x v="39"/>
    <x v="2"/>
    <x v="1"/>
    <x v="0"/>
    <n v="40"/>
    <n v="0"/>
  </r>
  <r>
    <n v="2621"/>
    <x v="7"/>
    <x v="0"/>
    <s v="Blouse"/>
    <x v="0"/>
    <n v="23"/>
    <s v="Ohio"/>
    <s v="S"/>
    <s v="Lavender"/>
    <x v="0"/>
    <x v="21"/>
    <s v="No"/>
    <x v="3"/>
    <x v="1"/>
    <x v="1"/>
    <x v="40"/>
    <x v="5"/>
    <x v="2"/>
    <x v="2"/>
    <n v="23"/>
    <n v="0"/>
  </r>
  <r>
    <n v="2622"/>
    <x v="39"/>
    <x v="0"/>
    <s v="Shoes"/>
    <x v="1"/>
    <n v="46"/>
    <s v="Maine"/>
    <s v="M"/>
    <s v="Beige"/>
    <x v="0"/>
    <x v="21"/>
    <s v="No"/>
    <x v="0"/>
    <x v="1"/>
    <x v="1"/>
    <x v="33"/>
    <x v="4"/>
    <x v="2"/>
    <x v="2"/>
    <n v="46"/>
    <n v="0"/>
  </r>
  <r>
    <n v="2623"/>
    <x v="6"/>
    <x v="0"/>
    <s v="Backpack"/>
    <x v="3"/>
    <n v="75"/>
    <s v="New Hampshire"/>
    <s v="M"/>
    <s v="Yellow"/>
    <x v="1"/>
    <x v="8"/>
    <s v="No"/>
    <x v="4"/>
    <x v="1"/>
    <x v="1"/>
    <x v="28"/>
    <x v="2"/>
    <x v="2"/>
    <x v="0"/>
    <n v="75"/>
    <n v="0"/>
  </r>
  <r>
    <n v="2624"/>
    <x v="34"/>
    <x v="0"/>
    <s v="Shoes"/>
    <x v="1"/>
    <n v="76"/>
    <s v="Massachusetts"/>
    <s v="M"/>
    <s v="Gold"/>
    <x v="3"/>
    <x v="6"/>
    <s v="No"/>
    <x v="2"/>
    <x v="1"/>
    <x v="1"/>
    <x v="25"/>
    <x v="1"/>
    <x v="2"/>
    <x v="2"/>
    <n v="76"/>
    <n v="0"/>
  </r>
  <r>
    <n v="2625"/>
    <x v="1"/>
    <x v="0"/>
    <s v="Dress"/>
    <x v="0"/>
    <n v="59"/>
    <s v="South Dakota"/>
    <s v="M"/>
    <s v="Indigo"/>
    <x v="2"/>
    <x v="13"/>
    <s v="No"/>
    <x v="3"/>
    <x v="1"/>
    <x v="1"/>
    <x v="5"/>
    <x v="2"/>
    <x v="2"/>
    <x v="1"/>
    <n v="59"/>
    <n v="0"/>
  </r>
  <r>
    <n v="2626"/>
    <x v="11"/>
    <x v="0"/>
    <s v="Skirt"/>
    <x v="0"/>
    <n v="51"/>
    <s v="Colorado"/>
    <s v="L"/>
    <s v="Cyan"/>
    <x v="2"/>
    <x v="2"/>
    <s v="No"/>
    <x v="3"/>
    <x v="1"/>
    <x v="1"/>
    <x v="4"/>
    <x v="2"/>
    <x v="1"/>
    <x v="2"/>
    <n v="51"/>
    <n v="0"/>
  </r>
  <r>
    <n v="2627"/>
    <x v="2"/>
    <x v="0"/>
    <s v="Jacket"/>
    <x v="2"/>
    <n v="46"/>
    <s v="Rhode Island"/>
    <s v="XL"/>
    <s v="Silver"/>
    <x v="3"/>
    <x v="19"/>
    <s v="No"/>
    <x v="0"/>
    <x v="1"/>
    <x v="1"/>
    <x v="48"/>
    <x v="2"/>
    <x v="6"/>
    <x v="2"/>
    <n v="46"/>
    <n v="0"/>
  </r>
  <r>
    <n v="2628"/>
    <x v="17"/>
    <x v="0"/>
    <s v="Shirt"/>
    <x v="0"/>
    <n v="26"/>
    <s v="Missouri"/>
    <s v="L"/>
    <s v="Silver"/>
    <x v="3"/>
    <x v="15"/>
    <s v="No"/>
    <x v="2"/>
    <x v="1"/>
    <x v="1"/>
    <x v="19"/>
    <x v="4"/>
    <x v="3"/>
    <x v="0"/>
    <n v="26"/>
    <n v="0"/>
  </r>
  <r>
    <n v="2629"/>
    <x v="15"/>
    <x v="0"/>
    <s v="Hoodie"/>
    <x v="0"/>
    <n v="51"/>
    <s v="Wyoming"/>
    <s v="M"/>
    <s v="Silver"/>
    <x v="2"/>
    <x v="22"/>
    <s v="No"/>
    <x v="2"/>
    <x v="1"/>
    <x v="1"/>
    <x v="38"/>
    <x v="2"/>
    <x v="4"/>
    <x v="1"/>
    <n v="51"/>
    <n v="0"/>
  </r>
  <r>
    <n v="2630"/>
    <x v="12"/>
    <x v="0"/>
    <s v="Scarf"/>
    <x v="3"/>
    <n v="44"/>
    <s v="New Hampshire"/>
    <s v="M"/>
    <s v="Peach"/>
    <x v="0"/>
    <x v="22"/>
    <s v="No"/>
    <x v="1"/>
    <x v="1"/>
    <x v="1"/>
    <x v="29"/>
    <x v="0"/>
    <x v="2"/>
    <x v="0"/>
    <n v="44"/>
    <n v="0"/>
  </r>
  <r>
    <n v="2631"/>
    <x v="26"/>
    <x v="0"/>
    <s v="Skirt"/>
    <x v="0"/>
    <n v="82"/>
    <s v="Maine"/>
    <s v="S"/>
    <s v="Pink"/>
    <x v="1"/>
    <x v="19"/>
    <s v="No"/>
    <x v="1"/>
    <x v="1"/>
    <x v="1"/>
    <x v="41"/>
    <x v="1"/>
    <x v="3"/>
    <x v="2"/>
    <n v="82"/>
    <n v="0"/>
  </r>
  <r>
    <n v="2632"/>
    <x v="10"/>
    <x v="0"/>
    <s v="Skirt"/>
    <x v="0"/>
    <n v="44"/>
    <s v="Connecticut"/>
    <s v="S"/>
    <s v="Violet"/>
    <x v="2"/>
    <x v="2"/>
    <s v="No"/>
    <x v="0"/>
    <x v="1"/>
    <x v="1"/>
    <x v="35"/>
    <x v="1"/>
    <x v="1"/>
    <x v="0"/>
    <n v="44"/>
    <n v="0"/>
  </r>
  <r>
    <n v="2633"/>
    <x v="41"/>
    <x v="0"/>
    <s v="Scarf"/>
    <x v="3"/>
    <n v="27"/>
    <s v="Alaska"/>
    <s v="M"/>
    <s v="Black"/>
    <x v="3"/>
    <x v="16"/>
    <s v="No"/>
    <x v="2"/>
    <x v="1"/>
    <x v="1"/>
    <x v="0"/>
    <x v="1"/>
    <x v="2"/>
    <x v="1"/>
    <n v="27"/>
    <n v="0"/>
  </r>
  <r>
    <n v="2634"/>
    <x v="47"/>
    <x v="0"/>
    <s v="Sunglasses"/>
    <x v="3"/>
    <n v="90"/>
    <s v="Alaska"/>
    <s v="M"/>
    <s v="Purple"/>
    <x v="3"/>
    <x v="10"/>
    <s v="No"/>
    <x v="2"/>
    <x v="1"/>
    <x v="1"/>
    <x v="18"/>
    <x v="2"/>
    <x v="0"/>
    <x v="0"/>
    <n v="90"/>
    <n v="0"/>
  </r>
  <r>
    <n v="2635"/>
    <x v="8"/>
    <x v="0"/>
    <s v="Sandals"/>
    <x v="1"/>
    <n v="58"/>
    <s v="North Carolina"/>
    <s v="S"/>
    <s v="Black"/>
    <x v="2"/>
    <x v="4"/>
    <s v="No"/>
    <x v="5"/>
    <x v="1"/>
    <x v="1"/>
    <x v="41"/>
    <x v="3"/>
    <x v="6"/>
    <x v="2"/>
    <n v="58"/>
    <n v="0"/>
  </r>
  <r>
    <n v="2636"/>
    <x v="35"/>
    <x v="0"/>
    <s v="Hoodie"/>
    <x v="0"/>
    <n v="80"/>
    <s v="Colorado"/>
    <s v="XL"/>
    <s v="Peach"/>
    <x v="1"/>
    <x v="3"/>
    <s v="No"/>
    <x v="4"/>
    <x v="1"/>
    <x v="1"/>
    <x v="11"/>
    <x v="3"/>
    <x v="0"/>
    <x v="0"/>
    <n v="80"/>
    <n v="0"/>
  </r>
  <r>
    <n v="2637"/>
    <x v="38"/>
    <x v="0"/>
    <s v="Jacket"/>
    <x v="2"/>
    <n v="40"/>
    <s v="Utah"/>
    <s v="S"/>
    <s v="Magenta"/>
    <x v="0"/>
    <x v="19"/>
    <s v="No"/>
    <x v="5"/>
    <x v="1"/>
    <x v="1"/>
    <x v="49"/>
    <x v="0"/>
    <x v="2"/>
    <x v="2"/>
    <n v="40"/>
    <n v="0"/>
  </r>
  <r>
    <n v="2638"/>
    <x v="30"/>
    <x v="0"/>
    <s v="Pants"/>
    <x v="0"/>
    <n v="23"/>
    <s v="Alabama"/>
    <s v="M"/>
    <s v="Magenta"/>
    <x v="1"/>
    <x v="18"/>
    <s v="No"/>
    <x v="5"/>
    <x v="1"/>
    <x v="1"/>
    <x v="1"/>
    <x v="3"/>
    <x v="2"/>
    <x v="1"/>
    <n v="23"/>
    <n v="0"/>
  </r>
  <r>
    <n v="2639"/>
    <x v="40"/>
    <x v="0"/>
    <s v="Shirt"/>
    <x v="0"/>
    <n v="34"/>
    <s v="Hawaii"/>
    <s v="S"/>
    <s v="Black"/>
    <x v="1"/>
    <x v="19"/>
    <s v="No"/>
    <x v="5"/>
    <x v="1"/>
    <x v="1"/>
    <x v="31"/>
    <x v="2"/>
    <x v="2"/>
    <x v="1"/>
    <n v="34"/>
    <n v="0"/>
  </r>
  <r>
    <n v="2640"/>
    <x v="20"/>
    <x v="0"/>
    <s v="Blouse"/>
    <x v="0"/>
    <n v="35"/>
    <s v="New Hampshire"/>
    <s v="XL"/>
    <s v="Pink"/>
    <x v="0"/>
    <x v="5"/>
    <s v="No"/>
    <x v="1"/>
    <x v="1"/>
    <x v="1"/>
    <x v="42"/>
    <x v="5"/>
    <x v="3"/>
    <x v="1"/>
    <n v="35"/>
    <n v="0"/>
  </r>
  <r>
    <n v="2641"/>
    <x v="11"/>
    <x v="0"/>
    <s v="Skirt"/>
    <x v="0"/>
    <n v="75"/>
    <s v="Indiana"/>
    <s v="L"/>
    <s v="Olive"/>
    <x v="2"/>
    <x v="17"/>
    <s v="No"/>
    <x v="5"/>
    <x v="1"/>
    <x v="1"/>
    <x v="24"/>
    <x v="0"/>
    <x v="4"/>
    <x v="2"/>
    <n v="75"/>
    <n v="0"/>
  </r>
  <r>
    <n v="2642"/>
    <x v="15"/>
    <x v="0"/>
    <s v="Sunglasses"/>
    <x v="3"/>
    <n v="60"/>
    <s v="Vermont"/>
    <s v="XL"/>
    <s v="Olive"/>
    <x v="0"/>
    <x v="2"/>
    <s v="No"/>
    <x v="2"/>
    <x v="1"/>
    <x v="1"/>
    <x v="41"/>
    <x v="4"/>
    <x v="6"/>
    <x v="1"/>
    <n v="60"/>
    <n v="0"/>
  </r>
  <r>
    <n v="2643"/>
    <x v="31"/>
    <x v="0"/>
    <s v="Belt"/>
    <x v="3"/>
    <n v="87"/>
    <s v="Iowa"/>
    <s v="L"/>
    <s v="Peach"/>
    <x v="2"/>
    <x v="17"/>
    <s v="No"/>
    <x v="5"/>
    <x v="1"/>
    <x v="1"/>
    <x v="26"/>
    <x v="4"/>
    <x v="2"/>
    <x v="2"/>
    <n v="87"/>
    <n v="0"/>
  </r>
  <r>
    <n v="2644"/>
    <x v="34"/>
    <x v="0"/>
    <s v="Gloves"/>
    <x v="3"/>
    <n v="41"/>
    <s v="Maryland"/>
    <s v="S"/>
    <s v="Silver"/>
    <x v="1"/>
    <x v="3"/>
    <s v="No"/>
    <x v="2"/>
    <x v="1"/>
    <x v="1"/>
    <x v="10"/>
    <x v="1"/>
    <x v="5"/>
    <x v="2"/>
    <n v="41"/>
    <n v="0"/>
  </r>
  <r>
    <n v="2645"/>
    <x v="15"/>
    <x v="0"/>
    <s v="Pants"/>
    <x v="0"/>
    <n v="83"/>
    <s v="New Mexico"/>
    <s v="M"/>
    <s v="Turquoise"/>
    <x v="1"/>
    <x v="13"/>
    <s v="No"/>
    <x v="3"/>
    <x v="1"/>
    <x v="1"/>
    <x v="7"/>
    <x v="4"/>
    <x v="6"/>
    <x v="1"/>
    <n v="83"/>
    <n v="0"/>
  </r>
  <r>
    <n v="2646"/>
    <x v="51"/>
    <x v="0"/>
    <s v="Scarf"/>
    <x v="3"/>
    <n v="81"/>
    <s v="Louisiana"/>
    <s v="L"/>
    <s v="Olive"/>
    <x v="1"/>
    <x v="17"/>
    <s v="No"/>
    <x v="5"/>
    <x v="1"/>
    <x v="1"/>
    <x v="37"/>
    <x v="4"/>
    <x v="4"/>
    <x v="1"/>
    <n v="81"/>
    <n v="0"/>
  </r>
  <r>
    <n v="2647"/>
    <x v="23"/>
    <x v="0"/>
    <s v="T-shirt"/>
    <x v="0"/>
    <n v="56"/>
    <s v="New Mexico"/>
    <s v="S"/>
    <s v="Lavender"/>
    <x v="2"/>
    <x v="20"/>
    <s v="No"/>
    <x v="2"/>
    <x v="1"/>
    <x v="1"/>
    <x v="7"/>
    <x v="5"/>
    <x v="6"/>
    <x v="2"/>
    <n v="56"/>
    <n v="0"/>
  </r>
  <r>
    <n v="2648"/>
    <x v="52"/>
    <x v="0"/>
    <s v="Shoes"/>
    <x v="1"/>
    <n v="58"/>
    <s v="South Carolina"/>
    <s v="M"/>
    <s v="Red"/>
    <x v="2"/>
    <x v="13"/>
    <s v="No"/>
    <x v="4"/>
    <x v="1"/>
    <x v="1"/>
    <x v="29"/>
    <x v="5"/>
    <x v="2"/>
    <x v="0"/>
    <n v="58"/>
    <n v="0"/>
  </r>
  <r>
    <n v="2649"/>
    <x v="47"/>
    <x v="0"/>
    <s v="Pants"/>
    <x v="0"/>
    <n v="84"/>
    <s v="Illinois"/>
    <s v="M"/>
    <s v="Gray"/>
    <x v="1"/>
    <x v="20"/>
    <s v="No"/>
    <x v="2"/>
    <x v="1"/>
    <x v="1"/>
    <x v="0"/>
    <x v="3"/>
    <x v="4"/>
    <x v="0"/>
    <n v="84"/>
    <n v="0"/>
  </r>
  <r>
    <n v="2650"/>
    <x v="51"/>
    <x v="0"/>
    <s v="Gloves"/>
    <x v="3"/>
    <n v="21"/>
    <s v="Minnesota"/>
    <s v="M"/>
    <s v="Magenta"/>
    <x v="3"/>
    <x v="20"/>
    <s v="No"/>
    <x v="5"/>
    <x v="1"/>
    <x v="1"/>
    <x v="0"/>
    <x v="4"/>
    <x v="0"/>
    <x v="1"/>
    <n v="21"/>
    <n v="0"/>
  </r>
  <r>
    <n v="2651"/>
    <x v="30"/>
    <x v="0"/>
    <s v="Socks"/>
    <x v="0"/>
    <n v="35"/>
    <s v="Oregon"/>
    <s v="L"/>
    <s v="Maroon"/>
    <x v="2"/>
    <x v="19"/>
    <s v="No"/>
    <x v="3"/>
    <x v="1"/>
    <x v="1"/>
    <x v="15"/>
    <x v="2"/>
    <x v="6"/>
    <x v="1"/>
    <n v="35"/>
    <n v="0"/>
  </r>
  <r>
    <n v="2652"/>
    <x v="47"/>
    <x v="0"/>
    <s v="Sneakers"/>
    <x v="1"/>
    <n v="43"/>
    <s v="Tennessee"/>
    <s v="M"/>
    <s v="Cyan"/>
    <x v="2"/>
    <x v="12"/>
    <s v="No"/>
    <x v="5"/>
    <x v="1"/>
    <x v="1"/>
    <x v="46"/>
    <x v="3"/>
    <x v="3"/>
    <x v="0"/>
    <n v="43"/>
    <n v="0"/>
  </r>
  <r>
    <n v="2653"/>
    <x v="51"/>
    <x v="1"/>
    <s v="Shorts"/>
    <x v="0"/>
    <n v="20"/>
    <s v="Maryland"/>
    <s v="L"/>
    <s v="Cyan"/>
    <x v="2"/>
    <x v="13"/>
    <s v="No"/>
    <x v="4"/>
    <x v="1"/>
    <x v="1"/>
    <x v="15"/>
    <x v="2"/>
    <x v="5"/>
    <x v="1"/>
    <n v="20"/>
    <n v="0"/>
  </r>
  <r>
    <n v="2654"/>
    <x v="29"/>
    <x v="1"/>
    <s v="Blouse"/>
    <x v="0"/>
    <n v="36"/>
    <s v="Wisconsin"/>
    <s v="L"/>
    <s v="Lavender"/>
    <x v="3"/>
    <x v="6"/>
    <s v="No"/>
    <x v="0"/>
    <x v="1"/>
    <x v="1"/>
    <x v="37"/>
    <x v="0"/>
    <x v="6"/>
    <x v="0"/>
    <n v="36"/>
    <n v="0"/>
  </r>
  <r>
    <n v="2655"/>
    <x v="51"/>
    <x v="1"/>
    <s v="Coat"/>
    <x v="2"/>
    <n v="70"/>
    <s v="Idaho"/>
    <s v="S"/>
    <s v="Pink"/>
    <x v="3"/>
    <x v="7"/>
    <s v="No"/>
    <x v="2"/>
    <x v="1"/>
    <x v="1"/>
    <x v="7"/>
    <x v="3"/>
    <x v="2"/>
    <x v="1"/>
    <n v="70"/>
    <n v="0"/>
  </r>
  <r>
    <n v="2656"/>
    <x v="8"/>
    <x v="1"/>
    <s v="Sunglasses"/>
    <x v="3"/>
    <n v="83"/>
    <s v="Wyoming"/>
    <s v="M"/>
    <s v="Gray"/>
    <x v="2"/>
    <x v="23"/>
    <s v="No"/>
    <x v="3"/>
    <x v="1"/>
    <x v="1"/>
    <x v="1"/>
    <x v="2"/>
    <x v="0"/>
    <x v="2"/>
    <n v="83"/>
    <n v="0"/>
  </r>
  <r>
    <n v="2657"/>
    <x v="16"/>
    <x v="1"/>
    <s v="Shorts"/>
    <x v="0"/>
    <n v="76"/>
    <s v="Indiana"/>
    <s v="L"/>
    <s v="Yellow"/>
    <x v="0"/>
    <x v="15"/>
    <s v="No"/>
    <x v="0"/>
    <x v="1"/>
    <x v="1"/>
    <x v="32"/>
    <x v="4"/>
    <x v="0"/>
    <x v="0"/>
    <n v="76"/>
    <n v="0"/>
  </r>
  <r>
    <n v="2658"/>
    <x v="16"/>
    <x v="1"/>
    <s v="Dress"/>
    <x v="0"/>
    <n v="81"/>
    <s v="Texas"/>
    <s v="M"/>
    <s v="Pink"/>
    <x v="2"/>
    <x v="2"/>
    <s v="No"/>
    <x v="0"/>
    <x v="1"/>
    <x v="1"/>
    <x v="22"/>
    <x v="2"/>
    <x v="0"/>
    <x v="0"/>
    <n v="81"/>
    <n v="0"/>
  </r>
  <r>
    <n v="2659"/>
    <x v="16"/>
    <x v="1"/>
    <s v="Handbag"/>
    <x v="3"/>
    <n v="47"/>
    <s v="Ohio"/>
    <s v="XL"/>
    <s v="Indigo"/>
    <x v="2"/>
    <x v="4"/>
    <s v="No"/>
    <x v="2"/>
    <x v="1"/>
    <x v="1"/>
    <x v="30"/>
    <x v="3"/>
    <x v="5"/>
    <x v="0"/>
    <n v="47"/>
    <n v="0"/>
  </r>
  <r>
    <n v="2660"/>
    <x v="25"/>
    <x v="1"/>
    <s v="Boots"/>
    <x v="1"/>
    <n v="35"/>
    <s v="Kansas"/>
    <s v="L"/>
    <s v="Gray"/>
    <x v="2"/>
    <x v="14"/>
    <s v="No"/>
    <x v="4"/>
    <x v="1"/>
    <x v="1"/>
    <x v="15"/>
    <x v="2"/>
    <x v="0"/>
    <x v="2"/>
    <n v="35"/>
    <n v="0"/>
  </r>
  <r>
    <n v="2661"/>
    <x v="41"/>
    <x v="1"/>
    <s v="Pants"/>
    <x v="0"/>
    <n v="85"/>
    <s v="South Carolina"/>
    <s v="L"/>
    <s v="Yellow"/>
    <x v="1"/>
    <x v="8"/>
    <s v="No"/>
    <x v="0"/>
    <x v="1"/>
    <x v="1"/>
    <x v="12"/>
    <x v="0"/>
    <x v="2"/>
    <x v="1"/>
    <n v="85"/>
    <n v="0"/>
  </r>
  <r>
    <n v="2662"/>
    <x v="49"/>
    <x v="1"/>
    <s v="Boots"/>
    <x v="1"/>
    <n v="96"/>
    <s v="Michigan"/>
    <s v="XL"/>
    <s v="Olive"/>
    <x v="3"/>
    <x v="6"/>
    <s v="No"/>
    <x v="0"/>
    <x v="1"/>
    <x v="1"/>
    <x v="41"/>
    <x v="4"/>
    <x v="2"/>
    <x v="2"/>
    <n v="96"/>
    <n v="0"/>
  </r>
  <r>
    <n v="2663"/>
    <x v="15"/>
    <x v="1"/>
    <s v="Skirt"/>
    <x v="0"/>
    <n v="98"/>
    <s v="Nebraska"/>
    <s v="M"/>
    <s v="Cyan"/>
    <x v="2"/>
    <x v="11"/>
    <s v="No"/>
    <x v="4"/>
    <x v="1"/>
    <x v="1"/>
    <x v="12"/>
    <x v="3"/>
    <x v="0"/>
    <x v="1"/>
    <n v="98"/>
    <n v="0"/>
  </r>
  <r>
    <n v="2664"/>
    <x v="5"/>
    <x v="1"/>
    <s v="Sneakers"/>
    <x v="1"/>
    <n v="52"/>
    <s v="Wisconsin"/>
    <s v="L"/>
    <s v="Silver"/>
    <x v="3"/>
    <x v="3"/>
    <s v="No"/>
    <x v="1"/>
    <x v="1"/>
    <x v="1"/>
    <x v="2"/>
    <x v="4"/>
    <x v="2"/>
    <x v="2"/>
    <n v="52"/>
    <n v="0"/>
  </r>
  <r>
    <n v="2665"/>
    <x v="40"/>
    <x v="1"/>
    <s v="Jewelry"/>
    <x v="3"/>
    <n v="84"/>
    <s v="Illinois"/>
    <s v="L"/>
    <s v="Silver"/>
    <x v="0"/>
    <x v="4"/>
    <s v="No"/>
    <x v="5"/>
    <x v="1"/>
    <x v="1"/>
    <x v="10"/>
    <x v="3"/>
    <x v="1"/>
    <x v="1"/>
    <n v="84"/>
    <n v="0"/>
  </r>
  <r>
    <n v="2666"/>
    <x v="27"/>
    <x v="1"/>
    <s v="T-shirt"/>
    <x v="0"/>
    <n v="71"/>
    <s v="Louisiana"/>
    <s v="L"/>
    <s v="Red"/>
    <x v="0"/>
    <x v="1"/>
    <s v="No"/>
    <x v="5"/>
    <x v="1"/>
    <x v="1"/>
    <x v="7"/>
    <x v="0"/>
    <x v="1"/>
    <x v="0"/>
    <n v="71"/>
    <n v="0"/>
  </r>
  <r>
    <n v="2667"/>
    <x v="34"/>
    <x v="1"/>
    <s v="Sandals"/>
    <x v="1"/>
    <n v="95"/>
    <s v="Ohio"/>
    <s v="S"/>
    <s v="Brown"/>
    <x v="0"/>
    <x v="7"/>
    <s v="No"/>
    <x v="5"/>
    <x v="1"/>
    <x v="1"/>
    <x v="0"/>
    <x v="0"/>
    <x v="0"/>
    <x v="2"/>
    <n v="95"/>
    <n v="0"/>
  </r>
  <r>
    <n v="2668"/>
    <x v="39"/>
    <x v="1"/>
    <s v="Boots"/>
    <x v="1"/>
    <n v="47"/>
    <s v="Maryland"/>
    <s v="M"/>
    <s v="Orange"/>
    <x v="2"/>
    <x v="7"/>
    <s v="No"/>
    <x v="1"/>
    <x v="1"/>
    <x v="1"/>
    <x v="4"/>
    <x v="1"/>
    <x v="0"/>
    <x v="2"/>
    <n v="47"/>
    <n v="0"/>
  </r>
  <r>
    <n v="2669"/>
    <x v="35"/>
    <x v="1"/>
    <s v="Coat"/>
    <x v="2"/>
    <n v="75"/>
    <s v="Texas"/>
    <s v="M"/>
    <s v="Black"/>
    <x v="2"/>
    <x v="6"/>
    <s v="No"/>
    <x v="2"/>
    <x v="1"/>
    <x v="1"/>
    <x v="44"/>
    <x v="3"/>
    <x v="3"/>
    <x v="0"/>
    <n v="75"/>
    <n v="0"/>
  </r>
  <r>
    <n v="2670"/>
    <x v="31"/>
    <x v="1"/>
    <s v="Belt"/>
    <x v="3"/>
    <n v="28"/>
    <s v="Illinois"/>
    <s v="L"/>
    <s v="Teal"/>
    <x v="1"/>
    <x v="11"/>
    <s v="No"/>
    <x v="1"/>
    <x v="1"/>
    <x v="1"/>
    <x v="4"/>
    <x v="2"/>
    <x v="1"/>
    <x v="2"/>
    <n v="28"/>
    <n v="0"/>
  </r>
  <r>
    <n v="2671"/>
    <x v="11"/>
    <x v="1"/>
    <s v="Sunglasses"/>
    <x v="3"/>
    <n v="44"/>
    <s v="Pennsylvania"/>
    <s v="M"/>
    <s v="Yellow"/>
    <x v="3"/>
    <x v="10"/>
    <s v="No"/>
    <x v="0"/>
    <x v="1"/>
    <x v="1"/>
    <x v="8"/>
    <x v="4"/>
    <x v="4"/>
    <x v="2"/>
    <n v="44"/>
    <n v="0"/>
  </r>
  <r>
    <n v="2672"/>
    <x v="43"/>
    <x v="1"/>
    <s v="Sandals"/>
    <x v="1"/>
    <n v="64"/>
    <s v="Alabama"/>
    <s v="XL"/>
    <s v="Gray"/>
    <x v="0"/>
    <x v="6"/>
    <s v="No"/>
    <x v="4"/>
    <x v="1"/>
    <x v="1"/>
    <x v="23"/>
    <x v="3"/>
    <x v="6"/>
    <x v="2"/>
    <n v="64"/>
    <n v="0"/>
  </r>
  <r>
    <n v="2673"/>
    <x v="19"/>
    <x v="1"/>
    <s v="Boots"/>
    <x v="1"/>
    <n v="28"/>
    <s v="West Virginia"/>
    <s v="M"/>
    <s v="Maroon"/>
    <x v="1"/>
    <x v="3"/>
    <s v="No"/>
    <x v="3"/>
    <x v="1"/>
    <x v="1"/>
    <x v="21"/>
    <x v="1"/>
    <x v="2"/>
    <x v="0"/>
    <n v="28"/>
    <n v="0"/>
  </r>
  <r>
    <n v="2674"/>
    <x v="29"/>
    <x v="1"/>
    <s v="Hoodie"/>
    <x v="0"/>
    <n v="21"/>
    <s v="Nevada"/>
    <s v="M"/>
    <s v="Olive"/>
    <x v="2"/>
    <x v="5"/>
    <s v="No"/>
    <x v="4"/>
    <x v="1"/>
    <x v="1"/>
    <x v="7"/>
    <x v="1"/>
    <x v="5"/>
    <x v="0"/>
    <n v="21"/>
    <n v="0"/>
  </r>
  <r>
    <n v="2675"/>
    <x v="37"/>
    <x v="1"/>
    <s v="Hat"/>
    <x v="3"/>
    <n v="41"/>
    <s v="Florida"/>
    <s v="S"/>
    <s v="Charcoal"/>
    <x v="3"/>
    <x v="13"/>
    <s v="No"/>
    <x v="0"/>
    <x v="1"/>
    <x v="1"/>
    <x v="28"/>
    <x v="1"/>
    <x v="6"/>
    <x v="2"/>
    <n v="41"/>
    <n v="0"/>
  </r>
  <r>
    <n v="2676"/>
    <x v="41"/>
    <x v="1"/>
    <s v="Shorts"/>
    <x v="0"/>
    <n v="38"/>
    <s v="Virginia"/>
    <s v="M"/>
    <s v="Peach"/>
    <x v="0"/>
    <x v="23"/>
    <s v="No"/>
    <x v="1"/>
    <x v="1"/>
    <x v="1"/>
    <x v="25"/>
    <x v="1"/>
    <x v="4"/>
    <x v="1"/>
    <n v="38"/>
    <n v="0"/>
  </r>
  <r>
    <n v="2677"/>
    <x v="49"/>
    <x v="1"/>
    <s v="Backpack"/>
    <x v="3"/>
    <n v="77"/>
    <s v="Kentucky"/>
    <s v="M"/>
    <s v="Maroon"/>
    <x v="1"/>
    <x v="15"/>
    <s v="No"/>
    <x v="1"/>
    <x v="1"/>
    <x v="1"/>
    <x v="35"/>
    <x v="1"/>
    <x v="0"/>
    <x v="2"/>
    <n v="77"/>
    <n v="0"/>
  </r>
  <r>
    <n v="2678"/>
    <x v="4"/>
    <x v="1"/>
    <s v="Shorts"/>
    <x v="0"/>
    <n v="43"/>
    <s v="Connecticut"/>
    <s v="L"/>
    <s v="Olive"/>
    <x v="1"/>
    <x v="22"/>
    <s v="No"/>
    <x v="2"/>
    <x v="1"/>
    <x v="1"/>
    <x v="49"/>
    <x v="3"/>
    <x v="6"/>
    <x v="2"/>
    <n v="43"/>
    <n v="0"/>
  </r>
  <r>
    <n v="2679"/>
    <x v="23"/>
    <x v="1"/>
    <s v="Belt"/>
    <x v="3"/>
    <n v="91"/>
    <s v="Montana"/>
    <s v="M"/>
    <s v="Magenta"/>
    <x v="1"/>
    <x v="23"/>
    <s v="No"/>
    <x v="4"/>
    <x v="1"/>
    <x v="1"/>
    <x v="11"/>
    <x v="2"/>
    <x v="4"/>
    <x v="2"/>
    <n v="91"/>
    <n v="0"/>
  </r>
  <r>
    <n v="2680"/>
    <x v="10"/>
    <x v="1"/>
    <s v="Shorts"/>
    <x v="0"/>
    <n v="68"/>
    <s v="Montana"/>
    <s v="S"/>
    <s v="Yellow"/>
    <x v="1"/>
    <x v="22"/>
    <s v="No"/>
    <x v="0"/>
    <x v="1"/>
    <x v="1"/>
    <x v="22"/>
    <x v="5"/>
    <x v="3"/>
    <x v="0"/>
    <n v="68"/>
    <n v="0"/>
  </r>
  <r>
    <n v="2681"/>
    <x v="42"/>
    <x v="1"/>
    <s v="Socks"/>
    <x v="0"/>
    <n v="37"/>
    <s v="Nebraska"/>
    <s v="L"/>
    <s v="Indigo"/>
    <x v="3"/>
    <x v="13"/>
    <s v="No"/>
    <x v="2"/>
    <x v="1"/>
    <x v="1"/>
    <x v="33"/>
    <x v="0"/>
    <x v="2"/>
    <x v="2"/>
    <n v="37"/>
    <n v="0"/>
  </r>
  <r>
    <n v="2682"/>
    <x v="51"/>
    <x v="1"/>
    <s v="Shoes"/>
    <x v="1"/>
    <n v="23"/>
    <s v="Massachusetts"/>
    <s v="L"/>
    <s v="Olive"/>
    <x v="2"/>
    <x v="6"/>
    <s v="No"/>
    <x v="3"/>
    <x v="1"/>
    <x v="1"/>
    <x v="14"/>
    <x v="5"/>
    <x v="5"/>
    <x v="1"/>
    <n v="23"/>
    <n v="0"/>
  </r>
  <r>
    <n v="2683"/>
    <x v="35"/>
    <x v="1"/>
    <s v="Sneakers"/>
    <x v="1"/>
    <n v="65"/>
    <s v="North Carolina"/>
    <s v="L"/>
    <s v="Maroon"/>
    <x v="0"/>
    <x v="20"/>
    <s v="No"/>
    <x v="4"/>
    <x v="1"/>
    <x v="1"/>
    <x v="36"/>
    <x v="0"/>
    <x v="6"/>
    <x v="0"/>
    <n v="65"/>
    <n v="0"/>
  </r>
  <r>
    <n v="2684"/>
    <x v="33"/>
    <x v="1"/>
    <s v="Backpack"/>
    <x v="3"/>
    <n v="30"/>
    <s v="Montana"/>
    <s v="M"/>
    <s v="Indigo"/>
    <x v="2"/>
    <x v="19"/>
    <s v="No"/>
    <x v="2"/>
    <x v="1"/>
    <x v="1"/>
    <x v="33"/>
    <x v="1"/>
    <x v="0"/>
    <x v="0"/>
    <n v="30"/>
    <n v="0"/>
  </r>
  <r>
    <n v="2685"/>
    <x v="5"/>
    <x v="1"/>
    <s v="Dress"/>
    <x v="0"/>
    <n v="45"/>
    <s v="Washington"/>
    <s v="M"/>
    <s v="Gray"/>
    <x v="2"/>
    <x v="10"/>
    <s v="No"/>
    <x v="1"/>
    <x v="1"/>
    <x v="1"/>
    <x v="38"/>
    <x v="2"/>
    <x v="4"/>
    <x v="2"/>
    <n v="45"/>
    <n v="0"/>
  </r>
  <r>
    <n v="2686"/>
    <x v="19"/>
    <x v="1"/>
    <s v="Boots"/>
    <x v="1"/>
    <n v="25"/>
    <s v="Virginia"/>
    <s v="M"/>
    <s v="Gray"/>
    <x v="0"/>
    <x v="2"/>
    <s v="No"/>
    <x v="0"/>
    <x v="1"/>
    <x v="1"/>
    <x v="3"/>
    <x v="2"/>
    <x v="3"/>
    <x v="0"/>
    <n v="25"/>
    <n v="0"/>
  </r>
  <r>
    <n v="2687"/>
    <x v="37"/>
    <x v="1"/>
    <s v="Socks"/>
    <x v="0"/>
    <n v="72"/>
    <s v="Georgia"/>
    <s v="M"/>
    <s v="Black"/>
    <x v="0"/>
    <x v="22"/>
    <s v="No"/>
    <x v="4"/>
    <x v="1"/>
    <x v="1"/>
    <x v="42"/>
    <x v="1"/>
    <x v="0"/>
    <x v="2"/>
    <n v="72"/>
    <n v="0"/>
  </r>
  <r>
    <n v="2688"/>
    <x v="12"/>
    <x v="1"/>
    <s v="Dress"/>
    <x v="0"/>
    <n v="75"/>
    <s v="Delaware"/>
    <s v="M"/>
    <s v="White"/>
    <x v="3"/>
    <x v="15"/>
    <s v="No"/>
    <x v="4"/>
    <x v="1"/>
    <x v="1"/>
    <x v="45"/>
    <x v="5"/>
    <x v="4"/>
    <x v="0"/>
    <n v="75"/>
    <n v="0"/>
  </r>
  <r>
    <n v="2689"/>
    <x v="10"/>
    <x v="1"/>
    <s v="Handbag"/>
    <x v="3"/>
    <n v="63"/>
    <s v="West Virginia"/>
    <s v="XL"/>
    <s v="Turquoise"/>
    <x v="1"/>
    <x v="3"/>
    <s v="No"/>
    <x v="4"/>
    <x v="1"/>
    <x v="1"/>
    <x v="27"/>
    <x v="2"/>
    <x v="6"/>
    <x v="0"/>
    <n v="63"/>
    <n v="0"/>
  </r>
  <r>
    <n v="2690"/>
    <x v="26"/>
    <x v="1"/>
    <s v="Blouse"/>
    <x v="0"/>
    <n v="35"/>
    <s v="Wyoming"/>
    <s v="M"/>
    <s v="Orange"/>
    <x v="3"/>
    <x v="20"/>
    <s v="No"/>
    <x v="3"/>
    <x v="1"/>
    <x v="1"/>
    <x v="39"/>
    <x v="3"/>
    <x v="3"/>
    <x v="2"/>
    <n v="35"/>
    <n v="0"/>
  </r>
  <r>
    <n v="2691"/>
    <x v="42"/>
    <x v="1"/>
    <s v="Belt"/>
    <x v="3"/>
    <n v="32"/>
    <s v="New Mexico"/>
    <s v="L"/>
    <s v="Yellow"/>
    <x v="2"/>
    <x v="10"/>
    <s v="No"/>
    <x v="1"/>
    <x v="1"/>
    <x v="1"/>
    <x v="27"/>
    <x v="4"/>
    <x v="1"/>
    <x v="2"/>
    <n v="32"/>
    <n v="0"/>
  </r>
  <r>
    <n v="2692"/>
    <x v="49"/>
    <x v="1"/>
    <s v="Pants"/>
    <x v="0"/>
    <n v="25"/>
    <s v="Nebraska"/>
    <s v="L"/>
    <s v="Blue"/>
    <x v="0"/>
    <x v="13"/>
    <s v="No"/>
    <x v="4"/>
    <x v="1"/>
    <x v="1"/>
    <x v="26"/>
    <x v="1"/>
    <x v="5"/>
    <x v="2"/>
    <n v="25"/>
    <n v="0"/>
  </r>
  <r>
    <n v="2693"/>
    <x v="37"/>
    <x v="1"/>
    <s v="Sneakers"/>
    <x v="1"/>
    <n v="90"/>
    <s v="Washington"/>
    <s v="XL"/>
    <s v="Violet"/>
    <x v="1"/>
    <x v="19"/>
    <s v="No"/>
    <x v="1"/>
    <x v="1"/>
    <x v="1"/>
    <x v="27"/>
    <x v="5"/>
    <x v="6"/>
    <x v="2"/>
    <n v="90"/>
    <n v="0"/>
  </r>
  <r>
    <n v="2694"/>
    <x v="0"/>
    <x v="1"/>
    <s v="Boots"/>
    <x v="1"/>
    <n v="70"/>
    <s v="Hawaii"/>
    <s v="L"/>
    <s v="Lavender"/>
    <x v="2"/>
    <x v="5"/>
    <s v="No"/>
    <x v="3"/>
    <x v="1"/>
    <x v="1"/>
    <x v="15"/>
    <x v="1"/>
    <x v="3"/>
    <x v="0"/>
    <n v="70"/>
    <n v="0"/>
  </r>
  <r>
    <n v="2695"/>
    <x v="17"/>
    <x v="1"/>
    <s v="Sunglasses"/>
    <x v="3"/>
    <n v="27"/>
    <s v="Louisiana"/>
    <s v="M"/>
    <s v="Olive"/>
    <x v="1"/>
    <x v="8"/>
    <s v="No"/>
    <x v="0"/>
    <x v="1"/>
    <x v="1"/>
    <x v="11"/>
    <x v="2"/>
    <x v="6"/>
    <x v="0"/>
    <n v="27"/>
    <n v="0"/>
  </r>
  <r>
    <n v="2696"/>
    <x v="2"/>
    <x v="1"/>
    <s v="Hat"/>
    <x v="3"/>
    <n v="92"/>
    <s v="Tennessee"/>
    <s v="M"/>
    <s v="Orange"/>
    <x v="3"/>
    <x v="15"/>
    <s v="No"/>
    <x v="3"/>
    <x v="1"/>
    <x v="1"/>
    <x v="9"/>
    <x v="3"/>
    <x v="4"/>
    <x v="2"/>
    <n v="92"/>
    <n v="0"/>
  </r>
  <r>
    <n v="2697"/>
    <x v="9"/>
    <x v="1"/>
    <s v="Coat"/>
    <x v="2"/>
    <n v="20"/>
    <s v="South Dakota"/>
    <s v="M"/>
    <s v="White"/>
    <x v="1"/>
    <x v="10"/>
    <s v="No"/>
    <x v="1"/>
    <x v="1"/>
    <x v="1"/>
    <x v="45"/>
    <x v="5"/>
    <x v="5"/>
    <x v="0"/>
    <n v="20"/>
    <n v="0"/>
  </r>
  <r>
    <n v="2698"/>
    <x v="32"/>
    <x v="1"/>
    <s v="Jacket"/>
    <x v="2"/>
    <n v="52"/>
    <s v="Delaware"/>
    <s v="L"/>
    <s v="Red"/>
    <x v="0"/>
    <x v="4"/>
    <s v="No"/>
    <x v="3"/>
    <x v="1"/>
    <x v="1"/>
    <x v="13"/>
    <x v="4"/>
    <x v="3"/>
    <x v="2"/>
    <n v="52"/>
    <n v="0"/>
  </r>
  <r>
    <n v="2699"/>
    <x v="0"/>
    <x v="1"/>
    <s v="Hoodie"/>
    <x v="0"/>
    <n v="57"/>
    <s v="Virginia"/>
    <s v="M"/>
    <s v="Magenta"/>
    <x v="2"/>
    <x v="15"/>
    <s v="No"/>
    <x v="5"/>
    <x v="1"/>
    <x v="1"/>
    <x v="11"/>
    <x v="0"/>
    <x v="3"/>
    <x v="0"/>
    <n v="57"/>
    <n v="0"/>
  </r>
  <r>
    <n v="2700"/>
    <x v="15"/>
    <x v="1"/>
    <s v="Boots"/>
    <x v="1"/>
    <n v="96"/>
    <s v="Utah"/>
    <s v="M"/>
    <s v="Violet"/>
    <x v="3"/>
    <x v="15"/>
    <s v="No"/>
    <x v="4"/>
    <x v="1"/>
    <x v="1"/>
    <x v="3"/>
    <x v="5"/>
    <x v="2"/>
    <x v="1"/>
    <n v="96"/>
    <n v="0"/>
  </r>
  <r>
    <n v="2701"/>
    <x v="40"/>
    <x v="1"/>
    <s v="T-shirt"/>
    <x v="0"/>
    <n v="68"/>
    <s v="California"/>
    <s v="XL"/>
    <s v="Olive"/>
    <x v="0"/>
    <x v="4"/>
    <s v="No"/>
    <x v="3"/>
    <x v="1"/>
    <x v="1"/>
    <x v="13"/>
    <x v="1"/>
    <x v="1"/>
    <x v="1"/>
    <n v="68"/>
    <n v="0"/>
  </r>
  <r>
    <n v="2702"/>
    <x v="34"/>
    <x v="1"/>
    <s v="Sweater"/>
    <x v="0"/>
    <n v="30"/>
    <s v="Idaho"/>
    <s v="L"/>
    <s v="Silver"/>
    <x v="2"/>
    <x v="11"/>
    <s v="No"/>
    <x v="5"/>
    <x v="1"/>
    <x v="1"/>
    <x v="27"/>
    <x v="4"/>
    <x v="0"/>
    <x v="2"/>
    <n v="30"/>
    <n v="0"/>
  </r>
  <r>
    <n v="2703"/>
    <x v="27"/>
    <x v="1"/>
    <s v="Shoes"/>
    <x v="1"/>
    <n v="37"/>
    <s v="Texas"/>
    <s v="L"/>
    <s v="Gray"/>
    <x v="3"/>
    <x v="17"/>
    <s v="No"/>
    <x v="2"/>
    <x v="1"/>
    <x v="1"/>
    <x v="30"/>
    <x v="5"/>
    <x v="0"/>
    <x v="0"/>
    <n v="37"/>
    <n v="0"/>
  </r>
  <r>
    <n v="2704"/>
    <x v="19"/>
    <x v="1"/>
    <s v="Scarf"/>
    <x v="3"/>
    <n v="42"/>
    <s v="Tennessee"/>
    <s v="XL"/>
    <s v="Olive"/>
    <x v="0"/>
    <x v="14"/>
    <s v="No"/>
    <x v="1"/>
    <x v="1"/>
    <x v="1"/>
    <x v="11"/>
    <x v="3"/>
    <x v="1"/>
    <x v="0"/>
    <n v="42"/>
    <n v="0"/>
  </r>
  <r>
    <n v="2705"/>
    <x v="16"/>
    <x v="1"/>
    <s v="Dress"/>
    <x v="0"/>
    <n v="54"/>
    <s v="Tennessee"/>
    <s v="L"/>
    <s v="Beige"/>
    <x v="1"/>
    <x v="23"/>
    <s v="No"/>
    <x v="2"/>
    <x v="1"/>
    <x v="1"/>
    <x v="31"/>
    <x v="5"/>
    <x v="1"/>
    <x v="0"/>
    <n v="54"/>
    <n v="0"/>
  </r>
  <r>
    <n v="2706"/>
    <x v="13"/>
    <x v="1"/>
    <s v="Jacket"/>
    <x v="2"/>
    <n v="81"/>
    <s v="Washington"/>
    <s v="S"/>
    <s v="Turquoise"/>
    <x v="1"/>
    <x v="16"/>
    <s v="No"/>
    <x v="5"/>
    <x v="1"/>
    <x v="1"/>
    <x v="43"/>
    <x v="2"/>
    <x v="4"/>
    <x v="0"/>
    <n v="81"/>
    <n v="0"/>
  </r>
  <r>
    <n v="2707"/>
    <x v="41"/>
    <x v="1"/>
    <s v="Shoes"/>
    <x v="1"/>
    <n v="40"/>
    <s v="Alabama"/>
    <s v="S"/>
    <s v="Blue"/>
    <x v="1"/>
    <x v="0"/>
    <s v="No"/>
    <x v="0"/>
    <x v="1"/>
    <x v="1"/>
    <x v="26"/>
    <x v="5"/>
    <x v="3"/>
    <x v="1"/>
    <n v="40"/>
    <n v="0"/>
  </r>
  <r>
    <n v="2708"/>
    <x v="45"/>
    <x v="1"/>
    <s v="Backpack"/>
    <x v="3"/>
    <n v="88"/>
    <s v="Nebraska"/>
    <s v="M"/>
    <s v="Pink"/>
    <x v="3"/>
    <x v="19"/>
    <s v="No"/>
    <x v="3"/>
    <x v="1"/>
    <x v="1"/>
    <x v="5"/>
    <x v="1"/>
    <x v="1"/>
    <x v="2"/>
    <n v="88"/>
    <n v="0"/>
  </r>
  <r>
    <n v="2709"/>
    <x v="9"/>
    <x v="1"/>
    <s v="Dress"/>
    <x v="0"/>
    <n v="94"/>
    <s v="Alabama"/>
    <s v="M"/>
    <s v="Teal"/>
    <x v="2"/>
    <x v="13"/>
    <s v="No"/>
    <x v="5"/>
    <x v="1"/>
    <x v="1"/>
    <x v="12"/>
    <x v="5"/>
    <x v="1"/>
    <x v="0"/>
    <n v="94"/>
    <n v="0"/>
  </r>
  <r>
    <n v="2710"/>
    <x v="25"/>
    <x v="1"/>
    <s v="Shirt"/>
    <x v="0"/>
    <n v="54"/>
    <s v="Illinois"/>
    <s v="S"/>
    <s v="Cyan"/>
    <x v="0"/>
    <x v="3"/>
    <s v="No"/>
    <x v="3"/>
    <x v="1"/>
    <x v="1"/>
    <x v="44"/>
    <x v="2"/>
    <x v="4"/>
    <x v="2"/>
    <n v="54"/>
    <n v="0"/>
  </r>
  <r>
    <n v="2711"/>
    <x v="28"/>
    <x v="1"/>
    <s v="Jacket"/>
    <x v="2"/>
    <n v="51"/>
    <s v="Wisconsin"/>
    <s v="L"/>
    <s v="Purple"/>
    <x v="2"/>
    <x v="10"/>
    <s v="No"/>
    <x v="3"/>
    <x v="1"/>
    <x v="1"/>
    <x v="35"/>
    <x v="4"/>
    <x v="0"/>
    <x v="0"/>
    <n v="51"/>
    <n v="0"/>
  </r>
  <r>
    <n v="2712"/>
    <x v="11"/>
    <x v="1"/>
    <s v="Sunglasses"/>
    <x v="3"/>
    <n v="22"/>
    <s v="Nebraska"/>
    <s v="L"/>
    <s v="Red"/>
    <x v="1"/>
    <x v="17"/>
    <s v="No"/>
    <x v="3"/>
    <x v="1"/>
    <x v="1"/>
    <x v="16"/>
    <x v="0"/>
    <x v="5"/>
    <x v="2"/>
    <n v="22"/>
    <n v="0"/>
  </r>
  <r>
    <n v="2713"/>
    <x v="43"/>
    <x v="1"/>
    <s v="Jacket"/>
    <x v="2"/>
    <n v="95"/>
    <s v="North Dakota"/>
    <s v="L"/>
    <s v="Brown"/>
    <x v="3"/>
    <x v="12"/>
    <s v="No"/>
    <x v="3"/>
    <x v="1"/>
    <x v="1"/>
    <x v="22"/>
    <x v="5"/>
    <x v="3"/>
    <x v="2"/>
    <n v="95"/>
    <n v="0"/>
  </r>
  <r>
    <n v="2714"/>
    <x v="1"/>
    <x v="1"/>
    <s v="Coat"/>
    <x v="2"/>
    <n v="57"/>
    <s v="Mississippi"/>
    <s v="M"/>
    <s v="Magenta"/>
    <x v="3"/>
    <x v="22"/>
    <s v="No"/>
    <x v="4"/>
    <x v="1"/>
    <x v="1"/>
    <x v="41"/>
    <x v="5"/>
    <x v="2"/>
    <x v="1"/>
    <n v="57"/>
    <n v="0"/>
  </r>
  <r>
    <n v="2715"/>
    <x v="10"/>
    <x v="1"/>
    <s v="Sweater"/>
    <x v="0"/>
    <n v="45"/>
    <s v="Iowa"/>
    <s v="S"/>
    <s v="Olive"/>
    <x v="0"/>
    <x v="15"/>
    <s v="No"/>
    <x v="5"/>
    <x v="1"/>
    <x v="1"/>
    <x v="20"/>
    <x v="2"/>
    <x v="4"/>
    <x v="0"/>
    <n v="45"/>
    <n v="0"/>
  </r>
  <r>
    <n v="2716"/>
    <x v="15"/>
    <x v="1"/>
    <s v="Sneakers"/>
    <x v="1"/>
    <n v="92"/>
    <s v="Mississippi"/>
    <s v="XL"/>
    <s v="Pink"/>
    <x v="0"/>
    <x v="7"/>
    <s v="No"/>
    <x v="0"/>
    <x v="1"/>
    <x v="1"/>
    <x v="32"/>
    <x v="3"/>
    <x v="0"/>
    <x v="1"/>
    <n v="92"/>
    <n v="0"/>
  </r>
  <r>
    <n v="2717"/>
    <x v="36"/>
    <x v="1"/>
    <s v="Shoes"/>
    <x v="1"/>
    <n v="40"/>
    <s v="Colorado"/>
    <s v="L"/>
    <s v="Black"/>
    <x v="1"/>
    <x v="2"/>
    <s v="No"/>
    <x v="5"/>
    <x v="1"/>
    <x v="1"/>
    <x v="33"/>
    <x v="5"/>
    <x v="1"/>
    <x v="2"/>
    <n v="40"/>
    <n v="0"/>
  </r>
  <r>
    <n v="2718"/>
    <x v="20"/>
    <x v="1"/>
    <s v="Sunglasses"/>
    <x v="3"/>
    <n v="62"/>
    <s v="Nebraska"/>
    <s v="XL"/>
    <s v="Beige"/>
    <x v="0"/>
    <x v="24"/>
    <s v="No"/>
    <x v="1"/>
    <x v="1"/>
    <x v="1"/>
    <x v="5"/>
    <x v="2"/>
    <x v="6"/>
    <x v="1"/>
    <n v="62"/>
    <n v="0"/>
  </r>
  <r>
    <n v="2719"/>
    <x v="40"/>
    <x v="1"/>
    <s v="Shorts"/>
    <x v="0"/>
    <n v="90"/>
    <s v="Virginia"/>
    <s v="M"/>
    <s v="Peach"/>
    <x v="0"/>
    <x v="8"/>
    <s v="No"/>
    <x v="2"/>
    <x v="1"/>
    <x v="1"/>
    <x v="9"/>
    <x v="0"/>
    <x v="4"/>
    <x v="1"/>
    <n v="90"/>
    <n v="0"/>
  </r>
  <r>
    <n v="2720"/>
    <x v="28"/>
    <x v="1"/>
    <s v="Hoodie"/>
    <x v="0"/>
    <n v="82"/>
    <s v="Louisiana"/>
    <s v="S"/>
    <s v="Peach"/>
    <x v="3"/>
    <x v="19"/>
    <s v="No"/>
    <x v="1"/>
    <x v="1"/>
    <x v="1"/>
    <x v="7"/>
    <x v="4"/>
    <x v="5"/>
    <x v="0"/>
    <n v="82"/>
    <n v="0"/>
  </r>
  <r>
    <n v="2721"/>
    <x v="0"/>
    <x v="1"/>
    <s v="Scarf"/>
    <x v="3"/>
    <n v="52"/>
    <s v="Maryland"/>
    <s v="M"/>
    <s v="Peach"/>
    <x v="1"/>
    <x v="11"/>
    <s v="No"/>
    <x v="5"/>
    <x v="1"/>
    <x v="1"/>
    <x v="24"/>
    <x v="4"/>
    <x v="3"/>
    <x v="0"/>
    <n v="52"/>
    <n v="0"/>
  </r>
  <r>
    <n v="2722"/>
    <x v="1"/>
    <x v="1"/>
    <s v="Sandals"/>
    <x v="1"/>
    <n v="70"/>
    <s v="Minnesota"/>
    <s v="S"/>
    <s v="Teal"/>
    <x v="1"/>
    <x v="8"/>
    <s v="No"/>
    <x v="1"/>
    <x v="1"/>
    <x v="1"/>
    <x v="14"/>
    <x v="3"/>
    <x v="0"/>
    <x v="1"/>
    <n v="70"/>
    <n v="0"/>
  </r>
  <r>
    <n v="2723"/>
    <x v="51"/>
    <x v="1"/>
    <s v="Hat"/>
    <x v="3"/>
    <n v="83"/>
    <s v="Maine"/>
    <s v="M"/>
    <s v="Green"/>
    <x v="1"/>
    <x v="11"/>
    <s v="No"/>
    <x v="4"/>
    <x v="1"/>
    <x v="1"/>
    <x v="17"/>
    <x v="3"/>
    <x v="0"/>
    <x v="1"/>
    <n v="83"/>
    <n v="0"/>
  </r>
  <r>
    <n v="2724"/>
    <x v="22"/>
    <x v="1"/>
    <s v="Shoes"/>
    <x v="1"/>
    <n v="49"/>
    <s v="Texas"/>
    <s v="XL"/>
    <s v="Brown"/>
    <x v="2"/>
    <x v="3"/>
    <s v="No"/>
    <x v="5"/>
    <x v="1"/>
    <x v="1"/>
    <x v="35"/>
    <x v="3"/>
    <x v="6"/>
    <x v="0"/>
    <n v="49"/>
    <n v="0"/>
  </r>
  <r>
    <n v="2725"/>
    <x v="16"/>
    <x v="1"/>
    <s v="Sneakers"/>
    <x v="1"/>
    <n v="91"/>
    <s v="Missouri"/>
    <s v="M"/>
    <s v="Brown"/>
    <x v="1"/>
    <x v="25"/>
    <s v="No"/>
    <x v="2"/>
    <x v="1"/>
    <x v="1"/>
    <x v="47"/>
    <x v="5"/>
    <x v="0"/>
    <x v="0"/>
    <n v="91"/>
    <n v="0"/>
  </r>
  <r>
    <n v="2726"/>
    <x v="14"/>
    <x v="1"/>
    <s v="Backpack"/>
    <x v="3"/>
    <n v="99"/>
    <s v="Mississippi"/>
    <s v="S"/>
    <s v="Violet"/>
    <x v="2"/>
    <x v="2"/>
    <s v="No"/>
    <x v="1"/>
    <x v="1"/>
    <x v="1"/>
    <x v="7"/>
    <x v="5"/>
    <x v="2"/>
    <x v="0"/>
    <n v="99"/>
    <n v="0"/>
  </r>
  <r>
    <n v="2727"/>
    <x v="23"/>
    <x v="1"/>
    <s v="Belt"/>
    <x v="3"/>
    <n v="92"/>
    <s v="Michigan"/>
    <s v="L"/>
    <s v="Blue"/>
    <x v="0"/>
    <x v="13"/>
    <s v="No"/>
    <x v="1"/>
    <x v="1"/>
    <x v="1"/>
    <x v="47"/>
    <x v="3"/>
    <x v="4"/>
    <x v="2"/>
    <n v="92"/>
    <n v="0"/>
  </r>
  <r>
    <n v="2728"/>
    <x v="37"/>
    <x v="1"/>
    <s v="Shirt"/>
    <x v="0"/>
    <n v="87"/>
    <s v="Colorado"/>
    <s v="L"/>
    <s v="Charcoal"/>
    <x v="0"/>
    <x v="18"/>
    <s v="No"/>
    <x v="4"/>
    <x v="1"/>
    <x v="1"/>
    <x v="39"/>
    <x v="2"/>
    <x v="0"/>
    <x v="2"/>
    <n v="87"/>
    <n v="0"/>
  </r>
  <r>
    <n v="2729"/>
    <x v="8"/>
    <x v="1"/>
    <s v="Skirt"/>
    <x v="0"/>
    <n v="28"/>
    <s v="Florida"/>
    <s v="M"/>
    <s v="Pink"/>
    <x v="0"/>
    <x v="17"/>
    <s v="No"/>
    <x v="0"/>
    <x v="1"/>
    <x v="1"/>
    <x v="14"/>
    <x v="5"/>
    <x v="1"/>
    <x v="2"/>
    <n v="28"/>
    <n v="0"/>
  </r>
  <r>
    <n v="2730"/>
    <x v="18"/>
    <x v="1"/>
    <s v="Gloves"/>
    <x v="3"/>
    <n v="71"/>
    <s v="Montana"/>
    <s v="S"/>
    <s v="Violet"/>
    <x v="2"/>
    <x v="7"/>
    <s v="No"/>
    <x v="1"/>
    <x v="1"/>
    <x v="1"/>
    <x v="18"/>
    <x v="2"/>
    <x v="5"/>
    <x v="2"/>
    <n v="71"/>
    <n v="0"/>
  </r>
  <r>
    <n v="2731"/>
    <x v="51"/>
    <x v="1"/>
    <s v="Gloves"/>
    <x v="3"/>
    <n v="32"/>
    <s v="Wisconsin"/>
    <s v="M"/>
    <s v="Teal"/>
    <x v="0"/>
    <x v="7"/>
    <s v="No"/>
    <x v="5"/>
    <x v="1"/>
    <x v="1"/>
    <x v="10"/>
    <x v="4"/>
    <x v="2"/>
    <x v="1"/>
    <n v="32"/>
    <n v="0"/>
  </r>
  <r>
    <n v="2732"/>
    <x v="16"/>
    <x v="1"/>
    <s v="Handbag"/>
    <x v="3"/>
    <n v="33"/>
    <s v="Wisconsin"/>
    <s v="M"/>
    <s v="Red"/>
    <x v="2"/>
    <x v="25"/>
    <s v="No"/>
    <x v="4"/>
    <x v="1"/>
    <x v="1"/>
    <x v="12"/>
    <x v="4"/>
    <x v="3"/>
    <x v="0"/>
    <n v="33"/>
    <n v="0"/>
  </r>
  <r>
    <n v="2733"/>
    <x v="3"/>
    <x v="1"/>
    <s v="Socks"/>
    <x v="0"/>
    <n v="75"/>
    <s v="Delaware"/>
    <s v="L"/>
    <s v="Orange"/>
    <x v="0"/>
    <x v="19"/>
    <s v="No"/>
    <x v="5"/>
    <x v="1"/>
    <x v="1"/>
    <x v="46"/>
    <x v="5"/>
    <x v="6"/>
    <x v="1"/>
    <n v="75"/>
    <n v="0"/>
  </r>
  <r>
    <n v="2734"/>
    <x v="18"/>
    <x v="1"/>
    <s v="Backpack"/>
    <x v="3"/>
    <n v="83"/>
    <s v="North Carolina"/>
    <s v="M"/>
    <s v="Magenta"/>
    <x v="2"/>
    <x v="10"/>
    <s v="No"/>
    <x v="0"/>
    <x v="1"/>
    <x v="1"/>
    <x v="15"/>
    <x v="3"/>
    <x v="2"/>
    <x v="2"/>
    <n v="83"/>
    <n v="0"/>
  </r>
  <r>
    <n v="2735"/>
    <x v="6"/>
    <x v="1"/>
    <s v="Jeans"/>
    <x v="0"/>
    <n v="93"/>
    <s v="New York"/>
    <s v="XL"/>
    <s v="Yellow"/>
    <x v="2"/>
    <x v="2"/>
    <s v="No"/>
    <x v="4"/>
    <x v="1"/>
    <x v="1"/>
    <x v="21"/>
    <x v="1"/>
    <x v="4"/>
    <x v="0"/>
    <n v="93"/>
    <n v="0"/>
  </r>
  <r>
    <n v="2736"/>
    <x v="5"/>
    <x v="1"/>
    <s v="Skirt"/>
    <x v="0"/>
    <n v="29"/>
    <s v="California"/>
    <s v="M"/>
    <s v="Yellow"/>
    <x v="1"/>
    <x v="21"/>
    <s v="No"/>
    <x v="0"/>
    <x v="1"/>
    <x v="1"/>
    <x v="1"/>
    <x v="3"/>
    <x v="4"/>
    <x v="2"/>
    <n v="29"/>
    <n v="0"/>
  </r>
  <r>
    <n v="2737"/>
    <x v="42"/>
    <x v="1"/>
    <s v="Hoodie"/>
    <x v="0"/>
    <n v="25"/>
    <s v="Montana"/>
    <s v="M"/>
    <s v="Pink"/>
    <x v="1"/>
    <x v="6"/>
    <s v="No"/>
    <x v="5"/>
    <x v="1"/>
    <x v="1"/>
    <x v="24"/>
    <x v="2"/>
    <x v="2"/>
    <x v="2"/>
    <n v="25"/>
    <n v="0"/>
  </r>
  <r>
    <n v="2738"/>
    <x v="9"/>
    <x v="1"/>
    <s v="Jewelry"/>
    <x v="3"/>
    <n v="76"/>
    <s v="North Carolina"/>
    <s v="S"/>
    <s v="Indigo"/>
    <x v="1"/>
    <x v="14"/>
    <s v="No"/>
    <x v="1"/>
    <x v="1"/>
    <x v="1"/>
    <x v="31"/>
    <x v="1"/>
    <x v="6"/>
    <x v="0"/>
    <n v="76"/>
    <n v="0"/>
  </r>
  <r>
    <n v="2739"/>
    <x v="2"/>
    <x v="1"/>
    <s v="Sneakers"/>
    <x v="1"/>
    <n v="81"/>
    <s v="Ohio"/>
    <s v="M"/>
    <s v="Charcoal"/>
    <x v="2"/>
    <x v="24"/>
    <s v="No"/>
    <x v="4"/>
    <x v="1"/>
    <x v="1"/>
    <x v="30"/>
    <x v="0"/>
    <x v="6"/>
    <x v="2"/>
    <n v="81"/>
    <n v="0"/>
  </r>
  <r>
    <n v="2740"/>
    <x v="23"/>
    <x v="1"/>
    <s v="Shirt"/>
    <x v="0"/>
    <n v="80"/>
    <s v="Alaska"/>
    <s v="XL"/>
    <s v="Blue"/>
    <x v="0"/>
    <x v="25"/>
    <s v="No"/>
    <x v="5"/>
    <x v="1"/>
    <x v="1"/>
    <x v="30"/>
    <x v="2"/>
    <x v="6"/>
    <x v="2"/>
    <n v="80"/>
    <n v="0"/>
  </r>
  <r>
    <n v="2741"/>
    <x v="1"/>
    <x v="1"/>
    <s v="Sunglasses"/>
    <x v="3"/>
    <n v="70"/>
    <s v="Pennsylvania"/>
    <s v="M"/>
    <s v="Lavender"/>
    <x v="2"/>
    <x v="8"/>
    <s v="No"/>
    <x v="1"/>
    <x v="1"/>
    <x v="1"/>
    <x v="11"/>
    <x v="4"/>
    <x v="0"/>
    <x v="1"/>
    <n v="70"/>
    <n v="0"/>
  </r>
  <r>
    <n v="2742"/>
    <x v="33"/>
    <x v="1"/>
    <s v="Dress"/>
    <x v="0"/>
    <n v="81"/>
    <s v="Maine"/>
    <s v="L"/>
    <s v="Yellow"/>
    <x v="3"/>
    <x v="8"/>
    <s v="No"/>
    <x v="4"/>
    <x v="1"/>
    <x v="1"/>
    <x v="23"/>
    <x v="0"/>
    <x v="5"/>
    <x v="0"/>
    <n v="81"/>
    <n v="0"/>
  </r>
  <r>
    <n v="2743"/>
    <x v="7"/>
    <x v="1"/>
    <s v="Shoes"/>
    <x v="1"/>
    <n v="86"/>
    <s v="Texas"/>
    <s v="M"/>
    <s v="Black"/>
    <x v="1"/>
    <x v="20"/>
    <s v="No"/>
    <x v="1"/>
    <x v="1"/>
    <x v="1"/>
    <x v="39"/>
    <x v="5"/>
    <x v="2"/>
    <x v="2"/>
    <n v="86"/>
    <n v="0"/>
  </r>
  <r>
    <n v="2744"/>
    <x v="12"/>
    <x v="1"/>
    <s v="Belt"/>
    <x v="3"/>
    <n v="94"/>
    <s v="New Jersey"/>
    <s v="S"/>
    <s v="Beige"/>
    <x v="3"/>
    <x v="7"/>
    <s v="No"/>
    <x v="4"/>
    <x v="1"/>
    <x v="1"/>
    <x v="14"/>
    <x v="0"/>
    <x v="3"/>
    <x v="0"/>
    <n v="94"/>
    <n v="0"/>
  </r>
  <r>
    <n v="2745"/>
    <x v="21"/>
    <x v="1"/>
    <s v="Shirt"/>
    <x v="0"/>
    <n v="66"/>
    <s v="Wyoming"/>
    <s v="M"/>
    <s v="Silver"/>
    <x v="0"/>
    <x v="13"/>
    <s v="No"/>
    <x v="5"/>
    <x v="1"/>
    <x v="1"/>
    <x v="19"/>
    <x v="2"/>
    <x v="5"/>
    <x v="2"/>
    <n v="66"/>
    <n v="0"/>
  </r>
  <r>
    <n v="2746"/>
    <x v="48"/>
    <x v="1"/>
    <s v="Boots"/>
    <x v="1"/>
    <n v="98"/>
    <s v="Michigan"/>
    <s v="M"/>
    <s v="Magenta"/>
    <x v="2"/>
    <x v="7"/>
    <s v="No"/>
    <x v="3"/>
    <x v="1"/>
    <x v="1"/>
    <x v="12"/>
    <x v="3"/>
    <x v="4"/>
    <x v="2"/>
    <n v="98"/>
    <n v="0"/>
  </r>
  <r>
    <n v="2747"/>
    <x v="31"/>
    <x v="1"/>
    <s v="Hoodie"/>
    <x v="0"/>
    <n v="25"/>
    <s v="Ohio"/>
    <s v="M"/>
    <s v="Orange"/>
    <x v="3"/>
    <x v="18"/>
    <s v="No"/>
    <x v="3"/>
    <x v="1"/>
    <x v="1"/>
    <x v="33"/>
    <x v="3"/>
    <x v="6"/>
    <x v="2"/>
    <n v="25"/>
    <n v="0"/>
  </r>
  <r>
    <n v="2748"/>
    <x v="20"/>
    <x v="1"/>
    <s v="Jeans"/>
    <x v="0"/>
    <n v="62"/>
    <s v="West Virginia"/>
    <s v="M"/>
    <s v="Teal"/>
    <x v="0"/>
    <x v="0"/>
    <s v="No"/>
    <x v="1"/>
    <x v="1"/>
    <x v="1"/>
    <x v="33"/>
    <x v="2"/>
    <x v="6"/>
    <x v="1"/>
    <n v="62"/>
    <n v="0"/>
  </r>
  <r>
    <n v="2749"/>
    <x v="41"/>
    <x v="1"/>
    <s v="Jacket"/>
    <x v="2"/>
    <n v="98"/>
    <s v="Virginia"/>
    <s v="L"/>
    <s v="Turquoise"/>
    <x v="1"/>
    <x v="21"/>
    <s v="No"/>
    <x v="1"/>
    <x v="1"/>
    <x v="1"/>
    <x v="20"/>
    <x v="0"/>
    <x v="2"/>
    <x v="1"/>
    <n v="98"/>
    <n v="0"/>
  </r>
  <r>
    <n v="2750"/>
    <x v="14"/>
    <x v="1"/>
    <s v="Jacket"/>
    <x v="2"/>
    <n v="53"/>
    <s v="Vermont"/>
    <s v="M"/>
    <s v="Cyan"/>
    <x v="1"/>
    <x v="23"/>
    <s v="No"/>
    <x v="3"/>
    <x v="1"/>
    <x v="1"/>
    <x v="28"/>
    <x v="4"/>
    <x v="2"/>
    <x v="0"/>
    <n v="53"/>
    <n v="0"/>
  </r>
  <r>
    <n v="2751"/>
    <x v="47"/>
    <x v="1"/>
    <s v="Sandals"/>
    <x v="1"/>
    <n v="66"/>
    <s v="Alaska"/>
    <s v="L"/>
    <s v="Pink"/>
    <x v="1"/>
    <x v="2"/>
    <s v="No"/>
    <x v="4"/>
    <x v="1"/>
    <x v="1"/>
    <x v="8"/>
    <x v="3"/>
    <x v="6"/>
    <x v="0"/>
    <n v="66"/>
    <n v="0"/>
  </r>
  <r>
    <n v="2752"/>
    <x v="7"/>
    <x v="1"/>
    <s v="Dress"/>
    <x v="0"/>
    <n v="52"/>
    <s v="Minnesota"/>
    <s v="S"/>
    <s v="Indigo"/>
    <x v="3"/>
    <x v="0"/>
    <s v="No"/>
    <x v="1"/>
    <x v="1"/>
    <x v="1"/>
    <x v="16"/>
    <x v="0"/>
    <x v="5"/>
    <x v="2"/>
    <n v="52"/>
    <n v="0"/>
  </r>
  <r>
    <n v="2753"/>
    <x v="39"/>
    <x v="1"/>
    <s v="Sweater"/>
    <x v="0"/>
    <n v="64"/>
    <s v="Colorado"/>
    <s v="S"/>
    <s v="Peach"/>
    <x v="0"/>
    <x v="17"/>
    <s v="No"/>
    <x v="1"/>
    <x v="1"/>
    <x v="1"/>
    <x v="48"/>
    <x v="0"/>
    <x v="4"/>
    <x v="2"/>
    <n v="64"/>
    <n v="0"/>
  </r>
  <r>
    <n v="2754"/>
    <x v="28"/>
    <x v="1"/>
    <s v="Gloves"/>
    <x v="3"/>
    <n v="59"/>
    <s v="Rhode Island"/>
    <s v="M"/>
    <s v="Beige"/>
    <x v="1"/>
    <x v="15"/>
    <s v="No"/>
    <x v="2"/>
    <x v="1"/>
    <x v="1"/>
    <x v="26"/>
    <x v="3"/>
    <x v="3"/>
    <x v="0"/>
    <n v="59"/>
    <n v="0"/>
  </r>
  <r>
    <n v="2755"/>
    <x v="35"/>
    <x v="1"/>
    <s v="Sunglasses"/>
    <x v="3"/>
    <n v="61"/>
    <s v="New Jersey"/>
    <s v="L"/>
    <s v="Gold"/>
    <x v="2"/>
    <x v="15"/>
    <s v="No"/>
    <x v="1"/>
    <x v="1"/>
    <x v="1"/>
    <x v="33"/>
    <x v="0"/>
    <x v="4"/>
    <x v="0"/>
    <n v="61"/>
    <n v="0"/>
  </r>
  <r>
    <n v="2756"/>
    <x v="35"/>
    <x v="1"/>
    <s v="Belt"/>
    <x v="3"/>
    <n v="97"/>
    <s v="Nevada"/>
    <s v="M"/>
    <s v="Indigo"/>
    <x v="0"/>
    <x v="13"/>
    <s v="No"/>
    <x v="5"/>
    <x v="1"/>
    <x v="1"/>
    <x v="27"/>
    <x v="2"/>
    <x v="2"/>
    <x v="0"/>
    <n v="97"/>
    <n v="0"/>
  </r>
  <r>
    <n v="2757"/>
    <x v="32"/>
    <x v="1"/>
    <s v="Hat"/>
    <x v="3"/>
    <n v="23"/>
    <s v="Minnesota"/>
    <s v="L"/>
    <s v="Violet"/>
    <x v="0"/>
    <x v="7"/>
    <s v="No"/>
    <x v="1"/>
    <x v="1"/>
    <x v="1"/>
    <x v="23"/>
    <x v="3"/>
    <x v="5"/>
    <x v="2"/>
    <n v="23"/>
    <n v="0"/>
  </r>
  <r>
    <n v="2758"/>
    <x v="31"/>
    <x v="1"/>
    <s v="Hat"/>
    <x v="3"/>
    <n v="98"/>
    <s v="Delaware"/>
    <s v="XL"/>
    <s v="Brown"/>
    <x v="3"/>
    <x v="24"/>
    <s v="No"/>
    <x v="2"/>
    <x v="1"/>
    <x v="1"/>
    <x v="47"/>
    <x v="0"/>
    <x v="5"/>
    <x v="2"/>
    <n v="98"/>
    <n v="0"/>
  </r>
  <r>
    <n v="2759"/>
    <x v="45"/>
    <x v="1"/>
    <s v="Blouse"/>
    <x v="0"/>
    <n v="98"/>
    <s v="Illinois"/>
    <s v="M"/>
    <s v="Purple"/>
    <x v="2"/>
    <x v="4"/>
    <s v="No"/>
    <x v="3"/>
    <x v="1"/>
    <x v="1"/>
    <x v="6"/>
    <x v="4"/>
    <x v="4"/>
    <x v="2"/>
    <n v="98"/>
    <n v="0"/>
  </r>
  <r>
    <n v="2760"/>
    <x v="33"/>
    <x v="1"/>
    <s v="Shoes"/>
    <x v="1"/>
    <n v="59"/>
    <s v="Washington"/>
    <s v="M"/>
    <s v="Turquoise"/>
    <x v="2"/>
    <x v="20"/>
    <s v="No"/>
    <x v="1"/>
    <x v="1"/>
    <x v="1"/>
    <x v="38"/>
    <x v="1"/>
    <x v="6"/>
    <x v="0"/>
    <n v="59"/>
    <n v="0"/>
  </r>
  <r>
    <n v="2761"/>
    <x v="38"/>
    <x v="1"/>
    <s v="Skirt"/>
    <x v="0"/>
    <n v="82"/>
    <s v="Alaska"/>
    <s v="S"/>
    <s v="Violet"/>
    <x v="3"/>
    <x v="16"/>
    <s v="No"/>
    <x v="2"/>
    <x v="1"/>
    <x v="1"/>
    <x v="23"/>
    <x v="2"/>
    <x v="4"/>
    <x v="2"/>
    <n v="82"/>
    <n v="0"/>
  </r>
  <r>
    <n v="2762"/>
    <x v="18"/>
    <x v="1"/>
    <s v="Sneakers"/>
    <x v="1"/>
    <n v="82"/>
    <s v="Michigan"/>
    <s v="M"/>
    <s v="Purple"/>
    <x v="3"/>
    <x v="23"/>
    <s v="No"/>
    <x v="2"/>
    <x v="1"/>
    <x v="1"/>
    <x v="35"/>
    <x v="2"/>
    <x v="6"/>
    <x v="2"/>
    <n v="82"/>
    <n v="0"/>
  </r>
  <r>
    <n v="2763"/>
    <x v="44"/>
    <x v="1"/>
    <s v="T-shirt"/>
    <x v="0"/>
    <n v="41"/>
    <s v="Georgia"/>
    <s v="M"/>
    <s v="Charcoal"/>
    <x v="3"/>
    <x v="22"/>
    <s v="No"/>
    <x v="5"/>
    <x v="1"/>
    <x v="1"/>
    <x v="9"/>
    <x v="5"/>
    <x v="6"/>
    <x v="0"/>
    <n v="41"/>
    <n v="0"/>
  </r>
  <r>
    <n v="2764"/>
    <x v="48"/>
    <x v="1"/>
    <s v="Handbag"/>
    <x v="3"/>
    <n v="52"/>
    <s v="West Virginia"/>
    <s v="M"/>
    <s v="Green"/>
    <x v="3"/>
    <x v="3"/>
    <s v="No"/>
    <x v="4"/>
    <x v="1"/>
    <x v="1"/>
    <x v="31"/>
    <x v="0"/>
    <x v="3"/>
    <x v="2"/>
    <n v="52"/>
    <n v="0"/>
  </r>
  <r>
    <n v="2765"/>
    <x v="6"/>
    <x v="1"/>
    <s v="Sweater"/>
    <x v="0"/>
    <n v="41"/>
    <s v="Arizona"/>
    <s v="XL"/>
    <s v="White"/>
    <x v="1"/>
    <x v="5"/>
    <s v="No"/>
    <x v="2"/>
    <x v="1"/>
    <x v="1"/>
    <x v="1"/>
    <x v="5"/>
    <x v="1"/>
    <x v="0"/>
    <n v="41"/>
    <n v="0"/>
  </r>
  <r>
    <n v="2766"/>
    <x v="14"/>
    <x v="1"/>
    <s v="Gloves"/>
    <x v="3"/>
    <n v="70"/>
    <s v="Colorado"/>
    <s v="M"/>
    <s v="Purple"/>
    <x v="2"/>
    <x v="24"/>
    <s v="No"/>
    <x v="4"/>
    <x v="1"/>
    <x v="1"/>
    <x v="37"/>
    <x v="2"/>
    <x v="3"/>
    <x v="0"/>
    <n v="70"/>
    <n v="0"/>
  </r>
  <r>
    <n v="2767"/>
    <x v="17"/>
    <x v="1"/>
    <s v="Dress"/>
    <x v="0"/>
    <n v="91"/>
    <s v="Tennessee"/>
    <s v="M"/>
    <s v="Cyan"/>
    <x v="0"/>
    <x v="11"/>
    <s v="No"/>
    <x v="3"/>
    <x v="1"/>
    <x v="1"/>
    <x v="39"/>
    <x v="2"/>
    <x v="5"/>
    <x v="0"/>
    <n v="91"/>
    <n v="0"/>
  </r>
  <r>
    <n v="2768"/>
    <x v="18"/>
    <x v="1"/>
    <s v="Dress"/>
    <x v="0"/>
    <n v="95"/>
    <s v="Iowa"/>
    <s v="M"/>
    <s v="Green"/>
    <x v="1"/>
    <x v="9"/>
    <s v="No"/>
    <x v="1"/>
    <x v="1"/>
    <x v="1"/>
    <x v="4"/>
    <x v="1"/>
    <x v="5"/>
    <x v="2"/>
    <n v="95"/>
    <n v="0"/>
  </r>
  <r>
    <n v="2769"/>
    <x v="0"/>
    <x v="1"/>
    <s v="Blouse"/>
    <x v="0"/>
    <n v="25"/>
    <s v="Kansas"/>
    <s v="M"/>
    <s v="Beige"/>
    <x v="1"/>
    <x v="22"/>
    <s v="No"/>
    <x v="4"/>
    <x v="1"/>
    <x v="1"/>
    <x v="40"/>
    <x v="3"/>
    <x v="4"/>
    <x v="0"/>
    <n v="25"/>
    <n v="0"/>
  </r>
  <r>
    <n v="2770"/>
    <x v="45"/>
    <x v="1"/>
    <s v="Shirt"/>
    <x v="0"/>
    <n v="89"/>
    <s v="Oklahoma"/>
    <s v="L"/>
    <s v="Lavender"/>
    <x v="3"/>
    <x v="21"/>
    <s v="No"/>
    <x v="3"/>
    <x v="1"/>
    <x v="1"/>
    <x v="21"/>
    <x v="1"/>
    <x v="1"/>
    <x v="2"/>
    <n v="89"/>
    <n v="0"/>
  </r>
  <r>
    <n v="2771"/>
    <x v="2"/>
    <x v="1"/>
    <s v="Boots"/>
    <x v="1"/>
    <n v="44"/>
    <s v="Nebraska"/>
    <s v="S"/>
    <s v="Blue"/>
    <x v="3"/>
    <x v="13"/>
    <s v="No"/>
    <x v="0"/>
    <x v="1"/>
    <x v="1"/>
    <x v="17"/>
    <x v="4"/>
    <x v="3"/>
    <x v="2"/>
    <n v="44"/>
    <n v="0"/>
  </r>
  <r>
    <n v="2772"/>
    <x v="44"/>
    <x v="1"/>
    <s v="Jacket"/>
    <x v="2"/>
    <n v="52"/>
    <s v="Maryland"/>
    <s v="S"/>
    <s v="Beige"/>
    <x v="2"/>
    <x v="0"/>
    <s v="No"/>
    <x v="4"/>
    <x v="1"/>
    <x v="1"/>
    <x v="45"/>
    <x v="4"/>
    <x v="0"/>
    <x v="0"/>
    <n v="52"/>
    <n v="0"/>
  </r>
  <r>
    <n v="2773"/>
    <x v="20"/>
    <x v="1"/>
    <s v="Backpack"/>
    <x v="3"/>
    <n v="94"/>
    <s v="Pennsylvania"/>
    <s v="L"/>
    <s v="Blue"/>
    <x v="1"/>
    <x v="1"/>
    <s v="No"/>
    <x v="5"/>
    <x v="1"/>
    <x v="1"/>
    <x v="9"/>
    <x v="4"/>
    <x v="6"/>
    <x v="1"/>
    <n v="94"/>
    <n v="0"/>
  </r>
  <r>
    <n v="2774"/>
    <x v="31"/>
    <x v="1"/>
    <s v="Pants"/>
    <x v="0"/>
    <n v="98"/>
    <s v="Arizona"/>
    <s v="S"/>
    <s v="Maroon"/>
    <x v="1"/>
    <x v="12"/>
    <s v="No"/>
    <x v="0"/>
    <x v="1"/>
    <x v="1"/>
    <x v="24"/>
    <x v="4"/>
    <x v="3"/>
    <x v="2"/>
    <n v="98"/>
    <n v="0"/>
  </r>
  <r>
    <n v="2775"/>
    <x v="19"/>
    <x v="1"/>
    <s v="Boots"/>
    <x v="1"/>
    <n v="40"/>
    <s v="Oklahoma"/>
    <s v="L"/>
    <s v="Yellow"/>
    <x v="3"/>
    <x v="7"/>
    <s v="No"/>
    <x v="3"/>
    <x v="1"/>
    <x v="1"/>
    <x v="38"/>
    <x v="2"/>
    <x v="3"/>
    <x v="0"/>
    <n v="40"/>
    <n v="0"/>
  </r>
  <r>
    <n v="2776"/>
    <x v="43"/>
    <x v="1"/>
    <s v="Socks"/>
    <x v="0"/>
    <n v="25"/>
    <s v="Montana"/>
    <s v="L"/>
    <s v="Red"/>
    <x v="3"/>
    <x v="15"/>
    <s v="No"/>
    <x v="1"/>
    <x v="1"/>
    <x v="1"/>
    <x v="20"/>
    <x v="5"/>
    <x v="1"/>
    <x v="2"/>
    <n v="25"/>
    <n v="0"/>
  </r>
  <r>
    <n v="2777"/>
    <x v="5"/>
    <x v="1"/>
    <s v="Scarf"/>
    <x v="3"/>
    <n v="62"/>
    <s v="Wyoming"/>
    <s v="L"/>
    <s v="Green"/>
    <x v="3"/>
    <x v="3"/>
    <s v="No"/>
    <x v="1"/>
    <x v="1"/>
    <x v="1"/>
    <x v="49"/>
    <x v="4"/>
    <x v="2"/>
    <x v="2"/>
    <n v="62"/>
    <n v="0"/>
  </r>
  <r>
    <n v="2778"/>
    <x v="16"/>
    <x v="1"/>
    <s v="Blouse"/>
    <x v="0"/>
    <n v="24"/>
    <s v="Idaho"/>
    <s v="M"/>
    <s v="Magenta"/>
    <x v="3"/>
    <x v="6"/>
    <s v="No"/>
    <x v="3"/>
    <x v="1"/>
    <x v="1"/>
    <x v="40"/>
    <x v="2"/>
    <x v="6"/>
    <x v="0"/>
    <n v="24"/>
    <n v="0"/>
  </r>
  <r>
    <n v="2779"/>
    <x v="27"/>
    <x v="1"/>
    <s v="Belt"/>
    <x v="3"/>
    <n v="57"/>
    <s v="Pennsylvania"/>
    <s v="L"/>
    <s v="Yellow"/>
    <x v="1"/>
    <x v="4"/>
    <s v="No"/>
    <x v="3"/>
    <x v="1"/>
    <x v="1"/>
    <x v="37"/>
    <x v="2"/>
    <x v="4"/>
    <x v="0"/>
    <n v="57"/>
    <n v="0"/>
  </r>
  <r>
    <n v="2780"/>
    <x v="12"/>
    <x v="1"/>
    <s v="Sunglasses"/>
    <x v="3"/>
    <n v="66"/>
    <s v="Montana"/>
    <s v="L"/>
    <s v="Blue"/>
    <x v="0"/>
    <x v="24"/>
    <s v="No"/>
    <x v="0"/>
    <x v="1"/>
    <x v="1"/>
    <x v="0"/>
    <x v="2"/>
    <x v="0"/>
    <x v="0"/>
    <n v="66"/>
    <n v="0"/>
  </r>
  <r>
    <n v="2781"/>
    <x v="23"/>
    <x v="1"/>
    <s v="Boots"/>
    <x v="1"/>
    <n v="70"/>
    <s v="Ohio"/>
    <s v="M"/>
    <s v="Charcoal"/>
    <x v="0"/>
    <x v="7"/>
    <s v="No"/>
    <x v="2"/>
    <x v="1"/>
    <x v="1"/>
    <x v="32"/>
    <x v="3"/>
    <x v="0"/>
    <x v="2"/>
    <n v="70"/>
    <n v="0"/>
  </r>
  <r>
    <n v="2782"/>
    <x v="13"/>
    <x v="1"/>
    <s v="Sandals"/>
    <x v="1"/>
    <n v="39"/>
    <s v="Mississippi"/>
    <s v="M"/>
    <s v="Blue"/>
    <x v="1"/>
    <x v="12"/>
    <s v="No"/>
    <x v="3"/>
    <x v="1"/>
    <x v="1"/>
    <x v="42"/>
    <x v="3"/>
    <x v="1"/>
    <x v="0"/>
    <n v="39"/>
    <n v="0"/>
  </r>
  <r>
    <n v="2783"/>
    <x v="38"/>
    <x v="1"/>
    <s v="Gloves"/>
    <x v="3"/>
    <n v="34"/>
    <s v="Idaho"/>
    <s v="S"/>
    <s v="Cyan"/>
    <x v="1"/>
    <x v="22"/>
    <s v="No"/>
    <x v="1"/>
    <x v="1"/>
    <x v="1"/>
    <x v="48"/>
    <x v="3"/>
    <x v="2"/>
    <x v="2"/>
    <n v="34"/>
    <n v="0"/>
  </r>
  <r>
    <n v="2784"/>
    <x v="1"/>
    <x v="1"/>
    <s v="Skirt"/>
    <x v="0"/>
    <n v="38"/>
    <s v="Virginia"/>
    <s v="M"/>
    <s v="Silver"/>
    <x v="1"/>
    <x v="9"/>
    <s v="No"/>
    <x v="2"/>
    <x v="1"/>
    <x v="1"/>
    <x v="8"/>
    <x v="2"/>
    <x v="3"/>
    <x v="1"/>
    <n v="38"/>
    <n v="0"/>
  </r>
  <r>
    <n v="2785"/>
    <x v="23"/>
    <x v="1"/>
    <s v="Skirt"/>
    <x v="0"/>
    <n v="70"/>
    <s v="Idaho"/>
    <s v="M"/>
    <s v="Black"/>
    <x v="0"/>
    <x v="0"/>
    <s v="No"/>
    <x v="0"/>
    <x v="1"/>
    <x v="1"/>
    <x v="45"/>
    <x v="3"/>
    <x v="6"/>
    <x v="2"/>
    <n v="70"/>
    <n v="0"/>
  </r>
  <r>
    <n v="2786"/>
    <x v="10"/>
    <x v="1"/>
    <s v="Blouse"/>
    <x v="0"/>
    <n v="80"/>
    <s v="Louisiana"/>
    <s v="S"/>
    <s v="Green"/>
    <x v="2"/>
    <x v="3"/>
    <s v="No"/>
    <x v="2"/>
    <x v="1"/>
    <x v="1"/>
    <x v="21"/>
    <x v="4"/>
    <x v="5"/>
    <x v="0"/>
    <n v="80"/>
    <n v="0"/>
  </r>
  <r>
    <n v="2787"/>
    <x v="22"/>
    <x v="1"/>
    <s v="Handbag"/>
    <x v="3"/>
    <n v="51"/>
    <s v="Colorado"/>
    <s v="M"/>
    <s v="Violet"/>
    <x v="1"/>
    <x v="22"/>
    <s v="No"/>
    <x v="2"/>
    <x v="1"/>
    <x v="1"/>
    <x v="23"/>
    <x v="5"/>
    <x v="6"/>
    <x v="0"/>
    <n v="51"/>
    <n v="0"/>
  </r>
  <r>
    <n v="2788"/>
    <x v="24"/>
    <x v="1"/>
    <s v="Boots"/>
    <x v="1"/>
    <n v="79"/>
    <s v="West Virginia"/>
    <s v="XL"/>
    <s v="Pink"/>
    <x v="1"/>
    <x v="7"/>
    <s v="No"/>
    <x v="2"/>
    <x v="1"/>
    <x v="1"/>
    <x v="7"/>
    <x v="0"/>
    <x v="0"/>
    <x v="2"/>
    <n v="79"/>
    <n v="0"/>
  </r>
  <r>
    <n v="2789"/>
    <x v="19"/>
    <x v="1"/>
    <s v="Boots"/>
    <x v="1"/>
    <n v="92"/>
    <s v="Rhode Island"/>
    <s v="M"/>
    <s v="Olive"/>
    <x v="2"/>
    <x v="0"/>
    <s v="No"/>
    <x v="1"/>
    <x v="1"/>
    <x v="1"/>
    <x v="1"/>
    <x v="2"/>
    <x v="2"/>
    <x v="0"/>
    <n v="92"/>
    <n v="0"/>
  </r>
  <r>
    <n v="2790"/>
    <x v="48"/>
    <x v="1"/>
    <s v="Sweater"/>
    <x v="0"/>
    <n v="85"/>
    <s v="North Carolina"/>
    <s v="L"/>
    <s v="Orange"/>
    <x v="3"/>
    <x v="16"/>
    <s v="No"/>
    <x v="0"/>
    <x v="1"/>
    <x v="1"/>
    <x v="40"/>
    <x v="2"/>
    <x v="4"/>
    <x v="2"/>
    <n v="85"/>
    <n v="0"/>
  </r>
  <r>
    <n v="2791"/>
    <x v="50"/>
    <x v="1"/>
    <s v="Socks"/>
    <x v="0"/>
    <n v="63"/>
    <s v="Maine"/>
    <s v="M"/>
    <s v="Black"/>
    <x v="1"/>
    <x v="9"/>
    <s v="No"/>
    <x v="1"/>
    <x v="1"/>
    <x v="1"/>
    <x v="37"/>
    <x v="5"/>
    <x v="2"/>
    <x v="2"/>
    <n v="63"/>
    <n v="0"/>
  </r>
  <r>
    <n v="2792"/>
    <x v="49"/>
    <x v="1"/>
    <s v="Gloves"/>
    <x v="3"/>
    <n v="60"/>
    <s v="Iowa"/>
    <s v="M"/>
    <s v="Yellow"/>
    <x v="3"/>
    <x v="11"/>
    <s v="No"/>
    <x v="0"/>
    <x v="1"/>
    <x v="1"/>
    <x v="0"/>
    <x v="0"/>
    <x v="0"/>
    <x v="2"/>
    <n v="60"/>
    <n v="0"/>
  </r>
  <r>
    <n v="2793"/>
    <x v="22"/>
    <x v="1"/>
    <s v="Shorts"/>
    <x v="0"/>
    <n v="44"/>
    <s v="Kentucky"/>
    <s v="L"/>
    <s v="Violet"/>
    <x v="0"/>
    <x v="4"/>
    <s v="No"/>
    <x v="0"/>
    <x v="1"/>
    <x v="1"/>
    <x v="47"/>
    <x v="2"/>
    <x v="1"/>
    <x v="0"/>
    <n v="44"/>
    <n v="0"/>
  </r>
  <r>
    <n v="2794"/>
    <x v="43"/>
    <x v="1"/>
    <s v="Boots"/>
    <x v="1"/>
    <n v="57"/>
    <s v="Massachusetts"/>
    <s v="M"/>
    <s v="Silver"/>
    <x v="1"/>
    <x v="0"/>
    <s v="No"/>
    <x v="3"/>
    <x v="1"/>
    <x v="1"/>
    <x v="46"/>
    <x v="5"/>
    <x v="4"/>
    <x v="2"/>
    <n v="57"/>
    <n v="0"/>
  </r>
  <r>
    <n v="2795"/>
    <x v="23"/>
    <x v="1"/>
    <s v="Jacket"/>
    <x v="2"/>
    <n v="24"/>
    <s v="New York"/>
    <s v="M"/>
    <s v="Gold"/>
    <x v="3"/>
    <x v="13"/>
    <s v="No"/>
    <x v="3"/>
    <x v="1"/>
    <x v="1"/>
    <x v="22"/>
    <x v="1"/>
    <x v="0"/>
    <x v="2"/>
    <n v="24"/>
    <n v="0"/>
  </r>
  <r>
    <n v="2796"/>
    <x v="23"/>
    <x v="1"/>
    <s v="Scarf"/>
    <x v="3"/>
    <n v="35"/>
    <s v="Nebraska"/>
    <s v="M"/>
    <s v="Magenta"/>
    <x v="0"/>
    <x v="23"/>
    <s v="No"/>
    <x v="5"/>
    <x v="1"/>
    <x v="1"/>
    <x v="3"/>
    <x v="3"/>
    <x v="2"/>
    <x v="2"/>
    <n v="35"/>
    <n v="0"/>
  </r>
  <r>
    <n v="2797"/>
    <x v="0"/>
    <x v="1"/>
    <s v="Jacket"/>
    <x v="2"/>
    <n v="73"/>
    <s v="Oklahoma"/>
    <s v="M"/>
    <s v="Red"/>
    <x v="0"/>
    <x v="22"/>
    <s v="No"/>
    <x v="5"/>
    <x v="1"/>
    <x v="1"/>
    <x v="33"/>
    <x v="1"/>
    <x v="2"/>
    <x v="0"/>
    <n v="73"/>
    <n v="0"/>
  </r>
  <r>
    <n v="2798"/>
    <x v="6"/>
    <x v="1"/>
    <s v="Jewelry"/>
    <x v="3"/>
    <n v="42"/>
    <s v="Oklahoma"/>
    <s v="M"/>
    <s v="Green"/>
    <x v="0"/>
    <x v="1"/>
    <s v="No"/>
    <x v="0"/>
    <x v="1"/>
    <x v="1"/>
    <x v="9"/>
    <x v="0"/>
    <x v="6"/>
    <x v="0"/>
    <n v="42"/>
    <n v="0"/>
  </r>
  <r>
    <n v="2799"/>
    <x v="16"/>
    <x v="1"/>
    <s v="Hoodie"/>
    <x v="0"/>
    <n v="20"/>
    <s v="Rhode Island"/>
    <s v="XL"/>
    <s v="Red"/>
    <x v="0"/>
    <x v="6"/>
    <s v="No"/>
    <x v="5"/>
    <x v="1"/>
    <x v="1"/>
    <x v="10"/>
    <x v="3"/>
    <x v="1"/>
    <x v="0"/>
    <n v="20"/>
    <n v="0"/>
  </r>
  <r>
    <n v="2800"/>
    <x v="51"/>
    <x v="1"/>
    <s v="T-shirt"/>
    <x v="0"/>
    <n v="89"/>
    <s v="Maine"/>
    <s v="L"/>
    <s v="Pink"/>
    <x v="1"/>
    <x v="20"/>
    <s v="No"/>
    <x v="1"/>
    <x v="1"/>
    <x v="1"/>
    <x v="44"/>
    <x v="4"/>
    <x v="6"/>
    <x v="1"/>
    <n v="89"/>
    <n v="0"/>
  </r>
  <r>
    <n v="2801"/>
    <x v="27"/>
    <x v="1"/>
    <s v="Shirt"/>
    <x v="0"/>
    <n v="76"/>
    <s v="Arkansas"/>
    <s v="L"/>
    <s v="Violet"/>
    <x v="3"/>
    <x v="23"/>
    <s v="No"/>
    <x v="1"/>
    <x v="1"/>
    <x v="1"/>
    <x v="0"/>
    <x v="1"/>
    <x v="4"/>
    <x v="0"/>
    <n v="76"/>
    <n v="0"/>
  </r>
  <r>
    <n v="2802"/>
    <x v="14"/>
    <x v="1"/>
    <s v="Shirt"/>
    <x v="0"/>
    <n v="56"/>
    <s v="New Mexico"/>
    <s v="M"/>
    <s v="Indigo"/>
    <x v="0"/>
    <x v="5"/>
    <s v="No"/>
    <x v="0"/>
    <x v="1"/>
    <x v="1"/>
    <x v="48"/>
    <x v="3"/>
    <x v="2"/>
    <x v="0"/>
    <n v="56"/>
    <n v="0"/>
  </r>
  <r>
    <n v="2803"/>
    <x v="40"/>
    <x v="1"/>
    <s v="Coat"/>
    <x v="2"/>
    <n v="100"/>
    <s v="Hawaii"/>
    <s v="L"/>
    <s v="Red"/>
    <x v="3"/>
    <x v="0"/>
    <s v="No"/>
    <x v="5"/>
    <x v="1"/>
    <x v="1"/>
    <x v="38"/>
    <x v="2"/>
    <x v="0"/>
    <x v="1"/>
    <n v="100"/>
    <n v="0"/>
  </r>
  <r>
    <n v="2804"/>
    <x v="5"/>
    <x v="1"/>
    <s v="T-shirt"/>
    <x v="0"/>
    <n v="44"/>
    <s v="Idaho"/>
    <s v="M"/>
    <s v="Violet"/>
    <x v="0"/>
    <x v="13"/>
    <s v="No"/>
    <x v="1"/>
    <x v="1"/>
    <x v="1"/>
    <x v="4"/>
    <x v="4"/>
    <x v="5"/>
    <x v="2"/>
    <n v="44"/>
    <n v="0"/>
  </r>
  <r>
    <n v="2805"/>
    <x v="13"/>
    <x v="1"/>
    <s v="Hoodie"/>
    <x v="0"/>
    <n v="76"/>
    <s v="South Carolina"/>
    <s v="M"/>
    <s v="Cyan"/>
    <x v="1"/>
    <x v="11"/>
    <s v="No"/>
    <x v="3"/>
    <x v="1"/>
    <x v="1"/>
    <x v="26"/>
    <x v="4"/>
    <x v="6"/>
    <x v="0"/>
    <n v="76"/>
    <n v="0"/>
  </r>
  <r>
    <n v="2806"/>
    <x v="20"/>
    <x v="1"/>
    <s v="Sunglasses"/>
    <x v="3"/>
    <n v="97"/>
    <s v="Nevada"/>
    <s v="S"/>
    <s v="Black"/>
    <x v="3"/>
    <x v="24"/>
    <s v="No"/>
    <x v="3"/>
    <x v="1"/>
    <x v="1"/>
    <x v="26"/>
    <x v="1"/>
    <x v="3"/>
    <x v="1"/>
    <n v="97"/>
    <n v="0"/>
  </r>
  <r>
    <n v="2807"/>
    <x v="4"/>
    <x v="1"/>
    <s v="Blouse"/>
    <x v="0"/>
    <n v="39"/>
    <s v="South Carolina"/>
    <s v="L"/>
    <s v="Purple"/>
    <x v="1"/>
    <x v="2"/>
    <s v="No"/>
    <x v="3"/>
    <x v="1"/>
    <x v="1"/>
    <x v="16"/>
    <x v="2"/>
    <x v="2"/>
    <x v="2"/>
    <n v="39"/>
    <n v="0"/>
  </r>
  <r>
    <n v="2808"/>
    <x v="19"/>
    <x v="1"/>
    <s v="Hoodie"/>
    <x v="0"/>
    <n v="100"/>
    <s v="Maryland"/>
    <s v="M"/>
    <s v="Charcoal"/>
    <x v="1"/>
    <x v="14"/>
    <s v="No"/>
    <x v="4"/>
    <x v="1"/>
    <x v="1"/>
    <x v="9"/>
    <x v="5"/>
    <x v="0"/>
    <x v="0"/>
    <n v="100"/>
    <n v="0"/>
  </r>
  <r>
    <n v="2809"/>
    <x v="34"/>
    <x v="1"/>
    <s v="Skirt"/>
    <x v="0"/>
    <n v="62"/>
    <s v="Tennessee"/>
    <s v="M"/>
    <s v="Beige"/>
    <x v="1"/>
    <x v="20"/>
    <s v="No"/>
    <x v="1"/>
    <x v="1"/>
    <x v="1"/>
    <x v="24"/>
    <x v="3"/>
    <x v="6"/>
    <x v="2"/>
    <n v="62"/>
    <n v="0"/>
  </r>
  <r>
    <n v="2810"/>
    <x v="17"/>
    <x v="1"/>
    <s v="Shorts"/>
    <x v="0"/>
    <n v="98"/>
    <s v="Arkansas"/>
    <s v="XL"/>
    <s v="Teal"/>
    <x v="2"/>
    <x v="21"/>
    <s v="No"/>
    <x v="3"/>
    <x v="1"/>
    <x v="1"/>
    <x v="46"/>
    <x v="5"/>
    <x v="3"/>
    <x v="0"/>
    <n v="98"/>
    <n v="0"/>
  </r>
  <r>
    <n v="2811"/>
    <x v="7"/>
    <x v="1"/>
    <s v="Jeans"/>
    <x v="0"/>
    <n v="31"/>
    <s v="Arizona"/>
    <s v="M"/>
    <s v="Purple"/>
    <x v="2"/>
    <x v="17"/>
    <s v="No"/>
    <x v="3"/>
    <x v="1"/>
    <x v="1"/>
    <x v="9"/>
    <x v="5"/>
    <x v="0"/>
    <x v="2"/>
    <n v="31"/>
    <n v="0"/>
  </r>
  <r>
    <n v="2812"/>
    <x v="28"/>
    <x v="1"/>
    <s v="Jacket"/>
    <x v="2"/>
    <n v="89"/>
    <s v="Ohio"/>
    <s v="M"/>
    <s v="Blue"/>
    <x v="3"/>
    <x v="18"/>
    <s v="No"/>
    <x v="5"/>
    <x v="1"/>
    <x v="1"/>
    <x v="5"/>
    <x v="2"/>
    <x v="3"/>
    <x v="0"/>
    <n v="89"/>
    <n v="0"/>
  </r>
  <r>
    <n v="2813"/>
    <x v="17"/>
    <x v="1"/>
    <s v="Hoodie"/>
    <x v="0"/>
    <n v="91"/>
    <s v="North Dakota"/>
    <s v="XL"/>
    <s v="Magenta"/>
    <x v="3"/>
    <x v="22"/>
    <s v="No"/>
    <x v="5"/>
    <x v="1"/>
    <x v="1"/>
    <x v="43"/>
    <x v="2"/>
    <x v="6"/>
    <x v="0"/>
    <n v="91"/>
    <n v="0"/>
  </r>
  <r>
    <n v="2814"/>
    <x v="4"/>
    <x v="1"/>
    <s v="Shirt"/>
    <x v="0"/>
    <n v="50"/>
    <s v="Vermont"/>
    <s v="S"/>
    <s v="Maroon"/>
    <x v="2"/>
    <x v="13"/>
    <s v="No"/>
    <x v="4"/>
    <x v="1"/>
    <x v="1"/>
    <x v="30"/>
    <x v="5"/>
    <x v="3"/>
    <x v="2"/>
    <n v="50"/>
    <n v="0"/>
  </r>
  <r>
    <n v="2815"/>
    <x v="18"/>
    <x v="1"/>
    <s v="T-shirt"/>
    <x v="0"/>
    <n v="32"/>
    <s v="Minnesota"/>
    <s v="L"/>
    <s v="Gold"/>
    <x v="0"/>
    <x v="15"/>
    <s v="No"/>
    <x v="3"/>
    <x v="1"/>
    <x v="1"/>
    <x v="0"/>
    <x v="4"/>
    <x v="5"/>
    <x v="2"/>
    <n v="32"/>
    <n v="0"/>
  </r>
  <r>
    <n v="2816"/>
    <x v="23"/>
    <x v="1"/>
    <s v="Blouse"/>
    <x v="0"/>
    <n v="67"/>
    <s v="Idaho"/>
    <s v="L"/>
    <s v="Black"/>
    <x v="3"/>
    <x v="20"/>
    <s v="No"/>
    <x v="1"/>
    <x v="1"/>
    <x v="1"/>
    <x v="19"/>
    <x v="0"/>
    <x v="6"/>
    <x v="2"/>
    <n v="67"/>
    <n v="0"/>
  </r>
  <r>
    <n v="2817"/>
    <x v="49"/>
    <x v="1"/>
    <s v="Skirt"/>
    <x v="0"/>
    <n v="28"/>
    <s v="Maryland"/>
    <s v="M"/>
    <s v="Black"/>
    <x v="1"/>
    <x v="1"/>
    <s v="No"/>
    <x v="1"/>
    <x v="1"/>
    <x v="1"/>
    <x v="24"/>
    <x v="0"/>
    <x v="1"/>
    <x v="2"/>
    <n v="28"/>
    <n v="0"/>
  </r>
  <r>
    <n v="2818"/>
    <x v="15"/>
    <x v="1"/>
    <s v="Backpack"/>
    <x v="3"/>
    <n v="65"/>
    <s v="South Carolina"/>
    <s v="XL"/>
    <s v="Yellow"/>
    <x v="0"/>
    <x v="23"/>
    <s v="No"/>
    <x v="3"/>
    <x v="1"/>
    <x v="1"/>
    <x v="49"/>
    <x v="0"/>
    <x v="1"/>
    <x v="1"/>
    <n v="65"/>
    <n v="0"/>
  </r>
  <r>
    <n v="2819"/>
    <x v="5"/>
    <x v="1"/>
    <s v="Shorts"/>
    <x v="0"/>
    <n v="73"/>
    <s v="California"/>
    <s v="M"/>
    <s v="Turquoise"/>
    <x v="3"/>
    <x v="10"/>
    <s v="No"/>
    <x v="2"/>
    <x v="1"/>
    <x v="1"/>
    <x v="45"/>
    <x v="5"/>
    <x v="2"/>
    <x v="2"/>
    <n v="73"/>
    <n v="0"/>
  </r>
  <r>
    <n v="2820"/>
    <x v="29"/>
    <x v="1"/>
    <s v="Shirt"/>
    <x v="0"/>
    <n v="27"/>
    <s v="Georgia"/>
    <s v="L"/>
    <s v="Lavender"/>
    <x v="1"/>
    <x v="21"/>
    <s v="No"/>
    <x v="1"/>
    <x v="1"/>
    <x v="1"/>
    <x v="5"/>
    <x v="1"/>
    <x v="5"/>
    <x v="0"/>
    <n v="27"/>
    <n v="0"/>
  </r>
  <r>
    <n v="2821"/>
    <x v="8"/>
    <x v="1"/>
    <s v="Backpack"/>
    <x v="3"/>
    <n v="89"/>
    <s v="Vermont"/>
    <s v="L"/>
    <s v="Yellow"/>
    <x v="2"/>
    <x v="20"/>
    <s v="No"/>
    <x v="1"/>
    <x v="1"/>
    <x v="1"/>
    <x v="36"/>
    <x v="1"/>
    <x v="4"/>
    <x v="2"/>
    <n v="89"/>
    <n v="0"/>
  </r>
  <r>
    <n v="2822"/>
    <x v="25"/>
    <x v="1"/>
    <s v="Shoes"/>
    <x v="1"/>
    <n v="72"/>
    <s v="Georgia"/>
    <s v="L"/>
    <s v="Olive"/>
    <x v="2"/>
    <x v="9"/>
    <s v="No"/>
    <x v="3"/>
    <x v="1"/>
    <x v="1"/>
    <x v="10"/>
    <x v="0"/>
    <x v="5"/>
    <x v="2"/>
    <n v="72"/>
    <n v="0"/>
  </r>
  <r>
    <n v="2823"/>
    <x v="12"/>
    <x v="1"/>
    <s v="Skirt"/>
    <x v="0"/>
    <n v="37"/>
    <s v="New Jersey"/>
    <s v="S"/>
    <s v="Brown"/>
    <x v="3"/>
    <x v="7"/>
    <s v="No"/>
    <x v="3"/>
    <x v="1"/>
    <x v="1"/>
    <x v="42"/>
    <x v="3"/>
    <x v="3"/>
    <x v="0"/>
    <n v="37"/>
    <n v="0"/>
  </r>
  <r>
    <n v="2824"/>
    <x v="8"/>
    <x v="1"/>
    <s v="Dress"/>
    <x v="0"/>
    <n v="63"/>
    <s v="Utah"/>
    <s v="M"/>
    <s v="Olive"/>
    <x v="2"/>
    <x v="9"/>
    <s v="No"/>
    <x v="3"/>
    <x v="1"/>
    <x v="1"/>
    <x v="39"/>
    <x v="5"/>
    <x v="4"/>
    <x v="2"/>
    <n v="63"/>
    <n v="0"/>
  </r>
  <r>
    <n v="2825"/>
    <x v="31"/>
    <x v="1"/>
    <s v="Hat"/>
    <x v="3"/>
    <n v="90"/>
    <s v="Utah"/>
    <s v="M"/>
    <s v="Purple"/>
    <x v="3"/>
    <x v="17"/>
    <s v="No"/>
    <x v="1"/>
    <x v="1"/>
    <x v="1"/>
    <x v="3"/>
    <x v="5"/>
    <x v="3"/>
    <x v="2"/>
    <n v="90"/>
    <n v="0"/>
  </r>
  <r>
    <n v="2826"/>
    <x v="28"/>
    <x v="1"/>
    <s v="Handbag"/>
    <x v="3"/>
    <n v="62"/>
    <s v="North Carolina"/>
    <s v="M"/>
    <s v="Yellow"/>
    <x v="0"/>
    <x v="24"/>
    <s v="No"/>
    <x v="4"/>
    <x v="1"/>
    <x v="1"/>
    <x v="40"/>
    <x v="4"/>
    <x v="2"/>
    <x v="0"/>
    <n v="62"/>
    <n v="0"/>
  </r>
  <r>
    <n v="2827"/>
    <x v="45"/>
    <x v="1"/>
    <s v="Handbag"/>
    <x v="3"/>
    <n v="43"/>
    <s v="Florida"/>
    <s v="L"/>
    <s v="Brown"/>
    <x v="3"/>
    <x v="15"/>
    <s v="No"/>
    <x v="0"/>
    <x v="1"/>
    <x v="1"/>
    <x v="2"/>
    <x v="0"/>
    <x v="2"/>
    <x v="2"/>
    <n v="43"/>
    <n v="0"/>
  </r>
  <r>
    <n v="2828"/>
    <x v="30"/>
    <x v="1"/>
    <s v="Blouse"/>
    <x v="0"/>
    <n v="96"/>
    <s v="Wisconsin"/>
    <s v="M"/>
    <s v="Magenta"/>
    <x v="3"/>
    <x v="0"/>
    <s v="No"/>
    <x v="2"/>
    <x v="1"/>
    <x v="1"/>
    <x v="47"/>
    <x v="4"/>
    <x v="4"/>
    <x v="1"/>
    <n v="96"/>
    <n v="0"/>
  </r>
  <r>
    <n v="2829"/>
    <x v="15"/>
    <x v="1"/>
    <s v="Scarf"/>
    <x v="3"/>
    <n v="83"/>
    <s v="Tennessee"/>
    <s v="L"/>
    <s v="Lavender"/>
    <x v="3"/>
    <x v="5"/>
    <s v="No"/>
    <x v="3"/>
    <x v="1"/>
    <x v="1"/>
    <x v="42"/>
    <x v="3"/>
    <x v="3"/>
    <x v="1"/>
    <n v="83"/>
    <n v="0"/>
  </r>
  <r>
    <n v="2830"/>
    <x v="19"/>
    <x v="1"/>
    <s v="Jewelry"/>
    <x v="3"/>
    <n v="67"/>
    <s v="Arizona"/>
    <s v="XL"/>
    <s v="Teal"/>
    <x v="3"/>
    <x v="23"/>
    <s v="No"/>
    <x v="2"/>
    <x v="1"/>
    <x v="1"/>
    <x v="39"/>
    <x v="1"/>
    <x v="1"/>
    <x v="0"/>
    <n v="67"/>
    <n v="0"/>
  </r>
  <r>
    <n v="2831"/>
    <x v="6"/>
    <x v="1"/>
    <s v="Skirt"/>
    <x v="0"/>
    <n v="90"/>
    <s v="Oregon"/>
    <s v="L"/>
    <s v="Cyan"/>
    <x v="1"/>
    <x v="3"/>
    <s v="No"/>
    <x v="5"/>
    <x v="1"/>
    <x v="1"/>
    <x v="21"/>
    <x v="0"/>
    <x v="6"/>
    <x v="0"/>
    <n v="90"/>
    <n v="0"/>
  </r>
  <r>
    <n v="2832"/>
    <x v="50"/>
    <x v="1"/>
    <s v="Hoodie"/>
    <x v="0"/>
    <n v="53"/>
    <s v="Virginia"/>
    <s v="L"/>
    <s v="Pink"/>
    <x v="0"/>
    <x v="16"/>
    <s v="No"/>
    <x v="0"/>
    <x v="1"/>
    <x v="1"/>
    <x v="7"/>
    <x v="2"/>
    <x v="1"/>
    <x v="2"/>
    <n v="53"/>
    <n v="0"/>
  </r>
  <r>
    <n v="2833"/>
    <x v="26"/>
    <x v="1"/>
    <s v="Scarf"/>
    <x v="3"/>
    <n v="37"/>
    <s v="Maryland"/>
    <s v="M"/>
    <s v="Magenta"/>
    <x v="2"/>
    <x v="12"/>
    <s v="No"/>
    <x v="3"/>
    <x v="1"/>
    <x v="1"/>
    <x v="19"/>
    <x v="3"/>
    <x v="3"/>
    <x v="2"/>
    <n v="37"/>
    <n v="0"/>
  </r>
  <r>
    <n v="2834"/>
    <x v="49"/>
    <x v="1"/>
    <s v="Jeans"/>
    <x v="0"/>
    <n v="56"/>
    <s v="Arkansas"/>
    <s v="M"/>
    <s v="Teal"/>
    <x v="3"/>
    <x v="13"/>
    <s v="No"/>
    <x v="1"/>
    <x v="1"/>
    <x v="1"/>
    <x v="5"/>
    <x v="1"/>
    <x v="5"/>
    <x v="2"/>
    <n v="56"/>
    <n v="0"/>
  </r>
  <r>
    <n v="2835"/>
    <x v="31"/>
    <x v="1"/>
    <s v="Jacket"/>
    <x v="2"/>
    <n v="43"/>
    <s v="Texas"/>
    <s v="M"/>
    <s v="Indigo"/>
    <x v="3"/>
    <x v="3"/>
    <s v="No"/>
    <x v="4"/>
    <x v="1"/>
    <x v="1"/>
    <x v="14"/>
    <x v="2"/>
    <x v="1"/>
    <x v="2"/>
    <n v="43"/>
    <n v="0"/>
  </r>
  <r>
    <n v="2836"/>
    <x v="23"/>
    <x v="1"/>
    <s v="T-shirt"/>
    <x v="0"/>
    <n v="84"/>
    <s v="Vermont"/>
    <s v="S"/>
    <s v="Pink"/>
    <x v="0"/>
    <x v="8"/>
    <s v="No"/>
    <x v="1"/>
    <x v="1"/>
    <x v="1"/>
    <x v="22"/>
    <x v="0"/>
    <x v="2"/>
    <x v="2"/>
    <n v="84"/>
    <n v="0"/>
  </r>
  <r>
    <n v="2837"/>
    <x v="47"/>
    <x v="1"/>
    <s v="Pants"/>
    <x v="0"/>
    <n v="50"/>
    <s v="Wyoming"/>
    <s v="M"/>
    <s v="Charcoal"/>
    <x v="0"/>
    <x v="16"/>
    <s v="No"/>
    <x v="4"/>
    <x v="1"/>
    <x v="1"/>
    <x v="33"/>
    <x v="1"/>
    <x v="4"/>
    <x v="0"/>
    <n v="50"/>
    <n v="0"/>
  </r>
  <r>
    <n v="2838"/>
    <x v="13"/>
    <x v="1"/>
    <s v="Shoes"/>
    <x v="1"/>
    <n v="88"/>
    <s v="Alabama"/>
    <s v="M"/>
    <s v="Brown"/>
    <x v="2"/>
    <x v="9"/>
    <s v="No"/>
    <x v="0"/>
    <x v="1"/>
    <x v="1"/>
    <x v="12"/>
    <x v="3"/>
    <x v="1"/>
    <x v="0"/>
    <n v="88"/>
    <n v="0"/>
  </r>
  <r>
    <n v="2839"/>
    <x v="47"/>
    <x v="1"/>
    <s v="Jacket"/>
    <x v="2"/>
    <n v="50"/>
    <s v="Maine"/>
    <s v="M"/>
    <s v="Blue"/>
    <x v="3"/>
    <x v="18"/>
    <s v="No"/>
    <x v="1"/>
    <x v="1"/>
    <x v="1"/>
    <x v="1"/>
    <x v="4"/>
    <x v="1"/>
    <x v="0"/>
    <n v="50"/>
    <n v="0"/>
  </r>
  <r>
    <n v="2840"/>
    <x v="27"/>
    <x v="1"/>
    <s v="Scarf"/>
    <x v="3"/>
    <n v="80"/>
    <s v="South Dakota"/>
    <s v="L"/>
    <s v="Teal"/>
    <x v="2"/>
    <x v="11"/>
    <s v="No"/>
    <x v="5"/>
    <x v="1"/>
    <x v="1"/>
    <x v="48"/>
    <x v="4"/>
    <x v="5"/>
    <x v="0"/>
    <n v="80"/>
    <n v="0"/>
  </r>
  <r>
    <n v="2841"/>
    <x v="37"/>
    <x v="1"/>
    <s v="T-shirt"/>
    <x v="0"/>
    <n v="47"/>
    <s v="West Virginia"/>
    <s v="L"/>
    <s v="Pink"/>
    <x v="1"/>
    <x v="1"/>
    <s v="No"/>
    <x v="5"/>
    <x v="1"/>
    <x v="1"/>
    <x v="23"/>
    <x v="1"/>
    <x v="2"/>
    <x v="2"/>
    <n v="47"/>
    <n v="0"/>
  </r>
  <r>
    <n v="2842"/>
    <x v="1"/>
    <x v="1"/>
    <s v="Dress"/>
    <x v="0"/>
    <n v="33"/>
    <s v="Ohio"/>
    <s v="XL"/>
    <s v="Magenta"/>
    <x v="0"/>
    <x v="21"/>
    <s v="No"/>
    <x v="4"/>
    <x v="1"/>
    <x v="1"/>
    <x v="4"/>
    <x v="1"/>
    <x v="1"/>
    <x v="1"/>
    <n v="33"/>
    <n v="0"/>
  </r>
  <r>
    <n v="2843"/>
    <x v="48"/>
    <x v="1"/>
    <s v="Coat"/>
    <x v="2"/>
    <n v="100"/>
    <s v="Arizona"/>
    <s v="L"/>
    <s v="Green"/>
    <x v="3"/>
    <x v="24"/>
    <s v="No"/>
    <x v="3"/>
    <x v="1"/>
    <x v="1"/>
    <x v="26"/>
    <x v="5"/>
    <x v="3"/>
    <x v="2"/>
    <n v="100"/>
    <n v="0"/>
  </r>
  <r>
    <n v="2844"/>
    <x v="47"/>
    <x v="1"/>
    <s v="Sweater"/>
    <x v="0"/>
    <n v="26"/>
    <s v="Ohio"/>
    <s v="M"/>
    <s v="White"/>
    <x v="2"/>
    <x v="15"/>
    <s v="No"/>
    <x v="5"/>
    <x v="1"/>
    <x v="1"/>
    <x v="23"/>
    <x v="0"/>
    <x v="1"/>
    <x v="0"/>
    <n v="26"/>
    <n v="0"/>
  </r>
  <r>
    <n v="2845"/>
    <x v="45"/>
    <x v="1"/>
    <s v="Hat"/>
    <x v="3"/>
    <n v="79"/>
    <s v="New Mexico"/>
    <s v="M"/>
    <s v="Indigo"/>
    <x v="2"/>
    <x v="14"/>
    <s v="No"/>
    <x v="3"/>
    <x v="1"/>
    <x v="1"/>
    <x v="38"/>
    <x v="0"/>
    <x v="2"/>
    <x v="2"/>
    <n v="79"/>
    <n v="0"/>
  </r>
  <r>
    <n v="2846"/>
    <x v="8"/>
    <x v="1"/>
    <s v="Backpack"/>
    <x v="3"/>
    <n v="77"/>
    <s v="South Dakota"/>
    <s v="L"/>
    <s v="Lavender"/>
    <x v="2"/>
    <x v="7"/>
    <s v="No"/>
    <x v="0"/>
    <x v="1"/>
    <x v="1"/>
    <x v="30"/>
    <x v="5"/>
    <x v="6"/>
    <x v="2"/>
    <n v="77"/>
    <n v="0"/>
  </r>
  <r>
    <n v="2847"/>
    <x v="2"/>
    <x v="1"/>
    <s v="Socks"/>
    <x v="0"/>
    <n v="36"/>
    <s v="Oklahoma"/>
    <s v="XL"/>
    <s v="Black"/>
    <x v="3"/>
    <x v="11"/>
    <s v="No"/>
    <x v="2"/>
    <x v="1"/>
    <x v="1"/>
    <x v="28"/>
    <x v="3"/>
    <x v="4"/>
    <x v="2"/>
    <n v="36"/>
    <n v="0"/>
  </r>
  <r>
    <n v="2848"/>
    <x v="33"/>
    <x v="1"/>
    <s v="Jewelry"/>
    <x v="3"/>
    <n v="21"/>
    <s v="Connecticut"/>
    <s v="L"/>
    <s v="Charcoal"/>
    <x v="0"/>
    <x v="11"/>
    <s v="No"/>
    <x v="1"/>
    <x v="1"/>
    <x v="1"/>
    <x v="35"/>
    <x v="3"/>
    <x v="6"/>
    <x v="0"/>
    <n v="21"/>
    <n v="0"/>
  </r>
  <r>
    <n v="2849"/>
    <x v="23"/>
    <x v="1"/>
    <s v="Boots"/>
    <x v="1"/>
    <n v="72"/>
    <s v="Wisconsin"/>
    <s v="L"/>
    <s v="Gray"/>
    <x v="3"/>
    <x v="8"/>
    <s v="No"/>
    <x v="5"/>
    <x v="1"/>
    <x v="1"/>
    <x v="40"/>
    <x v="4"/>
    <x v="3"/>
    <x v="2"/>
    <n v="72"/>
    <n v="0"/>
  </r>
  <r>
    <n v="2850"/>
    <x v="19"/>
    <x v="1"/>
    <s v="Coat"/>
    <x v="2"/>
    <n v="25"/>
    <s v="New Hampshire"/>
    <s v="M"/>
    <s v="Gold"/>
    <x v="1"/>
    <x v="7"/>
    <s v="No"/>
    <x v="0"/>
    <x v="1"/>
    <x v="1"/>
    <x v="46"/>
    <x v="3"/>
    <x v="4"/>
    <x v="0"/>
    <n v="25"/>
    <n v="0"/>
  </r>
  <r>
    <n v="2851"/>
    <x v="9"/>
    <x v="1"/>
    <s v="Sweater"/>
    <x v="0"/>
    <n v="79"/>
    <s v="Nebraska"/>
    <s v="M"/>
    <s v="Silver"/>
    <x v="1"/>
    <x v="21"/>
    <s v="No"/>
    <x v="5"/>
    <x v="1"/>
    <x v="1"/>
    <x v="13"/>
    <x v="5"/>
    <x v="2"/>
    <x v="0"/>
    <n v="79"/>
    <n v="0"/>
  </r>
  <r>
    <n v="2852"/>
    <x v="44"/>
    <x v="1"/>
    <s v="Blouse"/>
    <x v="0"/>
    <n v="73"/>
    <s v="Nevada"/>
    <s v="L"/>
    <s v="Teal"/>
    <x v="2"/>
    <x v="21"/>
    <s v="No"/>
    <x v="5"/>
    <x v="1"/>
    <x v="1"/>
    <x v="38"/>
    <x v="5"/>
    <x v="5"/>
    <x v="0"/>
    <n v="73"/>
    <n v="0"/>
  </r>
  <r>
    <n v="2853"/>
    <x v="37"/>
    <x v="1"/>
    <s v="Belt"/>
    <x v="3"/>
    <n v="71"/>
    <s v="New York"/>
    <s v="M"/>
    <s v="Magenta"/>
    <x v="1"/>
    <x v="21"/>
    <s v="No"/>
    <x v="5"/>
    <x v="1"/>
    <x v="1"/>
    <x v="48"/>
    <x v="0"/>
    <x v="1"/>
    <x v="2"/>
    <n v="71"/>
    <n v="0"/>
  </r>
  <r>
    <n v="2854"/>
    <x v="43"/>
    <x v="1"/>
    <s v="Hat"/>
    <x v="3"/>
    <n v="48"/>
    <s v="Pennsylvania"/>
    <s v="M"/>
    <s v="Magenta"/>
    <x v="0"/>
    <x v="4"/>
    <s v="No"/>
    <x v="2"/>
    <x v="1"/>
    <x v="1"/>
    <x v="44"/>
    <x v="3"/>
    <x v="1"/>
    <x v="2"/>
    <n v="48"/>
    <n v="0"/>
  </r>
  <r>
    <n v="2855"/>
    <x v="24"/>
    <x v="1"/>
    <s v="Sandals"/>
    <x v="1"/>
    <n v="28"/>
    <s v="Delaware"/>
    <s v="M"/>
    <s v="Beige"/>
    <x v="3"/>
    <x v="2"/>
    <s v="No"/>
    <x v="5"/>
    <x v="1"/>
    <x v="1"/>
    <x v="29"/>
    <x v="0"/>
    <x v="5"/>
    <x v="2"/>
    <n v="28"/>
    <n v="0"/>
  </r>
  <r>
    <n v="2856"/>
    <x v="26"/>
    <x v="1"/>
    <s v="Boots"/>
    <x v="1"/>
    <n v="95"/>
    <s v="Mississippi"/>
    <s v="S"/>
    <s v="Maroon"/>
    <x v="0"/>
    <x v="22"/>
    <s v="No"/>
    <x v="4"/>
    <x v="1"/>
    <x v="1"/>
    <x v="42"/>
    <x v="3"/>
    <x v="3"/>
    <x v="2"/>
    <n v="95"/>
    <n v="0"/>
  </r>
  <r>
    <n v="2857"/>
    <x v="13"/>
    <x v="1"/>
    <s v="Jacket"/>
    <x v="2"/>
    <n v="48"/>
    <s v="Iowa"/>
    <s v="M"/>
    <s v="Indigo"/>
    <x v="0"/>
    <x v="1"/>
    <s v="No"/>
    <x v="4"/>
    <x v="1"/>
    <x v="1"/>
    <x v="4"/>
    <x v="2"/>
    <x v="5"/>
    <x v="0"/>
    <n v="48"/>
    <n v="0"/>
  </r>
  <r>
    <n v="2858"/>
    <x v="42"/>
    <x v="1"/>
    <s v="Dress"/>
    <x v="0"/>
    <n v="93"/>
    <s v="Utah"/>
    <s v="S"/>
    <s v="Maroon"/>
    <x v="1"/>
    <x v="22"/>
    <s v="No"/>
    <x v="2"/>
    <x v="1"/>
    <x v="1"/>
    <x v="31"/>
    <x v="5"/>
    <x v="5"/>
    <x v="2"/>
    <n v="93"/>
    <n v="0"/>
  </r>
  <r>
    <n v="2859"/>
    <x v="50"/>
    <x v="1"/>
    <s v="Jeans"/>
    <x v="0"/>
    <n v="87"/>
    <s v="Maryland"/>
    <s v="L"/>
    <s v="Teal"/>
    <x v="2"/>
    <x v="22"/>
    <s v="No"/>
    <x v="4"/>
    <x v="1"/>
    <x v="1"/>
    <x v="15"/>
    <x v="4"/>
    <x v="5"/>
    <x v="2"/>
    <n v="87"/>
    <n v="0"/>
  </r>
  <r>
    <n v="2860"/>
    <x v="18"/>
    <x v="1"/>
    <s v="Shorts"/>
    <x v="0"/>
    <n v="32"/>
    <s v="Utah"/>
    <s v="L"/>
    <s v="Yellow"/>
    <x v="3"/>
    <x v="23"/>
    <s v="No"/>
    <x v="0"/>
    <x v="1"/>
    <x v="1"/>
    <x v="32"/>
    <x v="4"/>
    <x v="2"/>
    <x v="2"/>
    <n v="32"/>
    <n v="0"/>
  </r>
  <r>
    <n v="2861"/>
    <x v="48"/>
    <x v="1"/>
    <s v="Shirt"/>
    <x v="0"/>
    <n v="38"/>
    <s v="Rhode Island"/>
    <s v="M"/>
    <s v="Gold"/>
    <x v="1"/>
    <x v="3"/>
    <s v="No"/>
    <x v="2"/>
    <x v="1"/>
    <x v="1"/>
    <x v="3"/>
    <x v="4"/>
    <x v="1"/>
    <x v="2"/>
    <n v="38"/>
    <n v="0"/>
  </r>
  <r>
    <n v="2862"/>
    <x v="17"/>
    <x v="1"/>
    <s v="Coat"/>
    <x v="2"/>
    <n v="54"/>
    <s v="Maryland"/>
    <s v="M"/>
    <s v="Teal"/>
    <x v="3"/>
    <x v="23"/>
    <s v="No"/>
    <x v="1"/>
    <x v="1"/>
    <x v="1"/>
    <x v="46"/>
    <x v="2"/>
    <x v="5"/>
    <x v="0"/>
    <n v="54"/>
    <n v="0"/>
  </r>
  <r>
    <n v="2863"/>
    <x v="33"/>
    <x v="1"/>
    <s v="Coat"/>
    <x v="2"/>
    <n v="75"/>
    <s v="Hawaii"/>
    <s v="S"/>
    <s v="Violet"/>
    <x v="2"/>
    <x v="10"/>
    <s v="No"/>
    <x v="5"/>
    <x v="1"/>
    <x v="1"/>
    <x v="36"/>
    <x v="4"/>
    <x v="6"/>
    <x v="0"/>
    <n v="75"/>
    <n v="0"/>
  </r>
  <r>
    <n v="2864"/>
    <x v="43"/>
    <x v="1"/>
    <s v="T-shirt"/>
    <x v="0"/>
    <n v="56"/>
    <s v="Connecticut"/>
    <s v="M"/>
    <s v="Yellow"/>
    <x v="3"/>
    <x v="20"/>
    <s v="No"/>
    <x v="4"/>
    <x v="1"/>
    <x v="1"/>
    <x v="27"/>
    <x v="0"/>
    <x v="5"/>
    <x v="2"/>
    <n v="56"/>
    <n v="0"/>
  </r>
  <r>
    <n v="2865"/>
    <x v="44"/>
    <x v="1"/>
    <s v="Sweater"/>
    <x v="0"/>
    <n v="43"/>
    <s v="Illinois"/>
    <s v="S"/>
    <s v="Maroon"/>
    <x v="3"/>
    <x v="15"/>
    <s v="No"/>
    <x v="5"/>
    <x v="1"/>
    <x v="1"/>
    <x v="4"/>
    <x v="0"/>
    <x v="1"/>
    <x v="0"/>
    <n v="43"/>
    <n v="0"/>
  </r>
  <r>
    <n v="2866"/>
    <x v="48"/>
    <x v="1"/>
    <s v="Skirt"/>
    <x v="0"/>
    <n v="97"/>
    <s v="California"/>
    <s v="M"/>
    <s v="Silver"/>
    <x v="3"/>
    <x v="18"/>
    <s v="No"/>
    <x v="1"/>
    <x v="1"/>
    <x v="1"/>
    <x v="46"/>
    <x v="1"/>
    <x v="0"/>
    <x v="2"/>
    <n v="97"/>
    <n v="0"/>
  </r>
  <r>
    <n v="2867"/>
    <x v="22"/>
    <x v="1"/>
    <s v="Blouse"/>
    <x v="0"/>
    <n v="75"/>
    <s v="Connecticut"/>
    <s v="S"/>
    <s v="Violet"/>
    <x v="2"/>
    <x v="0"/>
    <s v="No"/>
    <x v="1"/>
    <x v="1"/>
    <x v="1"/>
    <x v="5"/>
    <x v="1"/>
    <x v="2"/>
    <x v="0"/>
    <n v="75"/>
    <n v="0"/>
  </r>
  <r>
    <n v="2868"/>
    <x v="3"/>
    <x v="1"/>
    <s v="Sneakers"/>
    <x v="1"/>
    <n v="55"/>
    <s v="Colorado"/>
    <s v="L"/>
    <s v="White"/>
    <x v="2"/>
    <x v="8"/>
    <s v="No"/>
    <x v="2"/>
    <x v="1"/>
    <x v="1"/>
    <x v="42"/>
    <x v="1"/>
    <x v="0"/>
    <x v="1"/>
    <n v="55"/>
    <n v="0"/>
  </r>
  <r>
    <n v="2869"/>
    <x v="4"/>
    <x v="1"/>
    <s v="Backpack"/>
    <x v="3"/>
    <n v="49"/>
    <s v="Colorado"/>
    <s v="M"/>
    <s v="Black"/>
    <x v="0"/>
    <x v="5"/>
    <s v="No"/>
    <x v="2"/>
    <x v="1"/>
    <x v="1"/>
    <x v="38"/>
    <x v="3"/>
    <x v="6"/>
    <x v="2"/>
    <n v="49"/>
    <n v="0"/>
  </r>
  <r>
    <n v="2870"/>
    <x v="9"/>
    <x v="1"/>
    <s v="Socks"/>
    <x v="0"/>
    <n v="58"/>
    <s v="Georgia"/>
    <s v="M"/>
    <s v="White"/>
    <x v="2"/>
    <x v="19"/>
    <s v="No"/>
    <x v="3"/>
    <x v="1"/>
    <x v="1"/>
    <x v="20"/>
    <x v="4"/>
    <x v="1"/>
    <x v="0"/>
    <n v="58"/>
    <n v="0"/>
  </r>
  <r>
    <n v="2871"/>
    <x v="36"/>
    <x v="1"/>
    <s v="Jewelry"/>
    <x v="3"/>
    <n v="34"/>
    <s v="North Dakota"/>
    <s v="M"/>
    <s v="Blue"/>
    <x v="0"/>
    <x v="6"/>
    <s v="No"/>
    <x v="1"/>
    <x v="1"/>
    <x v="1"/>
    <x v="3"/>
    <x v="5"/>
    <x v="6"/>
    <x v="2"/>
    <n v="34"/>
    <n v="0"/>
  </r>
  <r>
    <n v="2872"/>
    <x v="5"/>
    <x v="1"/>
    <s v="Shorts"/>
    <x v="0"/>
    <n v="43"/>
    <s v="Idaho"/>
    <s v="S"/>
    <s v="Black"/>
    <x v="2"/>
    <x v="2"/>
    <s v="No"/>
    <x v="4"/>
    <x v="1"/>
    <x v="1"/>
    <x v="19"/>
    <x v="0"/>
    <x v="4"/>
    <x v="2"/>
    <n v="43"/>
    <n v="0"/>
  </r>
  <r>
    <n v="2873"/>
    <x v="6"/>
    <x v="1"/>
    <s v="Jewelry"/>
    <x v="3"/>
    <n v="48"/>
    <s v="Connecticut"/>
    <s v="L"/>
    <s v="Olive"/>
    <x v="3"/>
    <x v="5"/>
    <s v="No"/>
    <x v="2"/>
    <x v="1"/>
    <x v="1"/>
    <x v="36"/>
    <x v="1"/>
    <x v="2"/>
    <x v="0"/>
    <n v="48"/>
    <n v="0"/>
  </r>
  <r>
    <n v="2874"/>
    <x v="42"/>
    <x v="1"/>
    <s v="Sweater"/>
    <x v="0"/>
    <n v="40"/>
    <s v="Montana"/>
    <s v="M"/>
    <s v="Teal"/>
    <x v="1"/>
    <x v="5"/>
    <s v="No"/>
    <x v="1"/>
    <x v="1"/>
    <x v="1"/>
    <x v="6"/>
    <x v="4"/>
    <x v="5"/>
    <x v="2"/>
    <n v="40"/>
    <n v="0"/>
  </r>
  <r>
    <n v="2875"/>
    <x v="24"/>
    <x v="1"/>
    <s v="Shirt"/>
    <x v="0"/>
    <n v="29"/>
    <s v="Colorado"/>
    <s v="L"/>
    <s v="Silver"/>
    <x v="2"/>
    <x v="0"/>
    <s v="No"/>
    <x v="3"/>
    <x v="1"/>
    <x v="1"/>
    <x v="1"/>
    <x v="5"/>
    <x v="2"/>
    <x v="2"/>
    <n v="29"/>
    <n v="0"/>
  </r>
  <r>
    <n v="2876"/>
    <x v="41"/>
    <x v="1"/>
    <s v="Pants"/>
    <x v="0"/>
    <n v="81"/>
    <s v="Kentucky"/>
    <s v="M"/>
    <s v="Pink"/>
    <x v="3"/>
    <x v="5"/>
    <s v="No"/>
    <x v="1"/>
    <x v="1"/>
    <x v="1"/>
    <x v="0"/>
    <x v="5"/>
    <x v="1"/>
    <x v="1"/>
    <n v="81"/>
    <n v="0"/>
  </r>
  <r>
    <n v="2877"/>
    <x v="13"/>
    <x v="1"/>
    <s v="Hoodie"/>
    <x v="0"/>
    <n v="84"/>
    <s v="New Mexico"/>
    <s v="M"/>
    <s v="Charcoal"/>
    <x v="1"/>
    <x v="23"/>
    <s v="No"/>
    <x v="4"/>
    <x v="1"/>
    <x v="1"/>
    <x v="36"/>
    <x v="4"/>
    <x v="0"/>
    <x v="0"/>
    <n v="84"/>
    <n v="0"/>
  </r>
  <r>
    <n v="2878"/>
    <x v="45"/>
    <x v="1"/>
    <s v="Socks"/>
    <x v="0"/>
    <n v="46"/>
    <s v="New Jersey"/>
    <s v="M"/>
    <s v="Silver"/>
    <x v="2"/>
    <x v="15"/>
    <s v="No"/>
    <x v="3"/>
    <x v="1"/>
    <x v="1"/>
    <x v="11"/>
    <x v="0"/>
    <x v="5"/>
    <x v="2"/>
    <n v="46"/>
    <n v="0"/>
  </r>
  <r>
    <n v="2879"/>
    <x v="6"/>
    <x v="1"/>
    <s v="Dress"/>
    <x v="0"/>
    <n v="86"/>
    <s v="California"/>
    <s v="L"/>
    <s v="Turquoise"/>
    <x v="2"/>
    <x v="24"/>
    <s v="No"/>
    <x v="2"/>
    <x v="1"/>
    <x v="1"/>
    <x v="21"/>
    <x v="4"/>
    <x v="2"/>
    <x v="0"/>
    <n v="86"/>
    <n v="0"/>
  </r>
  <r>
    <n v="2880"/>
    <x v="46"/>
    <x v="1"/>
    <s v="Blouse"/>
    <x v="0"/>
    <n v="57"/>
    <s v="North Dakota"/>
    <s v="XL"/>
    <s v="Turquoise"/>
    <x v="0"/>
    <x v="8"/>
    <s v="No"/>
    <x v="1"/>
    <x v="1"/>
    <x v="1"/>
    <x v="4"/>
    <x v="0"/>
    <x v="2"/>
    <x v="0"/>
    <n v="57"/>
    <n v="0"/>
  </r>
  <r>
    <n v="2881"/>
    <x v="1"/>
    <x v="1"/>
    <s v="Skirt"/>
    <x v="0"/>
    <n v="61"/>
    <s v="Florida"/>
    <s v="L"/>
    <s v="Beige"/>
    <x v="0"/>
    <x v="6"/>
    <s v="No"/>
    <x v="5"/>
    <x v="1"/>
    <x v="1"/>
    <x v="34"/>
    <x v="3"/>
    <x v="3"/>
    <x v="1"/>
    <n v="61"/>
    <n v="0"/>
  </r>
  <r>
    <n v="2882"/>
    <x v="21"/>
    <x v="1"/>
    <s v="Backpack"/>
    <x v="3"/>
    <n v="90"/>
    <s v="Texas"/>
    <s v="M"/>
    <s v="Cyan"/>
    <x v="0"/>
    <x v="19"/>
    <s v="No"/>
    <x v="1"/>
    <x v="1"/>
    <x v="1"/>
    <x v="49"/>
    <x v="4"/>
    <x v="2"/>
    <x v="2"/>
    <n v="90"/>
    <n v="0"/>
  </r>
  <r>
    <n v="2883"/>
    <x v="35"/>
    <x v="1"/>
    <s v="Blouse"/>
    <x v="0"/>
    <n v="51"/>
    <s v="Oklahoma"/>
    <s v="L"/>
    <s v="Gold"/>
    <x v="0"/>
    <x v="5"/>
    <s v="No"/>
    <x v="5"/>
    <x v="1"/>
    <x v="1"/>
    <x v="2"/>
    <x v="2"/>
    <x v="4"/>
    <x v="0"/>
    <n v="51"/>
    <n v="0"/>
  </r>
  <r>
    <n v="2884"/>
    <x v="40"/>
    <x v="1"/>
    <s v="Socks"/>
    <x v="0"/>
    <n v="48"/>
    <s v="Rhode Island"/>
    <s v="XL"/>
    <s v="Silver"/>
    <x v="1"/>
    <x v="4"/>
    <s v="No"/>
    <x v="3"/>
    <x v="1"/>
    <x v="1"/>
    <x v="9"/>
    <x v="3"/>
    <x v="1"/>
    <x v="1"/>
    <n v="48"/>
    <n v="0"/>
  </r>
  <r>
    <n v="2885"/>
    <x v="0"/>
    <x v="1"/>
    <s v="Boots"/>
    <x v="1"/>
    <n v="50"/>
    <s v="Arkansas"/>
    <s v="M"/>
    <s v="Purple"/>
    <x v="2"/>
    <x v="23"/>
    <s v="No"/>
    <x v="4"/>
    <x v="1"/>
    <x v="1"/>
    <x v="39"/>
    <x v="2"/>
    <x v="6"/>
    <x v="0"/>
    <n v="50"/>
    <n v="0"/>
  </r>
  <r>
    <n v="2886"/>
    <x v="26"/>
    <x v="1"/>
    <s v="Backpack"/>
    <x v="3"/>
    <n v="82"/>
    <s v="Nevada"/>
    <s v="M"/>
    <s v="Yellow"/>
    <x v="2"/>
    <x v="1"/>
    <s v="No"/>
    <x v="2"/>
    <x v="1"/>
    <x v="1"/>
    <x v="0"/>
    <x v="2"/>
    <x v="4"/>
    <x v="2"/>
    <n v="82"/>
    <n v="0"/>
  </r>
  <r>
    <n v="2887"/>
    <x v="32"/>
    <x v="1"/>
    <s v="Hat"/>
    <x v="3"/>
    <n v="33"/>
    <s v="Utah"/>
    <s v="L"/>
    <s v="Blue"/>
    <x v="1"/>
    <x v="19"/>
    <s v="No"/>
    <x v="1"/>
    <x v="1"/>
    <x v="1"/>
    <x v="32"/>
    <x v="3"/>
    <x v="1"/>
    <x v="2"/>
    <n v="33"/>
    <n v="0"/>
  </r>
  <r>
    <n v="2888"/>
    <x v="51"/>
    <x v="1"/>
    <s v="Sandals"/>
    <x v="1"/>
    <n v="28"/>
    <s v="Kentucky"/>
    <s v="L"/>
    <s v="Blue"/>
    <x v="0"/>
    <x v="11"/>
    <s v="No"/>
    <x v="0"/>
    <x v="1"/>
    <x v="1"/>
    <x v="45"/>
    <x v="1"/>
    <x v="4"/>
    <x v="1"/>
    <n v="28"/>
    <n v="0"/>
  </r>
  <r>
    <n v="2889"/>
    <x v="27"/>
    <x v="1"/>
    <s v="Hoodie"/>
    <x v="0"/>
    <n v="42"/>
    <s v="Wisconsin"/>
    <s v="L"/>
    <s v="Green"/>
    <x v="1"/>
    <x v="16"/>
    <s v="No"/>
    <x v="4"/>
    <x v="1"/>
    <x v="1"/>
    <x v="29"/>
    <x v="5"/>
    <x v="3"/>
    <x v="0"/>
    <n v="42"/>
    <n v="0"/>
  </r>
  <r>
    <n v="2890"/>
    <x v="14"/>
    <x v="1"/>
    <s v="Sunglasses"/>
    <x v="3"/>
    <n v="43"/>
    <s v="Minnesota"/>
    <s v="M"/>
    <s v="Charcoal"/>
    <x v="3"/>
    <x v="13"/>
    <s v="No"/>
    <x v="5"/>
    <x v="1"/>
    <x v="1"/>
    <x v="33"/>
    <x v="0"/>
    <x v="2"/>
    <x v="0"/>
    <n v="43"/>
    <n v="0"/>
  </r>
  <r>
    <n v="2891"/>
    <x v="31"/>
    <x v="1"/>
    <s v="Jeans"/>
    <x v="0"/>
    <n v="55"/>
    <s v="North Dakota"/>
    <s v="M"/>
    <s v="Violet"/>
    <x v="0"/>
    <x v="18"/>
    <s v="No"/>
    <x v="1"/>
    <x v="1"/>
    <x v="1"/>
    <x v="2"/>
    <x v="2"/>
    <x v="5"/>
    <x v="2"/>
    <n v="55"/>
    <n v="0"/>
  </r>
  <r>
    <n v="2892"/>
    <x v="36"/>
    <x v="1"/>
    <s v="T-shirt"/>
    <x v="0"/>
    <n v="73"/>
    <s v="Ohio"/>
    <s v="XL"/>
    <s v="Black"/>
    <x v="0"/>
    <x v="25"/>
    <s v="No"/>
    <x v="1"/>
    <x v="1"/>
    <x v="1"/>
    <x v="9"/>
    <x v="3"/>
    <x v="5"/>
    <x v="2"/>
    <n v="73"/>
    <n v="0"/>
  </r>
  <r>
    <n v="2893"/>
    <x v="40"/>
    <x v="1"/>
    <s v="Dress"/>
    <x v="0"/>
    <n v="39"/>
    <s v="Nevada"/>
    <s v="M"/>
    <s v="Teal"/>
    <x v="1"/>
    <x v="4"/>
    <s v="No"/>
    <x v="3"/>
    <x v="1"/>
    <x v="1"/>
    <x v="39"/>
    <x v="2"/>
    <x v="5"/>
    <x v="1"/>
    <n v="39"/>
    <n v="0"/>
  </r>
  <r>
    <n v="2894"/>
    <x v="28"/>
    <x v="1"/>
    <s v="Belt"/>
    <x v="3"/>
    <n v="20"/>
    <s v="Kentucky"/>
    <s v="S"/>
    <s v="Orange"/>
    <x v="1"/>
    <x v="0"/>
    <s v="No"/>
    <x v="1"/>
    <x v="1"/>
    <x v="1"/>
    <x v="12"/>
    <x v="5"/>
    <x v="6"/>
    <x v="0"/>
    <n v="20"/>
    <n v="0"/>
  </r>
  <r>
    <n v="2895"/>
    <x v="25"/>
    <x v="1"/>
    <s v="Jewelry"/>
    <x v="3"/>
    <n v="32"/>
    <s v="Kentucky"/>
    <s v="S"/>
    <s v="Brown"/>
    <x v="1"/>
    <x v="1"/>
    <s v="No"/>
    <x v="3"/>
    <x v="1"/>
    <x v="1"/>
    <x v="23"/>
    <x v="0"/>
    <x v="2"/>
    <x v="2"/>
    <n v="32"/>
    <n v="0"/>
  </r>
  <r>
    <n v="2896"/>
    <x v="19"/>
    <x v="1"/>
    <s v="Hoodie"/>
    <x v="0"/>
    <n v="86"/>
    <s v="Montana"/>
    <s v="L"/>
    <s v="Green"/>
    <x v="2"/>
    <x v="12"/>
    <s v="No"/>
    <x v="3"/>
    <x v="1"/>
    <x v="1"/>
    <x v="32"/>
    <x v="4"/>
    <x v="5"/>
    <x v="0"/>
    <n v="86"/>
    <n v="0"/>
  </r>
  <r>
    <n v="2897"/>
    <x v="11"/>
    <x v="1"/>
    <s v="Blouse"/>
    <x v="0"/>
    <n v="91"/>
    <s v="Delaware"/>
    <s v="M"/>
    <s v="Silver"/>
    <x v="2"/>
    <x v="13"/>
    <s v="No"/>
    <x v="1"/>
    <x v="1"/>
    <x v="1"/>
    <x v="1"/>
    <x v="0"/>
    <x v="6"/>
    <x v="2"/>
    <n v="91"/>
    <n v="0"/>
  </r>
  <r>
    <n v="2898"/>
    <x v="49"/>
    <x v="1"/>
    <s v="Jacket"/>
    <x v="2"/>
    <n v="59"/>
    <s v="Montana"/>
    <s v="L"/>
    <s v="Violet"/>
    <x v="3"/>
    <x v="25"/>
    <s v="No"/>
    <x v="1"/>
    <x v="1"/>
    <x v="1"/>
    <x v="1"/>
    <x v="1"/>
    <x v="0"/>
    <x v="2"/>
    <n v="59"/>
    <n v="0"/>
  </r>
  <r>
    <n v="2899"/>
    <x v="51"/>
    <x v="1"/>
    <s v="Sneakers"/>
    <x v="1"/>
    <n v="33"/>
    <s v="New Jersey"/>
    <s v="XL"/>
    <s v="Peach"/>
    <x v="2"/>
    <x v="12"/>
    <s v="No"/>
    <x v="0"/>
    <x v="1"/>
    <x v="1"/>
    <x v="32"/>
    <x v="2"/>
    <x v="2"/>
    <x v="1"/>
    <n v="33"/>
    <n v="0"/>
  </r>
  <r>
    <n v="2900"/>
    <x v="2"/>
    <x v="1"/>
    <s v="Boots"/>
    <x v="1"/>
    <n v="64"/>
    <s v="Nebraska"/>
    <s v="M"/>
    <s v="Gold"/>
    <x v="1"/>
    <x v="19"/>
    <s v="No"/>
    <x v="4"/>
    <x v="1"/>
    <x v="1"/>
    <x v="17"/>
    <x v="4"/>
    <x v="0"/>
    <x v="2"/>
    <n v="64"/>
    <n v="0"/>
  </r>
  <r>
    <n v="2901"/>
    <x v="38"/>
    <x v="1"/>
    <s v="Blouse"/>
    <x v="0"/>
    <n v="67"/>
    <s v="Maryland"/>
    <s v="XL"/>
    <s v="Violet"/>
    <x v="0"/>
    <x v="17"/>
    <s v="No"/>
    <x v="3"/>
    <x v="1"/>
    <x v="1"/>
    <x v="2"/>
    <x v="1"/>
    <x v="4"/>
    <x v="2"/>
    <n v="67"/>
    <n v="0"/>
  </r>
  <r>
    <n v="2902"/>
    <x v="38"/>
    <x v="1"/>
    <s v="Blouse"/>
    <x v="0"/>
    <n v="43"/>
    <s v="Alabama"/>
    <s v="L"/>
    <s v="Olive"/>
    <x v="0"/>
    <x v="5"/>
    <s v="No"/>
    <x v="1"/>
    <x v="1"/>
    <x v="1"/>
    <x v="15"/>
    <x v="2"/>
    <x v="3"/>
    <x v="2"/>
    <n v="43"/>
    <n v="0"/>
  </r>
  <r>
    <n v="2903"/>
    <x v="7"/>
    <x v="1"/>
    <s v="Boots"/>
    <x v="1"/>
    <n v="32"/>
    <s v="North Carolina"/>
    <s v="S"/>
    <s v="Orange"/>
    <x v="1"/>
    <x v="12"/>
    <s v="No"/>
    <x v="3"/>
    <x v="1"/>
    <x v="1"/>
    <x v="5"/>
    <x v="3"/>
    <x v="4"/>
    <x v="2"/>
    <n v="32"/>
    <n v="0"/>
  </r>
  <r>
    <n v="2904"/>
    <x v="21"/>
    <x v="1"/>
    <s v="Scarf"/>
    <x v="3"/>
    <n v="39"/>
    <s v="Delaware"/>
    <s v="S"/>
    <s v="Teal"/>
    <x v="1"/>
    <x v="1"/>
    <s v="No"/>
    <x v="4"/>
    <x v="1"/>
    <x v="1"/>
    <x v="37"/>
    <x v="2"/>
    <x v="6"/>
    <x v="2"/>
    <n v="39"/>
    <n v="0"/>
  </r>
  <r>
    <n v="2905"/>
    <x v="38"/>
    <x v="1"/>
    <s v="Sandals"/>
    <x v="1"/>
    <n v="41"/>
    <s v="Iowa"/>
    <s v="M"/>
    <s v="Gray"/>
    <x v="1"/>
    <x v="17"/>
    <s v="No"/>
    <x v="4"/>
    <x v="1"/>
    <x v="1"/>
    <x v="34"/>
    <x v="0"/>
    <x v="5"/>
    <x v="2"/>
    <n v="41"/>
    <n v="0"/>
  </r>
  <r>
    <n v="2906"/>
    <x v="44"/>
    <x v="1"/>
    <s v="Sunglasses"/>
    <x v="3"/>
    <n v="53"/>
    <s v="New York"/>
    <s v="L"/>
    <s v="Black"/>
    <x v="0"/>
    <x v="6"/>
    <s v="No"/>
    <x v="3"/>
    <x v="1"/>
    <x v="1"/>
    <x v="0"/>
    <x v="5"/>
    <x v="0"/>
    <x v="0"/>
    <n v="53"/>
    <n v="0"/>
  </r>
  <r>
    <n v="2907"/>
    <x v="44"/>
    <x v="1"/>
    <s v="Coat"/>
    <x v="2"/>
    <n v="27"/>
    <s v="Virginia"/>
    <s v="M"/>
    <s v="Indigo"/>
    <x v="1"/>
    <x v="20"/>
    <s v="No"/>
    <x v="3"/>
    <x v="1"/>
    <x v="1"/>
    <x v="22"/>
    <x v="0"/>
    <x v="2"/>
    <x v="0"/>
    <n v="27"/>
    <n v="0"/>
  </r>
  <r>
    <n v="2908"/>
    <x v="1"/>
    <x v="1"/>
    <s v="Sunglasses"/>
    <x v="3"/>
    <n v="82"/>
    <s v="Maryland"/>
    <s v="XL"/>
    <s v="Lavender"/>
    <x v="2"/>
    <x v="18"/>
    <s v="No"/>
    <x v="2"/>
    <x v="1"/>
    <x v="1"/>
    <x v="16"/>
    <x v="3"/>
    <x v="4"/>
    <x v="1"/>
    <n v="82"/>
    <n v="0"/>
  </r>
  <r>
    <n v="2909"/>
    <x v="49"/>
    <x v="1"/>
    <s v="Blouse"/>
    <x v="0"/>
    <n v="87"/>
    <s v="Texas"/>
    <s v="M"/>
    <s v="Beige"/>
    <x v="0"/>
    <x v="0"/>
    <s v="No"/>
    <x v="5"/>
    <x v="1"/>
    <x v="1"/>
    <x v="28"/>
    <x v="5"/>
    <x v="6"/>
    <x v="2"/>
    <n v="87"/>
    <n v="0"/>
  </r>
  <r>
    <n v="2910"/>
    <x v="7"/>
    <x v="1"/>
    <s v="Backpack"/>
    <x v="3"/>
    <n v="78"/>
    <s v="Louisiana"/>
    <s v="M"/>
    <s v="Indigo"/>
    <x v="0"/>
    <x v="21"/>
    <s v="No"/>
    <x v="2"/>
    <x v="1"/>
    <x v="1"/>
    <x v="19"/>
    <x v="2"/>
    <x v="6"/>
    <x v="2"/>
    <n v="78"/>
    <n v="0"/>
  </r>
  <r>
    <n v="2911"/>
    <x v="45"/>
    <x v="1"/>
    <s v="Belt"/>
    <x v="3"/>
    <n v="32"/>
    <s v="Mississippi"/>
    <s v="M"/>
    <s v="Blue"/>
    <x v="2"/>
    <x v="3"/>
    <s v="No"/>
    <x v="5"/>
    <x v="1"/>
    <x v="1"/>
    <x v="23"/>
    <x v="2"/>
    <x v="5"/>
    <x v="2"/>
    <n v="32"/>
    <n v="0"/>
  </r>
  <r>
    <n v="2912"/>
    <x v="48"/>
    <x v="1"/>
    <s v="Socks"/>
    <x v="0"/>
    <n v="38"/>
    <s v="Ohio"/>
    <s v="XL"/>
    <s v="Orange"/>
    <x v="3"/>
    <x v="3"/>
    <s v="No"/>
    <x v="2"/>
    <x v="1"/>
    <x v="1"/>
    <x v="11"/>
    <x v="0"/>
    <x v="3"/>
    <x v="2"/>
    <n v="38"/>
    <n v="0"/>
  </r>
  <r>
    <n v="2913"/>
    <x v="39"/>
    <x v="1"/>
    <s v="Shoes"/>
    <x v="1"/>
    <n v="37"/>
    <s v="Oregon"/>
    <s v="M"/>
    <s v="Yellow"/>
    <x v="0"/>
    <x v="17"/>
    <s v="No"/>
    <x v="3"/>
    <x v="1"/>
    <x v="1"/>
    <x v="46"/>
    <x v="1"/>
    <x v="4"/>
    <x v="2"/>
    <n v="37"/>
    <n v="0"/>
  </r>
  <r>
    <n v="2914"/>
    <x v="49"/>
    <x v="1"/>
    <s v="Coat"/>
    <x v="2"/>
    <n v="83"/>
    <s v="Wyoming"/>
    <s v="L"/>
    <s v="Cyan"/>
    <x v="0"/>
    <x v="1"/>
    <s v="No"/>
    <x v="0"/>
    <x v="1"/>
    <x v="1"/>
    <x v="45"/>
    <x v="1"/>
    <x v="6"/>
    <x v="2"/>
    <n v="83"/>
    <n v="0"/>
  </r>
  <r>
    <n v="2915"/>
    <x v="4"/>
    <x v="1"/>
    <s v="Sweater"/>
    <x v="0"/>
    <n v="72"/>
    <s v="Pennsylvania"/>
    <s v="M"/>
    <s v="Yellow"/>
    <x v="3"/>
    <x v="22"/>
    <s v="No"/>
    <x v="0"/>
    <x v="1"/>
    <x v="1"/>
    <x v="43"/>
    <x v="5"/>
    <x v="4"/>
    <x v="2"/>
    <n v="72"/>
    <n v="0"/>
  </r>
  <r>
    <n v="2916"/>
    <x v="8"/>
    <x v="1"/>
    <s v="Shirt"/>
    <x v="0"/>
    <n v="30"/>
    <s v="Oregon"/>
    <s v="M"/>
    <s v="Cyan"/>
    <x v="3"/>
    <x v="9"/>
    <s v="No"/>
    <x v="0"/>
    <x v="1"/>
    <x v="1"/>
    <x v="30"/>
    <x v="5"/>
    <x v="4"/>
    <x v="2"/>
    <n v="30"/>
    <n v="0"/>
  </r>
  <r>
    <n v="2917"/>
    <x v="46"/>
    <x v="1"/>
    <s v="Shorts"/>
    <x v="0"/>
    <n v="66"/>
    <s v="Oklahoma"/>
    <s v="M"/>
    <s v="Green"/>
    <x v="0"/>
    <x v="2"/>
    <s v="No"/>
    <x v="0"/>
    <x v="1"/>
    <x v="1"/>
    <x v="21"/>
    <x v="2"/>
    <x v="4"/>
    <x v="0"/>
    <n v="66"/>
    <n v="0"/>
  </r>
  <r>
    <n v="2918"/>
    <x v="44"/>
    <x v="1"/>
    <s v="Shirt"/>
    <x v="0"/>
    <n v="45"/>
    <s v="Colorado"/>
    <s v="XL"/>
    <s v="White"/>
    <x v="0"/>
    <x v="3"/>
    <s v="No"/>
    <x v="5"/>
    <x v="1"/>
    <x v="1"/>
    <x v="16"/>
    <x v="0"/>
    <x v="2"/>
    <x v="0"/>
    <n v="45"/>
    <n v="0"/>
  </r>
  <r>
    <n v="2919"/>
    <x v="1"/>
    <x v="1"/>
    <s v="Sunglasses"/>
    <x v="3"/>
    <n v="73"/>
    <s v="New York"/>
    <s v="S"/>
    <s v="Black"/>
    <x v="3"/>
    <x v="8"/>
    <s v="No"/>
    <x v="1"/>
    <x v="1"/>
    <x v="1"/>
    <x v="13"/>
    <x v="1"/>
    <x v="1"/>
    <x v="1"/>
    <n v="73"/>
    <n v="0"/>
  </r>
  <r>
    <n v="2920"/>
    <x v="14"/>
    <x v="1"/>
    <s v="Shoes"/>
    <x v="1"/>
    <n v="67"/>
    <s v="Minnesota"/>
    <s v="L"/>
    <s v="Charcoal"/>
    <x v="0"/>
    <x v="22"/>
    <s v="No"/>
    <x v="3"/>
    <x v="1"/>
    <x v="1"/>
    <x v="4"/>
    <x v="5"/>
    <x v="5"/>
    <x v="0"/>
    <n v="67"/>
    <n v="0"/>
  </r>
  <r>
    <n v="2921"/>
    <x v="23"/>
    <x v="1"/>
    <s v="Sunglasses"/>
    <x v="3"/>
    <n v="72"/>
    <s v="Texas"/>
    <s v="XL"/>
    <s v="Brown"/>
    <x v="1"/>
    <x v="8"/>
    <s v="No"/>
    <x v="1"/>
    <x v="1"/>
    <x v="1"/>
    <x v="35"/>
    <x v="5"/>
    <x v="4"/>
    <x v="2"/>
    <n v="72"/>
    <n v="0"/>
  </r>
  <r>
    <n v="2922"/>
    <x v="30"/>
    <x v="1"/>
    <s v="Handbag"/>
    <x v="3"/>
    <n v="24"/>
    <s v="Wisconsin"/>
    <s v="M"/>
    <s v="Cyan"/>
    <x v="3"/>
    <x v="12"/>
    <s v="No"/>
    <x v="3"/>
    <x v="1"/>
    <x v="1"/>
    <x v="47"/>
    <x v="1"/>
    <x v="0"/>
    <x v="1"/>
    <n v="24"/>
    <n v="0"/>
  </r>
  <r>
    <n v="2923"/>
    <x v="4"/>
    <x v="1"/>
    <s v="Sunglasses"/>
    <x v="3"/>
    <n v="68"/>
    <s v="Kentucky"/>
    <s v="L"/>
    <s v="Beige"/>
    <x v="0"/>
    <x v="1"/>
    <s v="No"/>
    <x v="0"/>
    <x v="1"/>
    <x v="1"/>
    <x v="20"/>
    <x v="3"/>
    <x v="3"/>
    <x v="2"/>
    <n v="68"/>
    <n v="0"/>
  </r>
  <r>
    <n v="2924"/>
    <x v="48"/>
    <x v="1"/>
    <s v="Shirt"/>
    <x v="0"/>
    <n v="70"/>
    <s v="Pennsylvania"/>
    <s v="M"/>
    <s v="Magenta"/>
    <x v="1"/>
    <x v="19"/>
    <s v="No"/>
    <x v="4"/>
    <x v="1"/>
    <x v="1"/>
    <x v="45"/>
    <x v="1"/>
    <x v="3"/>
    <x v="2"/>
    <n v="70"/>
    <n v="0"/>
  </r>
  <r>
    <n v="2925"/>
    <x v="36"/>
    <x v="1"/>
    <s v="Shirt"/>
    <x v="0"/>
    <n v="64"/>
    <s v="Rhode Island"/>
    <s v="L"/>
    <s v="Indigo"/>
    <x v="0"/>
    <x v="18"/>
    <s v="No"/>
    <x v="1"/>
    <x v="1"/>
    <x v="1"/>
    <x v="10"/>
    <x v="5"/>
    <x v="6"/>
    <x v="2"/>
    <n v="64"/>
    <n v="0"/>
  </r>
  <r>
    <n v="2926"/>
    <x v="22"/>
    <x v="1"/>
    <s v="Sweater"/>
    <x v="0"/>
    <n v="91"/>
    <s v="Illinois"/>
    <s v="M"/>
    <s v="Maroon"/>
    <x v="1"/>
    <x v="11"/>
    <s v="No"/>
    <x v="5"/>
    <x v="1"/>
    <x v="1"/>
    <x v="34"/>
    <x v="2"/>
    <x v="6"/>
    <x v="0"/>
    <n v="91"/>
    <n v="0"/>
  </r>
  <r>
    <n v="2927"/>
    <x v="14"/>
    <x v="1"/>
    <s v="Handbag"/>
    <x v="3"/>
    <n v="82"/>
    <s v="Maryland"/>
    <s v="M"/>
    <s v="Gray"/>
    <x v="0"/>
    <x v="6"/>
    <s v="No"/>
    <x v="4"/>
    <x v="1"/>
    <x v="1"/>
    <x v="44"/>
    <x v="1"/>
    <x v="1"/>
    <x v="0"/>
    <n v="82"/>
    <n v="0"/>
  </r>
  <r>
    <n v="2928"/>
    <x v="4"/>
    <x v="1"/>
    <s v="Shirt"/>
    <x v="0"/>
    <n v="24"/>
    <s v="Missouri"/>
    <s v="M"/>
    <s v="Black"/>
    <x v="2"/>
    <x v="2"/>
    <s v="No"/>
    <x v="0"/>
    <x v="1"/>
    <x v="1"/>
    <x v="28"/>
    <x v="0"/>
    <x v="4"/>
    <x v="2"/>
    <n v="24"/>
    <n v="0"/>
  </r>
  <r>
    <n v="2929"/>
    <x v="37"/>
    <x v="1"/>
    <s v="Jewelry"/>
    <x v="3"/>
    <n v="80"/>
    <s v="Alabama"/>
    <s v="L"/>
    <s v="Yellow"/>
    <x v="1"/>
    <x v="15"/>
    <s v="No"/>
    <x v="5"/>
    <x v="1"/>
    <x v="1"/>
    <x v="14"/>
    <x v="2"/>
    <x v="1"/>
    <x v="2"/>
    <n v="80"/>
    <n v="0"/>
  </r>
  <r>
    <n v="2930"/>
    <x v="18"/>
    <x v="1"/>
    <s v="Socks"/>
    <x v="0"/>
    <n v="53"/>
    <s v="Maine"/>
    <s v="XL"/>
    <s v="White"/>
    <x v="0"/>
    <x v="9"/>
    <s v="No"/>
    <x v="2"/>
    <x v="1"/>
    <x v="1"/>
    <x v="38"/>
    <x v="0"/>
    <x v="0"/>
    <x v="2"/>
    <n v="53"/>
    <n v="0"/>
  </r>
  <r>
    <n v="2931"/>
    <x v="21"/>
    <x v="1"/>
    <s v="T-shirt"/>
    <x v="0"/>
    <n v="50"/>
    <s v="Mississippi"/>
    <s v="M"/>
    <s v="Orange"/>
    <x v="1"/>
    <x v="17"/>
    <s v="No"/>
    <x v="1"/>
    <x v="1"/>
    <x v="1"/>
    <x v="0"/>
    <x v="0"/>
    <x v="5"/>
    <x v="2"/>
    <n v="50"/>
    <n v="0"/>
  </r>
  <r>
    <n v="2932"/>
    <x v="24"/>
    <x v="1"/>
    <s v="Jewelry"/>
    <x v="3"/>
    <n v="31"/>
    <s v="Alabama"/>
    <s v="M"/>
    <s v="Magenta"/>
    <x v="3"/>
    <x v="9"/>
    <s v="No"/>
    <x v="4"/>
    <x v="1"/>
    <x v="1"/>
    <x v="3"/>
    <x v="2"/>
    <x v="4"/>
    <x v="2"/>
    <n v="31"/>
    <n v="0"/>
  </r>
  <r>
    <n v="2933"/>
    <x v="13"/>
    <x v="1"/>
    <s v="Backpack"/>
    <x v="3"/>
    <n v="88"/>
    <s v="Alaska"/>
    <s v="L"/>
    <s v="Black"/>
    <x v="1"/>
    <x v="20"/>
    <s v="No"/>
    <x v="0"/>
    <x v="1"/>
    <x v="1"/>
    <x v="35"/>
    <x v="3"/>
    <x v="3"/>
    <x v="0"/>
    <n v="88"/>
    <n v="0"/>
  </r>
  <r>
    <n v="2934"/>
    <x v="7"/>
    <x v="1"/>
    <s v="Hat"/>
    <x v="3"/>
    <n v="52"/>
    <s v="Illinois"/>
    <s v="M"/>
    <s v="Brown"/>
    <x v="2"/>
    <x v="22"/>
    <s v="No"/>
    <x v="3"/>
    <x v="1"/>
    <x v="1"/>
    <x v="40"/>
    <x v="0"/>
    <x v="5"/>
    <x v="2"/>
    <n v="52"/>
    <n v="0"/>
  </r>
  <r>
    <n v="2935"/>
    <x v="21"/>
    <x v="1"/>
    <s v="Gloves"/>
    <x v="3"/>
    <n v="22"/>
    <s v="Idaho"/>
    <s v="M"/>
    <s v="Orange"/>
    <x v="3"/>
    <x v="10"/>
    <s v="No"/>
    <x v="2"/>
    <x v="1"/>
    <x v="1"/>
    <x v="23"/>
    <x v="4"/>
    <x v="3"/>
    <x v="2"/>
    <n v="22"/>
    <n v="0"/>
  </r>
  <r>
    <n v="2936"/>
    <x v="44"/>
    <x v="1"/>
    <s v="Sneakers"/>
    <x v="1"/>
    <n v="27"/>
    <s v="North Carolina"/>
    <s v="XL"/>
    <s v="Gray"/>
    <x v="1"/>
    <x v="12"/>
    <s v="No"/>
    <x v="3"/>
    <x v="1"/>
    <x v="1"/>
    <x v="47"/>
    <x v="0"/>
    <x v="1"/>
    <x v="0"/>
    <n v="27"/>
    <n v="0"/>
  </r>
  <r>
    <n v="2937"/>
    <x v="18"/>
    <x v="1"/>
    <s v="Skirt"/>
    <x v="0"/>
    <n v="34"/>
    <s v="Washington"/>
    <s v="M"/>
    <s v="White"/>
    <x v="1"/>
    <x v="15"/>
    <s v="No"/>
    <x v="0"/>
    <x v="1"/>
    <x v="1"/>
    <x v="15"/>
    <x v="3"/>
    <x v="1"/>
    <x v="2"/>
    <n v="34"/>
    <n v="0"/>
  </r>
  <r>
    <n v="2938"/>
    <x v="48"/>
    <x v="1"/>
    <s v="Handbag"/>
    <x v="3"/>
    <n v="39"/>
    <s v="West Virginia"/>
    <s v="M"/>
    <s v="White"/>
    <x v="1"/>
    <x v="24"/>
    <s v="No"/>
    <x v="4"/>
    <x v="1"/>
    <x v="1"/>
    <x v="28"/>
    <x v="2"/>
    <x v="1"/>
    <x v="2"/>
    <n v="39"/>
    <n v="0"/>
  </r>
  <r>
    <n v="2939"/>
    <x v="48"/>
    <x v="1"/>
    <s v="Sunglasses"/>
    <x v="3"/>
    <n v="53"/>
    <s v="Maine"/>
    <s v="M"/>
    <s v="Violet"/>
    <x v="3"/>
    <x v="21"/>
    <s v="No"/>
    <x v="3"/>
    <x v="1"/>
    <x v="1"/>
    <x v="28"/>
    <x v="1"/>
    <x v="5"/>
    <x v="2"/>
    <n v="53"/>
    <n v="0"/>
  </r>
  <r>
    <n v="2940"/>
    <x v="45"/>
    <x v="1"/>
    <s v="Sweater"/>
    <x v="0"/>
    <n v="46"/>
    <s v="Kentucky"/>
    <s v="M"/>
    <s v="Beige"/>
    <x v="0"/>
    <x v="24"/>
    <s v="No"/>
    <x v="0"/>
    <x v="1"/>
    <x v="1"/>
    <x v="11"/>
    <x v="0"/>
    <x v="1"/>
    <x v="2"/>
    <n v="46"/>
    <n v="0"/>
  </r>
  <r>
    <n v="2941"/>
    <x v="12"/>
    <x v="1"/>
    <s v="Handbag"/>
    <x v="3"/>
    <n v="85"/>
    <s v="Massachusetts"/>
    <s v="L"/>
    <s v="Beige"/>
    <x v="2"/>
    <x v="6"/>
    <s v="No"/>
    <x v="2"/>
    <x v="1"/>
    <x v="1"/>
    <x v="21"/>
    <x v="1"/>
    <x v="5"/>
    <x v="0"/>
    <n v="85"/>
    <n v="0"/>
  </r>
  <r>
    <n v="2942"/>
    <x v="21"/>
    <x v="1"/>
    <s v="Skirt"/>
    <x v="0"/>
    <n v="86"/>
    <s v="Pennsylvania"/>
    <s v="L"/>
    <s v="Purple"/>
    <x v="1"/>
    <x v="18"/>
    <s v="No"/>
    <x v="1"/>
    <x v="1"/>
    <x v="1"/>
    <x v="46"/>
    <x v="3"/>
    <x v="5"/>
    <x v="2"/>
    <n v="86"/>
    <n v="0"/>
  </r>
  <r>
    <n v="2943"/>
    <x v="22"/>
    <x v="1"/>
    <s v="Socks"/>
    <x v="0"/>
    <n v="63"/>
    <s v="Hawaii"/>
    <s v="M"/>
    <s v="Brown"/>
    <x v="2"/>
    <x v="5"/>
    <s v="No"/>
    <x v="1"/>
    <x v="1"/>
    <x v="1"/>
    <x v="10"/>
    <x v="4"/>
    <x v="1"/>
    <x v="0"/>
    <n v="63"/>
    <n v="0"/>
  </r>
  <r>
    <n v="2944"/>
    <x v="26"/>
    <x v="1"/>
    <s v="Shirt"/>
    <x v="0"/>
    <n v="44"/>
    <s v="Virginia"/>
    <s v="M"/>
    <s v="Orange"/>
    <x v="1"/>
    <x v="23"/>
    <s v="No"/>
    <x v="3"/>
    <x v="1"/>
    <x v="1"/>
    <x v="10"/>
    <x v="2"/>
    <x v="5"/>
    <x v="2"/>
    <n v="44"/>
    <n v="0"/>
  </r>
  <r>
    <n v="2945"/>
    <x v="2"/>
    <x v="1"/>
    <s v="Sneakers"/>
    <x v="1"/>
    <n v="95"/>
    <s v="New York"/>
    <s v="XL"/>
    <s v="Cyan"/>
    <x v="2"/>
    <x v="20"/>
    <s v="No"/>
    <x v="1"/>
    <x v="1"/>
    <x v="1"/>
    <x v="7"/>
    <x v="0"/>
    <x v="6"/>
    <x v="2"/>
    <n v="95"/>
    <n v="0"/>
  </r>
  <r>
    <n v="2946"/>
    <x v="45"/>
    <x v="1"/>
    <s v="Belt"/>
    <x v="3"/>
    <n v="49"/>
    <s v="Delaware"/>
    <s v="M"/>
    <s v="Charcoal"/>
    <x v="2"/>
    <x v="6"/>
    <s v="No"/>
    <x v="1"/>
    <x v="1"/>
    <x v="1"/>
    <x v="43"/>
    <x v="2"/>
    <x v="6"/>
    <x v="2"/>
    <n v="49"/>
    <n v="0"/>
  </r>
  <r>
    <n v="2947"/>
    <x v="21"/>
    <x v="1"/>
    <s v="Pants"/>
    <x v="0"/>
    <n v="77"/>
    <s v="Hawaii"/>
    <s v="L"/>
    <s v="Purple"/>
    <x v="1"/>
    <x v="11"/>
    <s v="No"/>
    <x v="1"/>
    <x v="1"/>
    <x v="1"/>
    <x v="32"/>
    <x v="4"/>
    <x v="3"/>
    <x v="2"/>
    <n v="77"/>
    <n v="0"/>
  </r>
  <r>
    <n v="2948"/>
    <x v="16"/>
    <x v="1"/>
    <s v="Jewelry"/>
    <x v="3"/>
    <n v="63"/>
    <s v="Nebraska"/>
    <s v="L"/>
    <s v="Peach"/>
    <x v="1"/>
    <x v="14"/>
    <s v="No"/>
    <x v="3"/>
    <x v="1"/>
    <x v="1"/>
    <x v="16"/>
    <x v="0"/>
    <x v="2"/>
    <x v="0"/>
    <n v="63"/>
    <n v="0"/>
  </r>
  <r>
    <n v="2949"/>
    <x v="12"/>
    <x v="1"/>
    <s v="Pants"/>
    <x v="0"/>
    <n v="83"/>
    <s v="Vermont"/>
    <s v="M"/>
    <s v="Violet"/>
    <x v="0"/>
    <x v="0"/>
    <s v="No"/>
    <x v="3"/>
    <x v="1"/>
    <x v="1"/>
    <x v="25"/>
    <x v="5"/>
    <x v="4"/>
    <x v="0"/>
    <n v="83"/>
    <n v="0"/>
  </r>
  <r>
    <n v="2950"/>
    <x v="15"/>
    <x v="1"/>
    <s v="Jewelry"/>
    <x v="3"/>
    <n v="93"/>
    <s v="Iowa"/>
    <s v="M"/>
    <s v="Peach"/>
    <x v="1"/>
    <x v="22"/>
    <s v="No"/>
    <x v="5"/>
    <x v="1"/>
    <x v="1"/>
    <x v="28"/>
    <x v="3"/>
    <x v="2"/>
    <x v="1"/>
    <n v="93"/>
    <n v="0"/>
  </r>
  <r>
    <n v="2951"/>
    <x v="40"/>
    <x v="1"/>
    <s v="Jeans"/>
    <x v="0"/>
    <n v="91"/>
    <s v="Iowa"/>
    <s v="S"/>
    <s v="Maroon"/>
    <x v="0"/>
    <x v="7"/>
    <s v="No"/>
    <x v="4"/>
    <x v="1"/>
    <x v="1"/>
    <x v="12"/>
    <x v="5"/>
    <x v="6"/>
    <x v="1"/>
    <n v="91"/>
    <n v="0"/>
  </r>
  <r>
    <n v="2952"/>
    <x v="36"/>
    <x v="1"/>
    <s v="Scarf"/>
    <x v="3"/>
    <n v="99"/>
    <s v="Arkansas"/>
    <s v="L"/>
    <s v="Maroon"/>
    <x v="3"/>
    <x v="12"/>
    <s v="No"/>
    <x v="1"/>
    <x v="1"/>
    <x v="1"/>
    <x v="0"/>
    <x v="1"/>
    <x v="1"/>
    <x v="2"/>
    <n v="99"/>
    <n v="0"/>
  </r>
  <r>
    <n v="2953"/>
    <x v="2"/>
    <x v="1"/>
    <s v="Belt"/>
    <x v="3"/>
    <n v="24"/>
    <s v="Alabama"/>
    <s v="M"/>
    <s v="Peach"/>
    <x v="1"/>
    <x v="8"/>
    <s v="No"/>
    <x v="2"/>
    <x v="1"/>
    <x v="1"/>
    <x v="36"/>
    <x v="5"/>
    <x v="5"/>
    <x v="2"/>
    <n v="24"/>
    <n v="0"/>
  </r>
  <r>
    <n v="2954"/>
    <x v="4"/>
    <x v="1"/>
    <s v="Dress"/>
    <x v="0"/>
    <n v="82"/>
    <s v="Maryland"/>
    <s v="M"/>
    <s v="Silver"/>
    <x v="2"/>
    <x v="6"/>
    <s v="No"/>
    <x v="2"/>
    <x v="1"/>
    <x v="1"/>
    <x v="47"/>
    <x v="2"/>
    <x v="2"/>
    <x v="2"/>
    <n v="82"/>
    <n v="0"/>
  </r>
  <r>
    <n v="2955"/>
    <x v="23"/>
    <x v="1"/>
    <s v="T-shirt"/>
    <x v="0"/>
    <n v="28"/>
    <s v="South Dakota"/>
    <s v="M"/>
    <s v="Indigo"/>
    <x v="0"/>
    <x v="20"/>
    <s v="No"/>
    <x v="0"/>
    <x v="1"/>
    <x v="1"/>
    <x v="28"/>
    <x v="2"/>
    <x v="2"/>
    <x v="2"/>
    <n v="28"/>
    <n v="0"/>
  </r>
  <r>
    <n v="2956"/>
    <x v="32"/>
    <x v="1"/>
    <s v="Boots"/>
    <x v="1"/>
    <n v="67"/>
    <s v="Vermont"/>
    <s v="M"/>
    <s v="Silver"/>
    <x v="0"/>
    <x v="5"/>
    <s v="No"/>
    <x v="1"/>
    <x v="1"/>
    <x v="1"/>
    <x v="15"/>
    <x v="2"/>
    <x v="2"/>
    <x v="2"/>
    <n v="67"/>
    <n v="0"/>
  </r>
  <r>
    <n v="2957"/>
    <x v="16"/>
    <x v="1"/>
    <s v="Dress"/>
    <x v="0"/>
    <n v="88"/>
    <s v="Montana"/>
    <s v="M"/>
    <s v="Olive"/>
    <x v="3"/>
    <x v="18"/>
    <s v="No"/>
    <x v="3"/>
    <x v="1"/>
    <x v="1"/>
    <x v="48"/>
    <x v="0"/>
    <x v="5"/>
    <x v="0"/>
    <n v="88"/>
    <n v="0"/>
  </r>
  <r>
    <n v="2958"/>
    <x v="28"/>
    <x v="1"/>
    <s v="Jewelry"/>
    <x v="3"/>
    <n v="70"/>
    <s v="South Dakota"/>
    <s v="S"/>
    <s v="Gray"/>
    <x v="3"/>
    <x v="10"/>
    <s v="No"/>
    <x v="3"/>
    <x v="1"/>
    <x v="1"/>
    <x v="1"/>
    <x v="1"/>
    <x v="2"/>
    <x v="0"/>
    <n v="70"/>
    <n v="0"/>
  </r>
  <r>
    <n v="2959"/>
    <x v="0"/>
    <x v="1"/>
    <s v="Skirt"/>
    <x v="0"/>
    <n v="100"/>
    <s v="Ohio"/>
    <s v="M"/>
    <s v="Black"/>
    <x v="2"/>
    <x v="9"/>
    <s v="No"/>
    <x v="3"/>
    <x v="1"/>
    <x v="1"/>
    <x v="40"/>
    <x v="3"/>
    <x v="5"/>
    <x v="0"/>
    <n v="100"/>
    <n v="0"/>
  </r>
  <r>
    <n v="2960"/>
    <x v="21"/>
    <x v="1"/>
    <s v="Handbag"/>
    <x v="3"/>
    <n v="28"/>
    <s v="Texas"/>
    <s v="L"/>
    <s v="Maroon"/>
    <x v="2"/>
    <x v="10"/>
    <s v="No"/>
    <x v="1"/>
    <x v="1"/>
    <x v="1"/>
    <x v="44"/>
    <x v="3"/>
    <x v="3"/>
    <x v="2"/>
    <n v="28"/>
    <n v="0"/>
  </r>
  <r>
    <n v="2961"/>
    <x v="9"/>
    <x v="1"/>
    <s v="Coat"/>
    <x v="2"/>
    <n v="48"/>
    <s v="Indiana"/>
    <s v="S"/>
    <s v="Olive"/>
    <x v="1"/>
    <x v="15"/>
    <s v="No"/>
    <x v="3"/>
    <x v="1"/>
    <x v="1"/>
    <x v="39"/>
    <x v="2"/>
    <x v="1"/>
    <x v="0"/>
    <n v="48"/>
    <n v="0"/>
  </r>
  <r>
    <n v="2962"/>
    <x v="23"/>
    <x v="1"/>
    <s v="Hoodie"/>
    <x v="0"/>
    <n v="43"/>
    <s v="New Hampshire"/>
    <s v="S"/>
    <s v="Gold"/>
    <x v="3"/>
    <x v="11"/>
    <s v="No"/>
    <x v="1"/>
    <x v="1"/>
    <x v="1"/>
    <x v="33"/>
    <x v="5"/>
    <x v="4"/>
    <x v="2"/>
    <n v="43"/>
    <n v="0"/>
  </r>
  <r>
    <n v="2963"/>
    <x v="9"/>
    <x v="1"/>
    <s v="Pants"/>
    <x v="0"/>
    <n v="40"/>
    <s v="California"/>
    <s v="L"/>
    <s v="Pink"/>
    <x v="3"/>
    <x v="17"/>
    <s v="No"/>
    <x v="0"/>
    <x v="1"/>
    <x v="1"/>
    <x v="38"/>
    <x v="2"/>
    <x v="6"/>
    <x v="0"/>
    <n v="40"/>
    <n v="0"/>
  </r>
  <r>
    <n v="2964"/>
    <x v="16"/>
    <x v="1"/>
    <s v="Boots"/>
    <x v="1"/>
    <n v="97"/>
    <s v="Maine"/>
    <s v="M"/>
    <s v="Brown"/>
    <x v="1"/>
    <x v="15"/>
    <s v="No"/>
    <x v="1"/>
    <x v="1"/>
    <x v="1"/>
    <x v="40"/>
    <x v="2"/>
    <x v="1"/>
    <x v="0"/>
    <n v="97"/>
    <n v="0"/>
  </r>
  <r>
    <n v="2965"/>
    <x v="42"/>
    <x v="1"/>
    <s v="Coat"/>
    <x v="2"/>
    <n v="25"/>
    <s v="Ohio"/>
    <s v="S"/>
    <s v="White"/>
    <x v="3"/>
    <x v="22"/>
    <s v="No"/>
    <x v="4"/>
    <x v="1"/>
    <x v="1"/>
    <x v="21"/>
    <x v="0"/>
    <x v="0"/>
    <x v="2"/>
    <n v="25"/>
    <n v="0"/>
  </r>
  <r>
    <n v="2966"/>
    <x v="39"/>
    <x v="1"/>
    <s v="Scarf"/>
    <x v="3"/>
    <n v="45"/>
    <s v="Delaware"/>
    <s v="M"/>
    <s v="Blue"/>
    <x v="2"/>
    <x v="14"/>
    <s v="No"/>
    <x v="3"/>
    <x v="1"/>
    <x v="1"/>
    <x v="29"/>
    <x v="3"/>
    <x v="0"/>
    <x v="2"/>
    <n v="45"/>
    <n v="0"/>
  </r>
  <r>
    <n v="2967"/>
    <x v="16"/>
    <x v="1"/>
    <s v="Boots"/>
    <x v="1"/>
    <n v="49"/>
    <s v="Oklahoma"/>
    <s v="L"/>
    <s v="Orange"/>
    <x v="3"/>
    <x v="11"/>
    <s v="No"/>
    <x v="5"/>
    <x v="1"/>
    <x v="1"/>
    <x v="25"/>
    <x v="5"/>
    <x v="6"/>
    <x v="0"/>
    <n v="49"/>
    <n v="0"/>
  </r>
  <r>
    <n v="2968"/>
    <x v="50"/>
    <x v="1"/>
    <s v="Sneakers"/>
    <x v="1"/>
    <n v="36"/>
    <s v="Indiana"/>
    <s v="L"/>
    <s v="Silver"/>
    <x v="2"/>
    <x v="23"/>
    <s v="No"/>
    <x v="1"/>
    <x v="1"/>
    <x v="1"/>
    <x v="19"/>
    <x v="0"/>
    <x v="2"/>
    <x v="2"/>
    <n v="36"/>
    <n v="0"/>
  </r>
  <r>
    <n v="2969"/>
    <x v="8"/>
    <x v="1"/>
    <s v="Sweater"/>
    <x v="0"/>
    <n v="48"/>
    <s v="South Carolina"/>
    <s v="S"/>
    <s v="Gray"/>
    <x v="3"/>
    <x v="8"/>
    <s v="No"/>
    <x v="0"/>
    <x v="1"/>
    <x v="1"/>
    <x v="29"/>
    <x v="1"/>
    <x v="6"/>
    <x v="2"/>
    <n v="48"/>
    <n v="0"/>
  </r>
  <r>
    <n v="2970"/>
    <x v="24"/>
    <x v="1"/>
    <s v="Belt"/>
    <x v="3"/>
    <n v="62"/>
    <s v="Vermont"/>
    <s v="S"/>
    <s v="Blue"/>
    <x v="3"/>
    <x v="24"/>
    <s v="No"/>
    <x v="2"/>
    <x v="1"/>
    <x v="1"/>
    <x v="41"/>
    <x v="1"/>
    <x v="6"/>
    <x v="2"/>
    <n v="62"/>
    <n v="0"/>
  </r>
  <r>
    <n v="2971"/>
    <x v="41"/>
    <x v="1"/>
    <s v="Jewelry"/>
    <x v="3"/>
    <n v="74"/>
    <s v="Kansas"/>
    <s v="M"/>
    <s v="White"/>
    <x v="0"/>
    <x v="23"/>
    <s v="No"/>
    <x v="1"/>
    <x v="1"/>
    <x v="1"/>
    <x v="12"/>
    <x v="2"/>
    <x v="4"/>
    <x v="1"/>
    <n v="74"/>
    <n v="0"/>
  </r>
  <r>
    <n v="2972"/>
    <x v="11"/>
    <x v="1"/>
    <s v="Handbag"/>
    <x v="3"/>
    <n v="100"/>
    <s v="Utah"/>
    <s v="L"/>
    <s v="Yellow"/>
    <x v="3"/>
    <x v="20"/>
    <s v="No"/>
    <x v="2"/>
    <x v="1"/>
    <x v="1"/>
    <x v="44"/>
    <x v="3"/>
    <x v="6"/>
    <x v="2"/>
    <n v="100"/>
    <n v="0"/>
  </r>
  <r>
    <n v="2973"/>
    <x v="18"/>
    <x v="1"/>
    <s v="Jacket"/>
    <x v="2"/>
    <n v="39"/>
    <s v="New York"/>
    <s v="S"/>
    <s v="Indigo"/>
    <x v="3"/>
    <x v="19"/>
    <s v="No"/>
    <x v="1"/>
    <x v="1"/>
    <x v="1"/>
    <x v="47"/>
    <x v="0"/>
    <x v="6"/>
    <x v="2"/>
    <n v="39"/>
    <n v="0"/>
  </r>
  <r>
    <n v="2974"/>
    <x v="15"/>
    <x v="1"/>
    <s v="Boots"/>
    <x v="1"/>
    <n v="65"/>
    <s v="Indiana"/>
    <s v="M"/>
    <s v="Blue"/>
    <x v="2"/>
    <x v="2"/>
    <s v="No"/>
    <x v="5"/>
    <x v="1"/>
    <x v="1"/>
    <x v="35"/>
    <x v="4"/>
    <x v="0"/>
    <x v="1"/>
    <n v="65"/>
    <n v="0"/>
  </r>
  <r>
    <n v="2975"/>
    <x v="9"/>
    <x v="1"/>
    <s v="Sneakers"/>
    <x v="1"/>
    <n v="99"/>
    <s v="Tennessee"/>
    <s v="XL"/>
    <s v="Peach"/>
    <x v="2"/>
    <x v="7"/>
    <s v="No"/>
    <x v="5"/>
    <x v="1"/>
    <x v="1"/>
    <x v="11"/>
    <x v="2"/>
    <x v="1"/>
    <x v="0"/>
    <n v="99"/>
    <n v="0"/>
  </r>
  <r>
    <n v="2976"/>
    <x v="12"/>
    <x v="1"/>
    <s v="Scarf"/>
    <x v="3"/>
    <n v="68"/>
    <s v="Georgia"/>
    <s v="XL"/>
    <s v="Lavender"/>
    <x v="0"/>
    <x v="9"/>
    <s v="No"/>
    <x v="4"/>
    <x v="1"/>
    <x v="1"/>
    <x v="26"/>
    <x v="1"/>
    <x v="6"/>
    <x v="0"/>
    <n v="68"/>
    <n v="0"/>
  </r>
  <r>
    <n v="2977"/>
    <x v="11"/>
    <x v="1"/>
    <s v="Coat"/>
    <x v="2"/>
    <n v="97"/>
    <s v="Nebraska"/>
    <s v="M"/>
    <s v="Silver"/>
    <x v="2"/>
    <x v="11"/>
    <s v="No"/>
    <x v="0"/>
    <x v="1"/>
    <x v="1"/>
    <x v="40"/>
    <x v="1"/>
    <x v="0"/>
    <x v="2"/>
    <n v="97"/>
    <n v="0"/>
  </r>
  <r>
    <n v="2978"/>
    <x v="21"/>
    <x v="1"/>
    <s v="Shorts"/>
    <x v="0"/>
    <n v="47"/>
    <s v="Washington"/>
    <s v="L"/>
    <s v="Gold"/>
    <x v="0"/>
    <x v="23"/>
    <s v="No"/>
    <x v="3"/>
    <x v="1"/>
    <x v="1"/>
    <x v="41"/>
    <x v="0"/>
    <x v="2"/>
    <x v="2"/>
    <n v="47"/>
    <n v="0"/>
  </r>
  <r>
    <n v="2979"/>
    <x v="10"/>
    <x v="1"/>
    <s v="Shorts"/>
    <x v="0"/>
    <n v="56"/>
    <s v="Idaho"/>
    <s v="S"/>
    <s v="Cyan"/>
    <x v="1"/>
    <x v="20"/>
    <s v="No"/>
    <x v="1"/>
    <x v="1"/>
    <x v="1"/>
    <x v="3"/>
    <x v="4"/>
    <x v="0"/>
    <x v="0"/>
    <n v="56"/>
    <n v="0"/>
  </r>
  <r>
    <n v="2980"/>
    <x v="18"/>
    <x v="1"/>
    <s v="Jeans"/>
    <x v="0"/>
    <n v="91"/>
    <s v="Louisiana"/>
    <s v="L"/>
    <s v="Olive"/>
    <x v="3"/>
    <x v="5"/>
    <s v="No"/>
    <x v="2"/>
    <x v="1"/>
    <x v="1"/>
    <x v="0"/>
    <x v="3"/>
    <x v="1"/>
    <x v="2"/>
    <n v="91"/>
    <n v="0"/>
  </r>
  <r>
    <n v="2981"/>
    <x v="27"/>
    <x v="1"/>
    <s v="Gloves"/>
    <x v="3"/>
    <n v="93"/>
    <s v="New Jersey"/>
    <s v="L"/>
    <s v="Teal"/>
    <x v="3"/>
    <x v="14"/>
    <s v="No"/>
    <x v="4"/>
    <x v="1"/>
    <x v="1"/>
    <x v="44"/>
    <x v="4"/>
    <x v="5"/>
    <x v="0"/>
    <n v="93"/>
    <n v="0"/>
  </r>
  <r>
    <n v="2982"/>
    <x v="3"/>
    <x v="1"/>
    <s v="Pants"/>
    <x v="0"/>
    <n v="36"/>
    <s v="Delaware"/>
    <s v="L"/>
    <s v="Pink"/>
    <x v="0"/>
    <x v="8"/>
    <s v="No"/>
    <x v="3"/>
    <x v="1"/>
    <x v="1"/>
    <x v="10"/>
    <x v="0"/>
    <x v="2"/>
    <x v="1"/>
    <n v="36"/>
    <n v="0"/>
  </r>
  <r>
    <n v="2983"/>
    <x v="23"/>
    <x v="1"/>
    <s v="Dress"/>
    <x v="0"/>
    <n v="45"/>
    <s v="Wisconsin"/>
    <s v="M"/>
    <s v="Orange"/>
    <x v="2"/>
    <x v="15"/>
    <s v="No"/>
    <x v="5"/>
    <x v="1"/>
    <x v="1"/>
    <x v="7"/>
    <x v="2"/>
    <x v="1"/>
    <x v="2"/>
    <n v="45"/>
    <n v="0"/>
  </r>
  <r>
    <n v="2984"/>
    <x v="52"/>
    <x v="1"/>
    <s v="Pants"/>
    <x v="0"/>
    <n v="44"/>
    <s v="West Virginia"/>
    <s v="M"/>
    <s v="Charcoal"/>
    <x v="0"/>
    <x v="11"/>
    <s v="No"/>
    <x v="4"/>
    <x v="1"/>
    <x v="1"/>
    <x v="43"/>
    <x v="2"/>
    <x v="3"/>
    <x v="0"/>
    <n v="44"/>
    <n v="0"/>
  </r>
  <r>
    <n v="2985"/>
    <x v="4"/>
    <x v="1"/>
    <s v="Gloves"/>
    <x v="3"/>
    <n v="32"/>
    <s v="Texas"/>
    <s v="L"/>
    <s v="Red"/>
    <x v="1"/>
    <x v="24"/>
    <s v="No"/>
    <x v="4"/>
    <x v="1"/>
    <x v="1"/>
    <x v="13"/>
    <x v="5"/>
    <x v="4"/>
    <x v="2"/>
    <n v="32"/>
    <n v="0"/>
  </r>
  <r>
    <n v="2986"/>
    <x v="5"/>
    <x v="1"/>
    <s v="Belt"/>
    <x v="3"/>
    <n v="36"/>
    <s v="Hawaii"/>
    <s v="S"/>
    <s v="Teal"/>
    <x v="2"/>
    <x v="21"/>
    <s v="No"/>
    <x v="0"/>
    <x v="1"/>
    <x v="1"/>
    <x v="33"/>
    <x v="1"/>
    <x v="4"/>
    <x v="2"/>
    <n v="36"/>
    <n v="0"/>
  </r>
  <r>
    <n v="2987"/>
    <x v="46"/>
    <x v="1"/>
    <s v="Belt"/>
    <x v="3"/>
    <n v="85"/>
    <s v="Arizona"/>
    <s v="S"/>
    <s v="Silver"/>
    <x v="2"/>
    <x v="13"/>
    <s v="No"/>
    <x v="4"/>
    <x v="1"/>
    <x v="1"/>
    <x v="20"/>
    <x v="2"/>
    <x v="5"/>
    <x v="0"/>
    <n v="85"/>
    <n v="0"/>
  </r>
  <r>
    <n v="2988"/>
    <x v="6"/>
    <x v="1"/>
    <s v="Skirt"/>
    <x v="0"/>
    <n v="36"/>
    <s v="Louisiana"/>
    <s v="L"/>
    <s v="Black"/>
    <x v="0"/>
    <x v="25"/>
    <s v="No"/>
    <x v="5"/>
    <x v="1"/>
    <x v="1"/>
    <x v="38"/>
    <x v="1"/>
    <x v="5"/>
    <x v="0"/>
    <n v="36"/>
    <n v="0"/>
  </r>
  <r>
    <n v="2989"/>
    <x v="28"/>
    <x v="1"/>
    <s v="Socks"/>
    <x v="0"/>
    <n v="55"/>
    <s v="Nevada"/>
    <s v="S"/>
    <s v="Pink"/>
    <x v="1"/>
    <x v="16"/>
    <s v="No"/>
    <x v="4"/>
    <x v="1"/>
    <x v="1"/>
    <x v="4"/>
    <x v="5"/>
    <x v="5"/>
    <x v="0"/>
    <n v="55"/>
    <n v="0"/>
  </r>
  <r>
    <n v="2990"/>
    <x v="5"/>
    <x v="1"/>
    <s v="Belt"/>
    <x v="3"/>
    <n v="20"/>
    <s v="Rhode Island"/>
    <s v="XL"/>
    <s v="Teal"/>
    <x v="2"/>
    <x v="24"/>
    <s v="No"/>
    <x v="4"/>
    <x v="1"/>
    <x v="1"/>
    <x v="49"/>
    <x v="2"/>
    <x v="1"/>
    <x v="2"/>
    <n v="20"/>
    <n v="0"/>
  </r>
  <r>
    <n v="2991"/>
    <x v="28"/>
    <x v="1"/>
    <s v="Shirt"/>
    <x v="0"/>
    <n v="91"/>
    <s v="Illinois"/>
    <s v="M"/>
    <s v="Teal"/>
    <x v="3"/>
    <x v="19"/>
    <s v="No"/>
    <x v="1"/>
    <x v="1"/>
    <x v="1"/>
    <x v="37"/>
    <x v="0"/>
    <x v="5"/>
    <x v="0"/>
    <n v="91"/>
    <n v="0"/>
  </r>
  <r>
    <n v="2992"/>
    <x v="17"/>
    <x v="1"/>
    <s v="Dress"/>
    <x v="0"/>
    <n v="71"/>
    <s v="Utah"/>
    <s v="L"/>
    <s v="Green"/>
    <x v="2"/>
    <x v="20"/>
    <s v="No"/>
    <x v="3"/>
    <x v="1"/>
    <x v="1"/>
    <x v="22"/>
    <x v="3"/>
    <x v="4"/>
    <x v="0"/>
    <n v="71"/>
    <n v="0"/>
  </r>
  <r>
    <n v="2993"/>
    <x v="38"/>
    <x v="1"/>
    <s v="Socks"/>
    <x v="0"/>
    <n v="64"/>
    <s v="North Dakota"/>
    <s v="M"/>
    <s v="Charcoal"/>
    <x v="1"/>
    <x v="20"/>
    <s v="No"/>
    <x v="5"/>
    <x v="1"/>
    <x v="1"/>
    <x v="29"/>
    <x v="0"/>
    <x v="1"/>
    <x v="2"/>
    <n v="64"/>
    <n v="0"/>
  </r>
  <r>
    <n v="2994"/>
    <x v="45"/>
    <x v="1"/>
    <s v="Jacket"/>
    <x v="2"/>
    <n v="21"/>
    <s v="Kansas"/>
    <s v="L"/>
    <s v="Indigo"/>
    <x v="1"/>
    <x v="19"/>
    <s v="No"/>
    <x v="1"/>
    <x v="1"/>
    <x v="1"/>
    <x v="27"/>
    <x v="1"/>
    <x v="4"/>
    <x v="2"/>
    <n v="21"/>
    <n v="0"/>
  </r>
  <r>
    <n v="2995"/>
    <x v="28"/>
    <x v="1"/>
    <s v="Sweater"/>
    <x v="0"/>
    <n v="100"/>
    <s v="Nevada"/>
    <s v="S"/>
    <s v="White"/>
    <x v="0"/>
    <x v="1"/>
    <s v="No"/>
    <x v="5"/>
    <x v="1"/>
    <x v="1"/>
    <x v="0"/>
    <x v="4"/>
    <x v="3"/>
    <x v="0"/>
    <n v="100"/>
    <n v="0"/>
  </r>
  <r>
    <n v="2996"/>
    <x v="26"/>
    <x v="1"/>
    <s v="Jeans"/>
    <x v="0"/>
    <n v="96"/>
    <s v="Virginia"/>
    <s v="M"/>
    <s v="Orange"/>
    <x v="2"/>
    <x v="25"/>
    <s v="No"/>
    <x v="3"/>
    <x v="1"/>
    <x v="1"/>
    <x v="38"/>
    <x v="5"/>
    <x v="4"/>
    <x v="2"/>
    <n v="96"/>
    <n v="0"/>
  </r>
  <r>
    <n v="2997"/>
    <x v="27"/>
    <x v="1"/>
    <s v="Jewelry"/>
    <x v="3"/>
    <n v="91"/>
    <s v="Utah"/>
    <s v="M"/>
    <s v="White"/>
    <x v="1"/>
    <x v="3"/>
    <s v="No"/>
    <x v="0"/>
    <x v="1"/>
    <x v="1"/>
    <x v="49"/>
    <x v="0"/>
    <x v="6"/>
    <x v="0"/>
    <n v="91"/>
    <n v="0"/>
  </r>
  <r>
    <n v="2998"/>
    <x v="38"/>
    <x v="1"/>
    <s v="Sweater"/>
    <x v="0"/>
    <n v="40"/>
    <s v="Idaho"/>
    <s v="S"/>
    <s v="Yellow"/>
    <x v="1"/>
    <x v="2"/>
    <s v="No"/>
    <x v="2"/>
    <x v="1"/>
    <x v="1"/>
    <x v="0"/>
    <x v="0"/>
    <x v="6"/>
    <x v="2"/>
    <n v="40"/>
    <n v="0"/>
  </r>
  <r>
    <n v="2999"/>
    <x v="18"/>
    <x v="1"/>
    <s v="Hoodie"/>
    <x v="0"/>
    <n v="53"/>
    <s v="Alaska"/>
    <s v="M"/>
    <s v="Red"/>
    <x v="2"/>
    <x v="10"/>
    <s v="No"/>
    <x v="0"/>
    <x v="1"/>
    <x v="1"/>
    <x v="48"/>
    <x v="5"/>
    <x v="3"/>
    <x v="2"/>
    <n v="53"/>
    <n v="0"/>
  </r>
  <r>
    <n v="3000"/>
    <x v="18"/>
    <x v="1"/>
    <s v="Sunglasses"/>
    <x v="3"/>
    <n v="48"/>
    <s v="New Hampshire"/>
    <s v="S"/>
    <s v="Charcoal"/>
    <x v="0"/>
    <x v="22"/>
    <s v="No"/>
    <x v="3"/>
    <x v="1"/>
    <x v="1"/>
    <x v="9"/>
    <x v="1"/>
    <x v="5"/>
    <x v="2"/>
    <n v="48"/>
    <n v="0"/>
  </r>
  <r>
    <n v="3001"/>
    <x v="9"/>
    <x v="1"/>
    <s v="Sandals"/>
    <x v="1"/>
    <n v="70"/>
    <s v="Ohio"/>
    <s v="M"/>
    <s v="Lavender"/>
    <x v="0"/>
    <x v="18"/>
    <s v="No"/>
    <x v="0"/>
    <x v="1"/>
    <x v="1"/>
    <x v="22"/>
    <x v="3"/>
    <x v="1"/>
    <x v="0"/>
    <n v="70"/>
    <n v="0"/>
  </r>
  <r>
    <n v="3002"/>
    <x v="26"/>
    <x v="1"/>
    <s v="Coat"/>
    <x v="2"/>
    <n v="29"/>
    <s v="Montana"/>
    <s v="L"/>
    <s v="Charcoal"/>
    <x v="2"/>
    <x v="10"/>
    <s v="No"/>
    <x v="0"/>
    <x v="1"/>
    <x v="1"/>
    <x v="40"/>
    <x v="2"/>
    <x v="3"/>
    <x v="2"/>
    <n v="29"/>
    <n v="0"/>
  </r>
  <r>
    <n v="3003"/>
    <x v="27"/>
    <x v="1"/>
    <s v="Belt"/>
    <x v="3"/>
    <n v="29"/>
    <s v="Louisiana"/>
    <s v="M"/>
    <s v="Maroon"/>
    <x v="3"/>
    <x v="15"/>
    <s v="No"/>
    <x v="2"/>
    <x v="1"/>
    <x v="1"/>
    <x v="5"/>
    <x v="4"/>
    <x v="3"/>
    <x v="0"/>
    <n v="29"/>
    <n v="0"/>
  </r>
  <r>
    <n v="3004"/>
    <x v="47"/>
    <x v="1"/>
    <s v="Blouse"/>
    <x v="0"/>
    <n v="53"/>
    <s v="Oregon"/>
    <s v="M"/>
    <s v="Brown"/>
    <x v="3"/>
    <x v="11"/>
    <s v="No"/>
    <x v="0"/>
    <x v="1"/>
    <x v="1"/>
    <x v="21"/>
    <x v="2"/>
    <x v="6"/>
    <x v="0"/>
    <n v="53"/>
    <n v="0"/>
  </r>
  <r>
    <n v="3005"/>
    <x v="4"/>
    <x v="1"/>
    <s v="Skirt"/>
    <x v="0"/>
    <n v="79"/>
    <s v="Arizona"/>
    <s v="M"/>
    <s v="Lavender"/>
    <x v="0"/>
    <x v="18"/>
    <s v="No"/>
    <x v="5"/>
    <x v="1"/>
    <x v="1"/>
    <x v="2"/>
    <x v="0"/>
    <x v="0"/>
    <x v="2"/>
    <n v="79"/>
    <n v="0"/>
  </r>
  <r>
    <n v="3006"/>
    <x v="20"/>
    <x v="1"/>
    <s v="Shorts"/>
    <x v="0"/>
    <n v="65"/>
    <s v="Alaska"/>
    <s v="XL"/>
    <s v="Brown"/>
    <x v="1"/>
    <x v="1"/>
    <s v="No"/>
    <x v="0"/>
    <x v="1"/>
    <x v="1"/>
    <x v="36"/>
    <x v="0"/>
    <x v="1"/>
    <x v="1"/>
    <n v="65"/>
    <n v="0"/>
  </r>
  <r>
    <n v="3007"/>
    <x v="43"/>
    <x v="1"/>
    <s v="Dress"/>
    <x v="0"/>
    <n v="99"/>
    <s v="Utah"/>
    <s v="M"/>
    <s v="Olive"/>
    <x v="2"/>
    <x v="18"/>
    <s v="No"/>
    <x v="5"/>
    <x v="1"/>
    <x v="1"/>
    <x v="14"/>
    <x v="0"/>
    <x v="4"/>
    <x v="2"/>
    <n v="99"/>
    <n v="0"/>
  </r>
  <r>
    <n v="3008"/>
    <x v="51"/>
    <x v="1"/>
    <s v="Sunglasses"/>
    <x v="3"/>
    <n v="60"/>
    <s v="New York"/>
    <s v="L"/>
    <s v="Lavender"/>
    <x v="0"/>
    <x v="21"/>
    <s v="No"/>
    <x v="2"/>
    <x v="1"/>
    <x v="1"/>
    <x v="4"/>
    <x v="0"/>
    <x v="1"/>
    <x v="1"/>
    <n v="60"/>
    <n v="0"/>
  </r>
  <r>
    <n v="3009"/>
    <x v="31"/>
    <x v="1"/>
    <s v="Shoes"/>
    <x v="1"/>
    <n v="86"/>
    <s v="New Mexico"/>
    <s v="M"/>
    <s v="Gold"/>
    <x v="0"/>
    <x v="8"/>
    <s v="No"/>
    <x v="1"/>
    <x v="1"/>
    <x v="1"/>
    <x v="5"/>
    <x v="3"/>
    <x v="1"/>
    <x v="2"/>
    <n v="86"/>
    <n v="0"/>
  </r>
  <r>
    <n v="3010"/>
    <x v="46"/>
    <x v="1"/>
    <s v="Belt"/>
    <x v="3"/>
    <n v="73"/>
    <s v="Louisiana"/>
    <s v="M"/>
    <s v="Silver"/>
    <x v="0"/>
    <x v="12"/>
    <s v="No"/>
    <x v="1"/>
    <x v="1"/>
    <x v="1"/>
    <x v="6"/>
    <x v="0"/>
    <x v="0"/>
    <x v="0"/>
    <n v="73"/>
    <n v="0"/>
  </r>
  <r>
    <n v="3011"/>
    <x v="27"/>
    <x v="1"/>
    <s v="Belt"/>
    <x v="3"/>
    <n v="45"/>
    <s v="Ohio"/>
    <s v="M"/>
    <s v="Violet"/>
    <x v="0"/>
    <x v="13"/>
    <s v="No"/>
    <x v="1"/>
    <x v="1"/>
    <x v="1"/>
    <x v="28"/>
    <x v="2"/>
    <x v="2"/>
    <x v="0"/>
    <n v="45"/>
    <n v="0"/>
  </r>
  <r>
    <n v="3012"/>
    <x v="30"/>
    <x v="1"/>
    <s v="Belt"/>
    <x v="3"/>
    <n v="70"/>
    <s v="Nevada"/>
    <s v="S"/>
    <s v="Brown"/>
    <x v="2"/>
    <x v="21"/>
    <s v="No"/>
    <x v="2"/>
    <x v="1"/>
    <x v="1"/>
    <x v="27"/>
    <x v="2"/>
    <x v="6"/>
    <x v="1"/>
    <n v="70"/>
    <n v="0"/>
  </r>
  <r>
    <n v="3013"/>
    <x v="32"/>
    <x v="1"/>
    <s v="Belt"/>
    <x v="3"/>
    <n v="65"/>
    <s v="Idaho"/>
    <s v="M"/>
    <s v="Teal"/>
    <x v="3"/>
    <x v="1"/>
    <s v="No"/>
    <x v="3"/>
    <x v="1"/>
    <x v="1"/>
    <x v="20"/>
    <x v="3"/>
    <x v="2"/>
    <x v="2"/>
    <n v="65"/>
    <n v="0"/>
  </r>
  <r>
    <n v="3014"/>
    <x v="38"/>
    <x v="1"/>
    <s v="Skirt"/>
    <x v="0"/>
    <n v="55"/>
    <s v="Arizona"/>
    <s v="L"/>
    <s v="Peach"/>
    <x v="2"/>
    <x v="19"/>
    <s v="No"/>
    <x v="5"/>
    <x v="1"/>
    <x v="1"/>
    <x v="21"/>
    <x v="1"/>
    <x v="5"/>
    <x v="2"/>
    <n v="55"/>
    <n v="0"/>
  </r>
  <r>
    <n v="3015"/>
    <x v="41"/>
    <x v="1"/>
    <s v="T-shirt"/>
    <x v="0"/>
    <n v="65"/>
    <s v="Utah"/>
    <s v="M"/>
    <s v="Maroon"/>
    <x v="1"/>
    <x v="9"/>
    <s v="No"/>
    <x v="0"/>
    <x v="1"/>
    <x v="1"/>
    <x v="25"/>
    <x v="3"/>
    <x v="6"/>
    <x v="1"/>
    <n v="65"/>
    <n v="0"/>
  </r>
  <r>
    <n v="3016"/>
    <x v="43"/>
    <x v="1"/>
    <s v="Scarf"/>
    <x v="3"/>
    <n v="21"/>
    <s v="Wyoming"/>
    <s v="XL"/>
    <s v="Lavender"/>
    <x v="1"/>
    <x v="11"/>
    <s v="No"/>
    <x v="0"/>
    <x v="1"/>
    <x v="1"/>
    <x v="46"/>
    <x v="4"/>
    <x v="4"/>
    <x v="2"/>
    <n v="21"/>
    <n v="0"/>
  </r>
  <r>
    <n v="3017"/>
    <x v="11"/>
    <x v="1"/>
    <s v="Blouse"/>
    <x v="0"/>
    <n v="26"/>
    <s v="Indiana"/>
    <s v="L"/>
    <s v="Lavender"/>
    <x v="2"/>
    <x v="8"/>
    <s v="No"/>
    <x v="5"/>
    <x v="1"/>
    <x v="1"/>
    <x v="4"/>
    <x v="4"/>
    <x v="3"/>
    <x v="2"/>
    <n v="26"/>
    <n v="0"/>
  </r>
  <r>
    <n v="3018"/>
    <x v="44"/>
    <x v="1"/>
    <s v="Sunglasses"/>
    <x v="3"/>
    <n v="71"/>
    <s v="Wisconsin"/>
    <s v="S"/>
    <s v="Purple"/>
    <x v="2"/>
    <x v="13"/>
    <s v="No"/>
    <x v="2"/>
    <x v="1"/>
    <x v="1"/>
    <x v="37"/>
    <x v="1"/>
    <x v="4"/>
    <x v="0"/>
    <n v="71"/>
    <n v="0"/>
  </r>
  <r>
    <n v="3019"/>
    <x v="49"/>
    <x v="1"/>
    <s v="Boots"/>
    <x v="1"/>
    <n v="41"/>
    <s v="Texas"/>
    <s v="M"/>
    <s v="Green"/>
    <x v="2"/>
    <x v="21"/>
    <s v="No"/>
    <x v="1"/>
    <x v="1"/>
    <x v="1"/>
    <x v="33"/>
    <x v="5"/>
    <x v="4"/>
    <x v="2"/>
    <n v="41"/>
    <n v="0"/>
  </r>
  <r>
    <n v="3020"/>
    <x v="1"/>
    <x v="1"/>
    <s v="Jacket"/>
    <x v="2"/>
    <n v="44"/>
    <s v="Utah"/>
    <s v="M"/>
    <s v="Yellow"/>
    <x v="0"/>
    <x v="20"/>
    <s v="No"/>
    <x v="4"/>
    <x v="1"/>
    <x v="1"/>
    <x v="28"/>
    <x v="3"/>
    <x v="2"/>
    <x v="1"/>
    <n v="44"/>
    <n v="0"/>
  </r>
  <r>
    <n v="3021"/>
    <x v="51"/>
    <x v="1"/>
    <s v="Jeans"/>
    <x v="0"/>
    <n v="81"/>
    <s v="Arkansas"/>
    <s v="S"/>
    <s v="Charcoal"/>
    <x v="3"/>
    <x v="11"/>
    <s v="No"/>
    <x v="5"/>
    <x v="1"/>
    <x v="1"/>
    <x v="26"/>
    <x v="0"/>
    <x v="6"/>
    <x v="1"/>
    <n v="81"/>
    <n v="0"/>
  </r>
  <r>
    <n v="3022"/>
    <x v="13"/>
    <x v="1"/>
    <s v="Sunglasses"/>
    <x v="3"/>
    <n v="77"/>
    <s v="Pennsylvania"/>
    <s v="S"/>
    <s v="Blue"/>
    <x v="2"/>
    <x v="9"/>
    <s v="No"/>
    <x v="4"/>
    <x v="1"/>
    <x v="1"/>
    <x v="39"/>
    <x v="1"/>
    <x v="3"/>
    <x v="0"/>
    <n v="77"/>
    <n v="0"/>
  </r>
  <r>
    <n v="3023"/>
    <x v="44"/>
    <x v="1"/>
    <s v="Sandals"/>
    <x v="1"/>
    <n v="26"/>
    <s v="Georgia"/>
    <s v="M"/>
    <s v="Lavender"/>
    <x v="3"/>
    <x v="17"/>
    <s v="No"/>
    <x v="1"/>
    <x v="1"/>
    <x v="1"/>
    <x v="2"/>
    <x v="3"/>
    <x v="1"/>
    <x v="0"/>
    <n v="26"/>
    <n v="0"/>
  </r>
  <r>
    <n v="3024"/>
    <x v="2"/>
    <x v="1"/>
    <s v="Backpack"/>
    <x v="3"/>
    <n v="31"/>
    <s v="Indiana"/>
    <s v="M"/>
    <s v="Brown"/>
    <x v="2"/>
    <x v="3"/>
    <s v="No"/>
    <x v="0"/>
    <x v="1"/>
    <x v="1"/>
    <x v="7"/>
    <x v="3"/>
    <x v="3"/>
    <x v="2"/>
    <n v="31"/>
    <n v="0"/>
  </r>
  <r>
    <n v="3025"/>
    <x v="29"/>
    <x v="1"/>
    <s v="Blouse"/>
    <x v="0"/>
    <n v="82"/>
    <s v="Idaho"/>
    <s v="S"/>
    <s v="White"/>
    <x v="1"/>
    <x v="17"/>
    <s v="No"/>
    <x v="1"/>
    <x v="1"/>
    <x v="1"/>
    <x v="39"/>
    <x v="2"/>
    <x v="6"/>
    <x v="0"/>
    <n v="82"/>
    <n v="0"/>
  </r>
  <r>
    <n v="3026"/>
    <x v="37"/>
    <x v="1"/>
    <s v="Shoes"/>
    <x v="1"/>
    <n v="60"/>
    <s v="Montana"/>
    <s v="XL"/>
    <s v="Green"/>
    <x v="2"/>
    <x v="23"/>
    <s v="No"/>
    <x v="5"/>
    <x v="1"/>
    <x v="1"/>
    <x v="22"/>
    <x v="3"/>
    <x v="5"/>
    <x v="2"/>
    <n v="60"/>
    <n v="0"/>
  </r>
  <r>
    <n v="3027"/>
    <x v="0"/>
    <x v="1"/>
    <s v="Shirt"/>
    <x v="0"/>
    <n v="70"/>
    <s v="Tennessee"/>
    <s v="L"/>
    <s v="Magenta"/>
    <x v="3"/>
    <x v="25"/>
    <s v="No"/>
    <x v="1"/>
    <x v="1"/>
    <x v="1"/>
    <x v="49"/>
    <x v="2"/>
    <x v="2"/>
    <x v="0"/>
    <n v="70"/>
    <n v="0"/>
  </r>
  <r>
    <n v="3028"/>
    <x v="16"/>
    <x v="1"/>
    <s v="Hoodie"/>
    <x v="0"/>
    <n v="26"/>
    <s v="West Virginia"/>
    <s v="XL"/>
    <s v="Peach"/>
    <x v="0"/>
    <x v="11"/>
    <s v="No"/>
    <x v="4"/>
    <x v="1"/>
    <x v="1"/>
    <x v="39"/>
    <x v="2"/>
    <x v="3"/>
    <x v="0"/>
    <n v="26"/>
    <n v="0"/>
  </r>
  <r>
    <n v="3029"/>
    <x v="46"/>
    <x v="1"/>
    <s v="Dress"/>
    <x v="0"/>
    <n v="100"/>
    <s v="California"/>
    <s v="L"/>
    <s v="Charcoal"/>
    <x v="2"/>
    <x v="21"/>
    <s v="No"/>
    <x v="1"/>
    <x v="1"/>
    <x v="1"/>
    <x v="22"/>
    <x v="3"/>
    <x v="6"/>
    <x v="0"/>
    <n v="100"/>
    <n v="0"/>
  </r>
  <r>
    <n v="3030"/>
    <x v="14"/>
    <x v="1"/>
    <s v="Dress"/>
    <x v="0"/>
    <n v="82"/>
    <s v="Georgia"/>
    <s v="M"/>
    <s v="Gold"/>
    <x v="2"/>
    <x v="0"/>
    <s v="No"/>
    <x v="1"/>
    <x v="1"/>
    <x v="1"/>
    <x v="43"/>
    <x v="5"/>
    <x v="3"/>
    <x v="0"/>
    <n v="82"/>
    <n v="0"/>
  </r>
  <r>
    <n v="3031"/>
    <x v="49"/>
    <x v="1"/>
    <s v="Sneakers"/>
    <x v="1"/>
    <n v="24"/>
    <s v="Maryland"/>
    <s v="XL"/>
    <s v="Purple"/>
    <x v="1"/>
    <x v="5"/>
    <s v="No"/>
    <x v="4"/>
    <x v="1"/>
    <x v="1"/>
    <x v="2"/>
    <x v="2"/>
    <x v="1"/>
    <x v="2"/>
    <n v="24"/>
    <n v="0"/>
  </r>
  <r>
    <n v="3032"/>
    <x v="12"/>
    <x v="1"/>
    <s v="Blouse"/>
    <x v="0"/>
    <n v="74"/>
    <s v="Idaho"/>
    <s v="L"/>
    <s v="Teal"/>
    <x v="2"/>
    <x v="8"/>
    <s v="No"/>
    <x v="4"/>
    <x v="1"/>
    <x v="1"/>
    <x v="48"/>
    <x v="2"/>
    <x v="5"/>
    <x v="0"/>
    <n v="74"/>
    <n v="0"/>
  </r>
  <r>
    <n v="3033"/>
    <x v="8"/>
    <x v="1"/>
    <s v="Backpack"/>
    <x v="3"/>
    <n v="58"/>
    <s v="California"/>
    <s v="XL"/>
    <s v="Green"/>
    <x v="2"/>
    <x v="1"/>
    <s v="No"/>
    <x v="2"/>
    <x v="1"/>
    <x v="1"/>
    <x v="37"/>
    <x v="2"/>
    <x v="3"/>
    <x v="2"/>
    <n v="58"/>
    <n v="0"/>
  </r>
  <r>
    <n v="3034"/>
    <x v="40"/>
    <x v="1"/>
    <s v="Sweater"/>
    <x v="0"/>
    <n v="56"/>
    <s v="Alabama"/>
    <s v="L"/>
    <s v="Orange"/>
    <x v="1"/>
    <x v="5"/>
    <s v="No"/>
    <x v="5"/>
    <x v="1"/>
    <x v="1"/>
    <x v="44"/>
    <x v="3"/>
    <x v="1"/>
    <x v="1"/>
    <n v="56"/>
    <n v="0"/>
  </r>
  <r>
    <n v="3035"/>
    <x v="47"/>
    <x v="1"/>
    <s v="Boots"/>
    <x v="1"/>
    <n v="37"/>
    <s v="Utah"/>
    <s v="L"/>
    <s v="Peach"/>
    <x v="1"/>
    <x v="1"/>
    <s v="No"/>
    <x v="4"/>
    <x v="1"/>
    <x v="1"/>
    <x v="29"/>
    <x v="2"/>
    <x v="3"/>
    <x v="0"/>
    <n v="37"/>
    <n v="0"/>
  </r>
  <r>
    <n v="3036"/>
    <x v="28"/>
    <x v="1"/>
    <s v="Handbag"/>
    <x v="3"/>
    <n v="64"/>
    <s v="Kentucky"/>
    <s v="M"/>
    <s v="Gold"/>
    <x v="1"/>
    <x v="9"/>
    <s v="No"/>
    <x v="1"/>
    <x v="1"/>
    <x v="1"/>
    <x v="27"/>
    <x v="1"/>
    <x v="4"/>
    <x v="0"/>
    <n v="64"/>
    <n v="0"/>
  </r>
  <r>
    <n v="3037"/>
    <x v="2"/>
    <x v="1"/>
    <s v="Hoodie"/>
    <x v="0"/>
    <n v="58"/>
    <s v="Vermont"/>
    <s v="S"/>
    <s v="Violet"/>
    <x v="1"/>
    <x v="24"/>
    <s v="No"/>
    <x v="2"/>
    <x v="1"/>
    <x v="1"/>
    <x v="22"/>
    <x v="0"/>
    <x v="0"/>
    <x v="2"/>
    <n v="58"/>
    <n v="0"/>
  </r>
  <r>
    <n v="3038"/>
    <x v="47"/>
    <x v="1"/>
    <s v="Belt"/>
    <x v="3"/>
    <n v="44"/>
    <s v="Iowa"/>
    <s v="L"/>
    <s v="Charcoal"/>
    <x v="2"/>
    <x v="6"/>
    <s v="No"/>
    <x v="2"/>
    <x v="1"/>
    <x v="1"/>
    <x v="1"/>
    <x v="1"/>
    <x v="2"/>
    <x v="0"/>
    <n v="44"/>
    <n v="0"/>
  </r>
  <r>
    <n v="3039"/>
    <x v="19"/>
    <x v="1"/>
    <s v="Jewelry"/>
    <x v="3"/>
    <n v="39"/>
    <s v="Georgia"/>
    <s v="M"/>
    <s v="Brown"/>
    <x v="2"/>
    <x v="19"/>
    <s v="No"/>
    <x v="1"/>
    <x v="1"/>
    <x v="1"/>
    <x v="13"/>
    <x v="5"/>
    <x v="2"/>
    <x v="0"/>
    <n v="39"/>
    <n v="0"/>
  </r>
  <r>
    <n v="3040"/>
    <x v="35"/>
    <x v="1"/>
    <s v="Blouse"/>
    <x v="0"/>
    <n v="48"/>
    <s v="Alabama"/>
    <s v="L"/>
    <s v="Blue"/>
    <x v="1"/>
    <x v="4"/>
    <s v="No"/>
    <x v="2"/>
    <x v="1"/>
    <x v="1"/>
    <x v="4"/>
    <x v="3"/>
    <x v="4"/>
    <x v="0"/>
    <n v="48"/>
    <n v="0"/>
  </r>
  <r>
    <n v="3041"/>
    <x v="20"/>
    <x v="1"/>
    <s v="Handbag"/>
    <x v="3"/>
    <n v="32"/>
    <s v="Nebraska"/>
    <s v="M"/>
    <s v="Gold"/>
    <x v="3"/>
    <x v="7"/>
    <s v="No"/>
    <x v="0"/>
    <x v="1"/>
    <x v="1"/>
    <x v="9"/>
    <x v="1"/>
    <x v="0"/>
    <x v="1"/>
    <n v="32"/>
    <n v="0"/>
  </r>
  <r>
    <n v="3042"/>
    <x v="39"/>
    <x v="1"/>
    <s v="Handbag"/>
    <x v="3"/>
    <n v="79"/>
    <s v="Rhode Island"/>
    <s v="M"/>
    <s v="Orange"/>
    <x v="0"/>
    <x v="17"/>
    <s v="No"/>
    <x v="0"/>
    <x v="1"/>
    <x v="1"/>
    <x v="46"/>
    <x v="3"/>
    <x v="5"/>
    <x v="2"/>
    <n v="79"/>
    <n v="0"/>
  </r>
  <r>
    <n v="3043"/>
    <x v="10"/>
    <x v="1"/>
    <s v="Coat"/>
    <x v="2"/>
    <n v="27"/>
    <s v="South Dakota"/>
    <s v="L"/>
    <s v="Turquoise"/>
    <x v="0"/>
    <x v="3"/>
    <s v="No"/>
    <x v="2"/>
    <x v="1"/>
    <x v="1"/>
    <x v="0"/>
    <x v="3"/>
    <x v="6"/>
    <x v="0"/>
    <n v="27"/>
    <n v="0"/>
  </r>
  <r>
    <n v="3044"/>
    <x v="4"/>
    <x v="1"/>
    <s v="Belt"/>
    <x v="3"/>
    <n v="98"/>
    <s v="Illinois"/>
    <s v="S"/>
    <s v="Peach"/>
    <x v="3"/>
    <x v="5"/>
    <s v="No"/>
    <x v="5"/>
    <x v="1"/>
    <x v="1"/>
    <x v="14"/>
    <x v="2"/>
    <x v="5"/>
    <x v="2"/>
    <n v="98"/>
    <n v="0"/>
  </r>
  <r>
    <n v="3045"/>
    <x v="3"/>
    <x v="1"/>
    <s v="Boots"/>
    <x v="1"/>
    <n v="67"/>
    <s v="North Carolina"/>
    <s v="M"/>
    <s v="Magenta"/>
    <x v="0"/>
    <x v="2"/>
    <s v="No"/>
    <x v="1"/>
    <x v="1"/>
    <x v="1"/>
    <x v="9"/>
    <x v="4"/>
    <x v="3"/>
    <x v="1"/>
    <n v="67"/>
    <n v="0"/>
  </r>
  <r>
    <n v="3046"/>
    <x v="32"/>
    <x v="1"/>
    <s v="Socks"/>
    <x v="0"/>
    <n v="37"/>
    <s v="Florida"/>
    <s v="L"/>
    <s v="Black"/>
    <x v="0"/>
    <x v="12"/>
    <s v="No"/>
    <x v="4"/>
    <x v="1"/>
    <x v="1"/>
    <x v="7"/>
    <x v="3"/>
    <x v="4"/>
    <x v="2"/>
    <n v="37"/>
    <n v="0"/>
  </r>
  <r>
    <n v="3047"/>
    <x v="52"/>
    <x v="1"/>
    <s v="Shoes"/>
    <x v="1"/>
    <n v="49"/>
    <s v="Pennsylvania"/>
    <s v="M"/>
    <s v="White"/>
    <x v="1"/>
    <x v="4"/>
    <s v="No"/>
    <x v="5"/>
    <x v="1"/>
    <x v="1"/>
    <x v="29"/>
    <x v="1"/>
    <x v="6"/>
    <x v="0"/>
    <n v="49"/>
    <n v="0"/>
  </r>
  <r>
    <n v="3048"/>
    <x v="3"/>
    <x v="1"/>
    <s v="Sneakers"/>
    <x v="1"/>
    <n v="74"/>
    <s v="Vermont"/>
    <s v="M"/>
    <s v="Violet"/>
    <x v="3"/>
    <x v="7"/>
    <s v="No"/>
    <x v="4"/>
    <x v="1"/>
    <x v="1"/>
    <x v="35"/>
    <x v="3"/>
    <x v="4"/>
    <x v="1"/>
    <n v="74"/>
    <n v="0"/>
  </r>
  <r>
    <n v="3049"/>
    <x v="28"/>
    <x v="1"/>
    <s v="Jewelry"/>
    <x v="3"/>
    <n v="93"/>
    <s v="Colorado"/>
    <s v="M"/>
    <s v="Olive"/>
    <x v="2"/>
    <x v="20"/>
    <s v="No"/>
    <x v="3"/>
    <x v="1"/>
    <x v="1"/>
    <x v="39"/>
    <x v="0"/>
    <x v="0"/>
    <x v="0"/>
    <n v="93"/>
    <n v="0"/>
  </r>
  <r>
    <n v="3050"/>
    <x v="37"/>
    <x v="1"/>
    <s v="Handbag"/>
    <x v="3"/>
    <n v="60"/>
    <s v="Utah"/>
    <s v="L"/>
    <s v="Red"/>
    <x v="2"/>
    <x v="21"/>
    <s v="No"/>
    <x v="2"/>
    <x v="1"/>
    <x v="1"/>
    <x v="23"/>
    <x v="4"/>
    <x v="4"/>
    <x v="2"/>
    <n v="60"/>
    <n v="0"/>
  </r>
  <r>
    <n v="3051"/>
    <x v="18"/>
    <x v="1"/>
    <s v="Coat"/>
    <x v="2"/>
    <n v="76"/>
    <s v="Kentucky"/>
    <s v="S"/>
    <s v="Green"/>
    <x v="1"/>
    <x v="15"/>
    <s v="No"/>
    <x v="3"/>
    <x v="1"/>
    <x v="1"/>
    <x v="40"/>
    <x v="0"/>
    <x v="6"/>
    <x v="2"/>
    <n v="76"/>
    <n v="0"/>
  </r>
  <r>
    <n v="3052"/>
    <x v="42"/>
    <x v="1"/>
    <s v="Sunglasses"/>
    <x v="3"/>
    <n v="64"/>
    <s v="Wyoming"/>
    <s v="L"/>
    <s v="Gold"/>
    <x v="2"/>
    <x v="12"/>
    <s v="No"/>
    <x v="0"/>
    <x v="1"/>
    <x v="1"/>
    <x v="3"/>
    <x v="5"/>
    <x v="6"/>
    <x v="2"/>
    <n v="64"/>
    <n v="0"/>
  </r>
  <r>
    <n v="3053"/>
    <x v="39"/>
    <x v="1"/>
    <s v="Shoes"/>
    <x v="1"/>
    <n v="38"/>
    <s v="Maine"/>
    <s v="XL"/>
    <s v="Olive"/>
    <x v="1"/>
    <x v="9"/>
    <s v="No"/>
    <x v="5"/>
    <x v="1"/>
    <x v="1"/>
    <x v="22"/>
    <x v="4"/>
    <x v="0"/>
    <x v="2"/>
    <n v="38"/>
    <n v="0"/>
  </r>
  <r>
    <n v="3054"/>
    <x v="45"/>
    <x v="1"/>
    <s v="Shoes"/>
    <x v="1"/>
    <n v="91"/>
    <s v="Maine"/>
    <s v="L"/>
    <s v="Brown"/>
    <x v="0"/>
    <x v="4"/>
    <s v="No"/>
    <x v="2"/>
    <x v="1"/>
    <x v="1"/>
    <x v="17"/>
    <x v="4"/>
    <x v="5"/>
    <x v="2"/>
    <n v="91"/>
    <n v="0"/>
  </r>
  <r>
    <n v="3055"/>
    <x v="32"/>
    <x v="1"/>
    <s v="Boots"/>
    <x v="1"/>
    <n v="70"/>
    <s v="New Hampshire"/>
    <s v="S"/>
    <s v="Magenta"/>
    <x v="2"/>
    <x v="8"/>
    <s v="No"/>
    <x v="4"/>
    <x v="1"/>
    <x v="1"/>
    <x v="11"/>
    <x v="0"/>
    <x v="5"/>
    <x v="2"/>
    <n v="70"/>
    <n v="0"/>
  </r>
  <r>
    <n v="3056"/>
    <x v="7"/>
    <x v="1"/>
    <s v="Sandals"/>
    <x v="1"/>
    <n v="22"/>
    <s v="Kansas"/>
    <s v="M"/>
    <s v="Violet"/>
    <x v="3"/>
    <x v="16"/>
    <s v="No"/>
    <x v="3"/>
    <x v="1"/>
    <x v="1"/>
    <x v="36"/>
    <x v="5"/>
    <x v="4"/>
    <x v="2"/>
    <n v="22"/>
    <n v="0"/>
  </r>
  <r>
    <n v="3057"/>
    <x v="28"/>
    <x v="1"/>
    <s v="Gloves"/>
    <x v="3"/>
    <n v="59"/>
    <s v="New Jersey"/>
    <s v="M"/>
    <s v="Beige"/>
    <x v="1"/>
    <x v="22"/>
    <s v="No"/>
    <x v="3"/>
    <x v="1"/>
    <x v="1"/>
    <x v="28"/>
    <x v="1"/>
    <x v="4"/>
    <x v="0"/>
    <n v="59"/>
    <n v="0"/>
  </r>
  <r>
    <n v="3058"/>
    <x v="29"/>
    <x v="1"/>
    <s v="Backpack"/>
    <x v="3"/>
    <n v="22"/>
    <s v="North Carolina"/>
    <s v="M"/>
    <s v="Blue"/>
    <x v="1"/>
    <x v="23"/>
    <s v="No"/>
    <x v="2"/>
    <x v="1"/>
    <x v="1"/>
    <x v="8"/>
    <x v="4"/>
    <x v="1"/>
    <x v="0"/>
    <n v="22"/>
    <n v="0"/>
  </r>
  <r>
    <n v="3059"/>
    <x v="38"/>
    <x v="1"/>
    <s v="Handbag"/>
    <x v="3"/>
    <n v="74"/>
    <s v="West Virginia"/>
    <s v="S"/>
    <s v="Orange"/>
    <x v="0"/>
    <x v="22"/>
    <s v="No"/>
    <x v="5"/>
    <x v="1"/>
    <x v="1"/>
    <x v="35"/>
    <x v="4"/>
    <x v="0"/>
    <x v="2"/>
    <n v="74"/>
    <n v="0"/>
  </r>
  <r>
    <n v="3060"/>
    <x v="5"/>
    <x v="1"/>
    <s v="Sweater"/>
    <x v="0"/>
    <n v="71"/>
    <s v="Kentucky"/>
    <s v="L"/>
    <s v="Maroon"/>
    <x v="1"/>
    <x v="4"/>
    <s v="No"/>
    <x v="0"/>
    <x v="1"/>
    <x v="1"/>
    <x v="38"/>
    <x v="2"/>
    <x v="3"/>
    <x v="2"/>
    <n v="71"/>
    <n v="0"/>
  </r>
  <r>
    <n v="3061"/>
    <x v="36"/>
    <x v="1"/>
    <s v="Coat"/>
    <x v="2"/>
    <n v="80"/>
    <s v="California"/>
    <s v="S"/>
    <s v="Charcoal"/>
    <x v="2"/>
    <x v="10"/>
    <s v="No"/>
    <x v="5"/>
    <x v="1"/>
    <x v="1"/>
    <x v="43"/>
    <x v="0"/>
    <x v="5"/>
    <x v="2"/>
    <n v="80"/>
    <n v="0"/>
  </r>
  <r>
    <n v="3062"/>
    <x v="23"/>
    <x v="1"/>
    <s v="T-shirt"/>
    <x v="0"/>
    <n v="59"/>
    <s v="South Dakota"/>
    <s v="L"/>
    <s v="Olive"/>
    <x v="3"/>
    <x v="9"/>
    <s v="No"/>
    <x v="0"/>
    <x v="1"/>
    <x v="1"/>
    <x v="41"/>
    <x v="3"/>
    <x v="6"/>
    <x v="2"/>
    <n v="59"/>
    <n v="0"/>
  </r>
  <r>
    <n v="3063"/>
    <x v="47"/>
    <x v="1"/>
    <s v="Backpack"/>
    <x v="3"/>
    <n v="96"/>
    <s v="California"/>
    <s v="L"/>
    <s v="Green"/>
    <x v="3"/>
    <x v="13"/>
    <s v="No"/>
    <x v="3"/>
    <x v="1"/>
    <x v="1"/>
    <x v="30"/>
    <x v="3"/>
    <x v="5"/>
    <x v="0"/>
    <n v="96"/>
    <n v="0"/>
  </r>
  <r>
    <n v="3064"/>
    <x v="8"/>
    <x v="1"/>
    <s v="Sunglasses"/>
    <x v="3"/>
    <n v="43"/>
    <s v="Connecticut"/>
    <s v="L"/>
    <s v="Brown"/>
    <x v="0"/>
    <x v="20"/>
    <s v="No"/>
    <x v="5"/>
    <x v="1"/>
    <x v="1"/>
    <x v="37"/>
    <x v="2"/>
    <x v="0"/>
    <x v="2"/>
    <n v="43"/>
    <n v="0"/>
  </r>
  <r>
    <n v="3065"/>
    <x v="40"/>
    <x v="1"/>
    <s v="Belt"/>
    <x v="3"/>
    <n v="76"/>
    <s v="Idaho"/>
    <s v="S"/>
    <s v="Cyan"/>
    <x v="0"/>
    <x v="15"/>
    <s v="No"/>
    <x v="0"/>
    <x v="1"/>
    <x v="1"/>
    <x v="3"/>
    <x v="4"/>
    <x v="3"/>
    <x v="1"/>
    <n v="76"/>
    <n v="0"/>
  </r>
  <r>
    <n v="3066"/>
    <x v="34"/>
    <x v="1"/>
    <s v="Jacket"/>
    <x v="2"/>
    <n v="59"/>
    <s v="North Dakota"/>
    <s v="M"/>
    <s v="Beige"/>
    <x v="3"/>
    <x v="11"/>
    <s v="No"/>
    <x v="5"/>
    <x v="1"/>
    <x v="1"/>
    <x v="22"/>
    <x v="0"/>
    <x v="4"/>
    <x v="2"/>
    <n v="59"/>
    <n v="0"/>
  </r>
  <r>
    <n v="3067"/>
    <x v="44"/>
    <x v="1"/>
    <s v="Skirt"/>
    <x v="0"/>
    <n v="48"/>
    <s v="Michigan"/>
    <s v="L"/>
    <s v="Teal"/>
    <x v="2"/>
    <x v="24"/>
    <s v="No"/>
    <x v="1"/>
    <x v="1"/>
    <x v="1"/>
    <x v="21"/>
    <x v="0"/>
    <x v="6"/>
    <x v="0"/>
    <n v="48"/>
    <n v="0"/>
  </r>
  <r>
    <n v="3068"/>
    <x v="27"/>
    <x v="1"/>
    <s v="Belt"/>
    <x v="3"/>
    <n v="22"/>
    <s v="Missouri"/>
    <s v="S"/>
    <s v="Gray"/>
    <x v="1"/>
    <x v="1"/>
    <s v="No"/>
    <x v="1"/>
    <x v="1"/>
    <x v="1"/>
    <x v="1"/>
    <x v="1"/>
    <x v="1"/>
    <x v="0"/>
    <n v="22"/>
    <n v="0"/>
  </r>
  <r>
    <n v="3069"/>
    <x v="45"/>
    <x v="1"/>
    <s v="Boots"/>
    <x v="1"/>
    <n v="40"/>
    <s v="California"/>
    <s v="M"/>
    <s v="Indigo"/>
    <x v="0"/>
    <x v="19"/>
    <s v="No"/>
    <x v="0"/>
    <x v="1"/>
    <x v="1"/>
    <x v="7"/>
    <x v="5"/>
    <x v="1"/>
    <x v="2"/>
    <n v="40"/>
    <n v="0"/>
  </r>
  <r>
    <n v="3070"/>
    <x v="46"/>
    <x v="1"/>
    <s v="Jeans"/>
    <x v="0"/>
    <n v="73"/>
    <s v="Delaware"/>
    <s v="L"/>
    <s v="Magenta"/>
    <x v="1"/>
    <x v="12"/>
    <s v="No"/>
    <x v="0"/>
    <x v="1"/>
    <x v="1"/>
    <x v="14"/>
    <x v="5"/>
    <x v="3"/>
    <x v="0"/>
    <n v="73"/>
    <n v="0"/>
  </r>
  <r>
    <n v="3071"/>
    <x v="16"/>
    <x v="1"/>
    <s v="Shoes"/>
    <x v="1"/>
    <n v="26"/>
    <s v="Alabama"/>
    <s v="XL"/>
    <s v="Red"/>
    <x v="3"/>
    <x v="5"/>
    <s v="No"/>
    <x v="1"/>
    <x v="1"/>
    <x v="1"/>
    <x v="34"/>
    <x v="3"/>
    <x v="4"/>
    <x v="0"/>
    <n v="26"/>
    <n v="0"/>
  </r>
  <r>
    <n v="3072"/>
    <x v="51"/>
    <x v="1"/>
    <s v="Sweater"/>
    <x v="0"/>
    <n v="41"/>
    <s v="New Hampshire"/>
    <s v="L"/>
    <s v="Turquoise"/>
    <x v="1"/>
    <x v="23"/>
    <s v="No"/>
    <x v="2"/>
    <x v="1"/>
    <x v="1"/>
    <x v="49"/>
    <x v="3"/>
    <x v="5"/>
    <x v="1"/>
    <n v="41"/>
    <n v="0"/>
  </r>
  <r>
    <n v="3073"/>
    <x v="8"/>
    <x v="1"/>
    <s v="Jewelry"/>
    <x v="3"/>
    <n v="98"/>
    <s v="New York"/>
    <s v="L"/>
    <s v="Peach"/>
    <x v="1"/>
    <x v="0"/>
    <s v="No"/>
    <x v="3"/>
    <x v="1"/>
    <x v="1"/>
    <x v="15"/>
    <x v="3"/>
    <x v="3"/>
    <x v="2"/>
    <n v="98"/>
    <n v="0"/>
  </r>
  <r>
    <n v="3074"/>
    <x v="44"/>
    <x v="1"/>
    <s v="Shirt"/>
    <x v="0"/>
    <n v="63"/>
    <s v="Oregon"/>
    <s v="L"/>
    <s v="White"/>
    <x v="0"/>
    <x v="15"/>
    <s v="No"/>
    <x v="1"/>
    <x v="1"/>
    <x v="1"/>
    <x v="22"/>
    <x v="5"/>
    <x v="4"/>
    <x v="0"/>
    <n v="63"/>
    <n v="0"/>
  </r>
  <r>
    <n v="3075"/>
    <x v="8"/>
    <x v="1"/>
    <s v="Boots"/>
    <x v="1"/>
    <n v="55"/>
    <s v="Massachusetts"/>
    <s v="L"/>
    <s v="Maroon"/>
    <x v="0"/>
    <x v="19"/>
    <s v="No"/>
    <x v="2"/>
    <x v="1"/>
    <x v="1"/>
    <x v="11"/>
    <x v="5"/>
    <x v="0"/>
    <x v="2"/>
    <n v="55"/>
    <n v="0"/>
  </r>
  <r>
    <n v="3076"/>
    <x v="22"/>
    <x v="1"/>
    <s v="Shorts"/>
    <x v="0"/>
    <n v="90"/>
    <s v="Utah"/>
    <s v="XL"/>
    <s v="Beige"/>
    <x v="0"/>
    <x v="15"/>
    <s v="No"/>
    <x v="3"/>
    <x v="1"/>
    <x v="1"/>
    <x v="33"/>
    <x v="3"/>
    <x v="6"/>
    <x v="0"/>
    <n v="90"/>
    <n v="0"/>
  </r>
  <r>
    <n v="3077"/>
    <x v="17"/>
    <x v="1"/>
    <s v="Handbag"/>
    <x v="3"/>
    <n v="46"/>
    <s v="New Hampshire"/>
    <s v="M"/>
    <s v="Blue"/>
    <x v="2"/>
    <x v="15"/>
    <s v="No"/>
    <x v="0"/>
    <x v="1"/>
    <x v="1"/>
    <x v="21"/>
    <x v="0"/>
    <x v="4"/>
    <x v="0"/>
    <n v="46"/>
    <n v="0"/>
  </r>
  <r>
    <n v="3078"/>
    <x v="52"/>
    <x v="1"/>
    <s v="Sweater"/>
    <x v="0"/>
    <n v="88"/>
    <s v="Illinois"/>
    <s v="S"/>
    <s v="Red"/>
    <x v="1"/>
    <x v="21"/>
    <s v="No"/>
    <x v="5"/>
    <x v="1"/>
    <x v="1"/>
    <x v="42"/>
    <x v="5"/>
    <x v="4"/>
    <x v="0"/>
    <n v="88"/>
    <n v="0"/>
  </r>
  <r>
    <n v="3079"/>
    <x v="45"/>
    <x v="1"/>
    <s v="Belt"/>
    <x v="3"/>
    <n v="95"/>
    <s v="Alaska"/>
    <s v="M"/>
    <s v="Blue"/>
    <x v="1"/>
    <x v="25"/>
    <s v="No"/>
    <x v="4"/>
    <x v="1"/>
    <x v="1"/>
    <x v="37"/>
    <x v="4"/>
    <x v="4"/>
    <x v="2"/>
    <n v="95"/>
    <n v="0"/>
  </r>
  <r>
    <n v="3080"/>
    <x v="39"/>
    <x v="1"/>
    <s v="Belt"/>
    <x v="3"/>
    <n v="31"/>
    <s v="Wyoming"/>
    <s v="M"/>
    <s v="Maroon"/>
    <x v="3"/>
    <x v="17"/>
    <s v="No"/>
    <x v="5"/>
    <x v="1"/>
    <x v="1"/>
    <x v="7"/>
    <x v="4"/>
    <x v="2"/>
    <x v="2"/>
    <n v="31"/>
    <n v="0"/>
  </r>
  <r>
    <n v="3081"/>
    <x v="28"/>
    <x v="1"/>
    <s v="Hoodie"/>
    <x v="0"/>
    <n v="42"/>
    <s v="Colorado"/>
    <s v="L"/>
    <s v="Yellow"/>
    <x v="1"/>
    <x v="7"/>
    <s v="No"/>
    <x v="2"/>
    <x v="1"/>
    <x v="1"/>
    <x v="36"/>
    <x v="1"/>
    <x v="4"/>
    <x v="0"/>
    <n v="42"/>
    <n v="0"/>
  </r>
  <r>
    <n v="3082"/>
    <x v="14"/>
    <x v="1"/>
    <s v="Sneakers"/>
    <x v="1"/>
    <n v="44"/>
    <s v="Vermont"/>
    <s v="L"/>
    <s v="Pink"/>
    <x v="0"/>
    <x v="8"/>
    <s v="No"/>
    <x v="2"/>
    <x v="1"/>
    <x v="1"/>
    <x v="47"/>
    <x v="2"/>
    <x v="1"/>
    <x v="0"/>
    <n v="44"/>
    <n v="0"/>
  </r>
  <r>
    <n v="3083"/>
    <x v="19"/>
    <x v="1"/>
    <s v="T-shirt"/>
    <x v="0"/>
    <n v="99"/>
    <s v="Utah"/>
    <s v="M"/>
    <s v="Maroon"/>
    <x v="1"/>
    <x v="17"/>
    <s v="No"/>
    <x v="2"/>
    <x v="1"/>
    <x v="1"/>
    <x v="41"/>
    <x v="4"/>
    <x v="2"/>
    <x v="0"/>
    <n v="99"/>
    <n v="0"/>
  </r>
  <r>
    <n v="3084"/>
    <x v="40"/>
    <x v="1"/>
    <s v="Pants"/>
    <x v="0"/>
    <n v="20"/>
    <s v="Illinois"/>
    <s v="S"/>
    <s v="Purple"/>
    <x v="2"/>
    <x v="1"/>
    <s v="No"/>
    <x v="5"/>
    <x v="1"/>
    <x v="1"/>
    <x v="40"/>
    <x v="3"/>
    <x v="3"/>
    <x v="1"/>
    <n v="20"/>
    <n v="0"/>
  </r>
  <r>
    <n v="3085"/>
    <x v="5"/>
    <x v="1"/>
    <s v="Scarf"/>
    <x v="3"/>
    <n v="37"/>
    <s v="Idaho"/>
    <s v="S"/>
    <s v="Indigo"/>
    <x v="1"/>
    <x v="4"/>
    <s v="No"/>
    <x v="5"/>
    <x v="1"/>
    <x v="1"/>
    <x v="34"/>
    <x v="3"/>
    <x v="5"/>
    <x v="2"/>
    <n v="37"/>
    <n v="0"/>
  </r>
  <r>
    <n v="3086"/>
    <x v="41"/>
    <x v="1"/>
    <s v="Sweater"/>
    <x v="0"/>
    <n v="50"/>
    <s v="Nevada"/>
    <s v="L"/>
    <s v="Gray"/>
    <x v="0"/>
    <x v="11"/>
    <s v="No"/>
    <x v="5"/>
    <x v="1"/>
    <x v="1"/>
    <x v="9"/>
    <x v="0"/>
    <x v="6"/>
    <x v="1"/>
    <n v="50"/>
    <n v="0"/>
  </r>
  <r>
    <n v="3087"/>
    <x v="36"/>
    <x v="1"/>
    <s v="Handbag"/>
    <x v="3"/>
    <n v="73"/>
    <s v="Utah"/>
    <s v="M"/>
    <s v="Lavender"/>
    <x v="2"/>
    <x v="1"/>
    <s v="No"/>
    <x v="2"/>
    <x v="1"/>
    <x v="1"/>
    <x v="8"/>
    <x v="0"/>
    <x v="6"/>
    <x v="2"/>
    <n v="73"/>
    <n v="0"/>
  </r>
  <r>
    <n v="3088"/>
    <x v="46"/>
    <x v="1"/>
    <s v="Shirt"/>
    <x v="0"/>
    <n v="84"/>
    <s v="North Carolina"/>
    <s v="M"/>
    <s v="Charcoal"/>
    <x v="1"/>
    <x v="0"/>
    <s v="No"/>
    <x v="1"/>
    <x v="1"/>
    <x v="1"/>
    <x v="32"/>
    <x v="4"/>
    <x v="5"/>
    <x v="0"/>
    <n v="84"/>
    <n v="0"/>
  </r>
  <r>
    <n v="3089"/>
    <x v="50"/>
    <x v="1"/>
    <s v="Dress"/>
    <x v="0"/>
    <n v="64"/>
    <s v="Arkansas"/>
    <s v="M"/>
    <s v="Teal"/>
    <x v="1"/>
    <x v="13"/>
    <s v="No"/>
    <x v="5"/>
    <x v="1"/>
    <x v="1"/>
    <x v="31"/>
    <x v="4"/>
    <x v="3"/>
    <x v="2"/>
    <n v="64"/>
    <n v="0"/>
  </r>
  <r>
    <n v="3090"/>
    <x v="2"/>
    <x v="1"/>
    <s v="Sandals"/>
    <x v="1"/>
    <n v="21"/>
    <s v="North Carolina"/>
    <s v="L"/>
    <s v="Blue"/>
    <x v="3"/>
    <x v="12"/>
    <s v="No"/>
    <x v="1"/>
    <x v="1"/>
    <x v="1"/>
    <x v="2"/>
    <x v="1"/>
    <x v="4"/>
    <x v="2"/>
    <n v="21"/>
    <n v="0"/>
  </r>
  <r>
    <n v="3091"/>
    <x v="26"/>
    <x v="1"/>
    <s v="Shirt"/>
    <x v="0"/>
    <n v="36"/>
    <s v="Texas"/>
    <s v="M"/>
    <s v="Peach"/>
    <x v="2"/>
    <x v="8"/>
    <s v="No"/>
    <x v="5"/>
    <x v="1"/>
    <x v="1"/>
    <x v="28"/>
    <x v="4"/>
    <x v="3"/>
    <x v="2"/>
    <n v="36"/>
    <n v="0"/>
  </r>
  <r>
    <n v="3092"/>
    <x v="33"/>
    <x v="1"/>
    <s v="Dress"/>
    <x v="0"/>
    <n v="81"/>
    <s v="Nevada"/>
    <s v="L"/>
    <s v="Orange"/>
    <x v="0"/>
    <x v="23"/>
    <s v="No"/>
    <x v="4"/>
    <x v="1"/>
    <x v="1"/>
    <x v="15"/>
    <x v="2"/>
    <x v="2"/>
    <x v="0"/>
    <n v="81"/>
    <n v="0"/>
  </r>
  <r>
    <n v="3093"/>
    <x v="16"/>
    <x v="1"/>
    <s v="Sunglasses"/>
    <x v="3"/>
    <n v="54"/>
    <s v="Utah"/>
    <s v="L"/>
    <s v="Silver"/>
    <x v="3"/>
    <x v="1"/>
    <s v="No"/>
    <x v="2"/>
    <x v="1"/>
    <x v="1"/>
    <x v="0"/>
    <x v="4"/>
    <x v="4"/>
    <x v="0"/>
    <n v="54"/>
    <n v="0"/>
  </r>
  <r>
    <n v="3094"/>
    <x v="26"/>
    <x v="1"/>
    <s v="Socks"/>
    <x v="0"/>
    <n v="63"/>
    <s v="Pennsylvania"/>
    <s v="L"/>
    <s v="Red"/>
    <x v="2"/>
    <x v="6"/>
    <s v="No"/>
    <x v="5"/>
    <x v="1"/>
    <x v="1"/>
    <x v="14"/>
    <x v="1"/>
    <x v="6"/>
    <x v="2"/>
    <n v="63"/>
    <n v="0"/>
  </r>
  <r>
    <n v="3095"/>
    <x v="40"/>
    <x v="1"/>
    <s v="Sandals"/>
    <x v="1"/>
    <n v="59"/>
    <s v="Georgia"/>
    <s v="M"/>
    <s v="Gray"/>
    <x v="2"/>
    <x v="2"/>
    <s v="No"/>
    <x v="5"/>
    <x v="1"/>
    <x v="1"/>
    <x v="44"/>
    <x v="1"/>
    <x v="1"/>
    <x v="1"/>
    <n v="59"/>
    <n v="0"/>
  </r>
  <r>
    <n v="3096"/>
    <x v="46"/>
    <x v="1"/>
    <s v="Hat"/>
    <x v="3"/>
    <n v="53"/>
    <s v="Minnesota"/>
    <s v="S"/>
    <s v="Beige"/>
    <x v="3"/>
    <x v="23"/>
    <s v="No"/>
    <x v="3"/>
    <x v="1"/>
    <x v="1"/>
    <x v="21"/>
    <x v="0"/>
    <x v="0"/>
    <x v="0"/>
    <n v="53"/>
    <n v="0"/>
  </r>
  <r>
    <n v="3097"/>
    <x v="28"/>
    <x v="1"/>
    <s v="Shirt"/>
    <x v="0"/>
    <n v="63"/>
    <s v="Kansas"/>
    <s v="L"/>
    <s v="White"/>
    <x v="0"/>
    <x v="1"/>
    <s v="No"/>
    <x v="2"/>
    <x v="1"/>
    <x v="1"/>
    <x v="41"/>
    <x v="4"/>
    <x v="5"/>
    <x v="0"/>
    <n v="63"/>
    <n v="0"/>
  </r>
  <r>
    <n v="3098"/>
    <x v="39"/>
    <x v="1"/>
    <s v="Shoes"/>
    <x v="1"/>
    <n v="33"/>
    <s v="Delaware"/>
    <s v="M"/>
    <s v="Silver"/>
    <x v="3"/>
    <x v="18"/>
    <s v="No"/>
    <x v="1"/>
    <x v="1"/>
    <x v="1"/>
    <x v="30"/>
    <x v="4"/>
    <x v="3"/>
    <x v="2"/>
    <n v="33"/>
    <n v="0"/>
  </r>
  <r>
    <n v="3099"/>
    <x v="17"/>
    <x v="1"/>
    <s v="Pants"/>
    <x v="0"/>
    <n v="64"/>
    <s v="New Mexico"/>
    <s v="L"/>
    <s v="Cyan"/>
    <x v="2"/>
    <x v="13"/>
    <s v="No"/>
    <x v="2"/>
    <x v="1"/>
    <x v="1"/>
    <x v="16"/>
    <x v="4"/>
    <x v="3"/>
    <x v="0"/>
    <n v="64"/>
    <n v="0"/>
  </r>
  <r>
    <n v="3100"/>
    <x v="32"/>
    <x v="1"/>
    <s v="Shirt"/>
    <x v="0"/>
    <n v="98"/>
    <s v="Michigan"/>
    <s v="S"/>
    <s v="Maroon"/>
    <x v="3"/>
    <x v="3"/>
    <s v="No"/>
    <x v="1"/>
    <x v="1"/>
    <x v="1"/>
    <x v="33"/>
    <x v="4"/>
    <x v="4"/>
    <x v="2"/>
    <n v="98"/>
    <n v="0"/>
  </r>
  <r>
    <n v="3101"/>
    <x v="2"/>
    <x v="1"/>
    <s v="Hat"/>
    <x v="3"/>
    <n v="85"/>
    <s v="Vermont"/>
    <s v="L"/>
    <s v="Purple"/>
    <x v="0"/>
    <x v="20"/>
    <s v="No"/>
    <x v="0"/>
    <x v="1"/>
    <x v="1"/>
    <x v="35"/>
    <x v="4"/>
    <x v="1"/>
    <x v="2"/>
    <n v="85"/>
    <n v="0"/>
  </r>
  <r>
    <n v="3102"/>
    <x v="45"/>
    <x v="1"/>
    <s v="Jewelry"/>
    <x v="3"/>
    <n v="82"/>
    <s v="Idaho"/>
    <s v="S"/>
    <s v="Brown"/>
    <x v="2"/>
    <x v="2"/>
    <s v="No"/>
    <x v="0"/>
    <x v="1"/>
    <x v="1"/>
    <x v="44"/>
    <x v="3"/>
    <x v="0"/>
    <x v="2"/>
    <n v="82"/>
    <n v="0"/>
  </r>
  <r>
    <n v="3103"/>
    <x v="47"/>
    <x v="1"/>
    <s v="Jacket"/>
    <x v="2"/>
    <n v="85"/>
    <s v="South Dakota"/>
    <s v="M"/>
    <s v="Green"/>
    <x v="2"/>
    <x v="24"/>
    <s v="No"/>
    <x v="3"/>
    <x v="1"/>
    <x v="1"/>
    <x v="32"/>
    <x v="1"/>
    <x v="4"/>
    <x v="0"/>
    <n v="85"/>
    <n v="0"/>
  </r>
  <r>
    <n v="3104"/>
    <x v="7"/>
    <x v="1"/>
    <s v="Shirt"/>
    <x v="0"/>
    <n v="37"/>
    <s v="Illinois"/>
    <s v="S"/>
    <s v="Peach"/>
    <x v="0"/>
    <x v="21"/>
    <s v="No"/>
    <x v="4"/>
    <x v="1"/>
    <x v="1"/>
    <x v="38"/>
    <x v="4"/>
    <x v="1"/>
    <x v="2"/>
    <n v="37"/>
    <n v="0"/>
  </r>
  <r>
    <n v="3105"/>
    <x v="49"/>
    <x v="1"/>
    <s v="Pants"/>
    <x v="0"/>
    <n v="56"/>
    <s v="Georgia"/>
    <s v="S"/>
    <s v="Turquoise"/>
    <x v="2"/>
    <x v="16"/>
    <s v="No"/>
    <x v="4"/>
    <x v="1"/>
    <x v="1"/>
    <x v="23"/>
    <x v="5"/>
    <x v="0"/>
    <x v="2"/>
    <n v="56"/>
    <n v="0"/>
  </r>
  <r>
    <n v="3106"/>
    <x v="39"/>
    <x v="1"/>
    <s v="Skirt"/>
    <x v="0"/>
    <n v="33"/>
    <s v="Oregon"/>
    <s v="M"/>
    <s v="Olive"/>
    <x v="3"/>
    <x v="2"/>
    <s v="No"/>
    <x v="0"/>
    <x v="1"/>
    <x v="1"/>
    <x v="14"/>
    <x v="5"/>
    <x v="5"/>
    <x v="2"/>
    <n v="33"/>
    <n v="0"/>
  </r>
  <r>
    <n v="3107"/>
    <x v="46"/>
    <x v="1"/>
    <s v="Sandals"/>
    <x v="1"/>
    <n v="57"/>
    <s v="Alabama"/>
    <s v="M"/>
    <s v="Yellow"/>
    <x v="0"/>
    <x v="10"/>
    <s v="No"/>
    <x v="2"/>
    <x v="1"/>
    <x v="1"/>
    <x v="41"/>
    <x v="3"/>
    <x v="2"/>
    <x v="0"/>
    <n v="57"/>
    <n v="0"/>
  </r>
  <r>
    <n v="3108"/>
    <x v="13"/>
    <x v="1"/>
    <s v="Blouse"/>
    <x v="0"/>
    <n v="31"/>
    <s v="Hawaii"/>
    <s v="L"/>
    <s v="Gray"/>
    <x v="0"/>
    <x v="12"/>
    <s v="No"/>
    <x v="3"/>
    <x v="1"/>
    <x v="1"/>
    <x v="27"/>
    <x v="2"/>
    <x v="4"/>
    <x v="0"/>
    <n v="31"/>
    <n v="0"/>
  </r>
  <r>
    <n v="3109"/>
    <x v="2"/>
    <x v="1"/>
    <s v="Socks"/>
    <x v="0"/>
    <n v="69"/>
    <s v="Oregon"/>
    <s v="M"/>
    <s v="Purple"/>
    <x v="3"/>
    <x v="4"/>
    <s v="No"/>
    <x v="4"/>
    <x v="1"/>
    <x v="1"/>
    <x v="22"/>
    <x v="3"/>
    <x v="5"/>
    <x v="2"/>
    <n v="69"/>
    <n v="0"/>
  </r>
  <r>
    <n v="3110"/>
    <x v="52"/>
    <x v="1"/>
    <s v="Jacket"/>
    <x v="2"/>
    <n v="92"/>
    <s v="Illinois"/>
    <s v="M"/>
    <s v="Gray"/>
    <x v="0"/>
    <x v="24"/>
    <s v="No"/>
    <x v="1"/>
    <x v="1"/>
    <x v="1"/>
    <x v="39"/>
    <x v="4"/>
    <x v="0"/>
    <x v="0"/>
    <n v="92"/>
    <n v="0"/>
  </r>
  <r>
    <n v="3111"/>
    <x v="1"/>
    <x v="1"/>
    <s v="Handbag"/>
    <x v="3"/>
    <n v="46"/>
    <s v="Texas"/>
    <s v="L"/>
    <s v="Lavender"/>
    <x v="3"/>
    <x v="12"/>
    <s v="No"/>
    <x v="2"/>
    <x v="1"/>
    <x v="1"/>
    <x v="1"/>
    <x v="4"/>
    <x v="4"/>
    <x v="1"/>
    <n v="46"/>
    <n v="0"/>
  </r>
  <r>
    <n v="3112"/>
    <x v="3"/>
    <x v="1"/>
    <s v="Belt"/>
    <x v="3"/>
    <n v="81"/>
    <s v="Kansas"/>
    <s v="XL"/>
    <s v="Indigo"/>
    <x v="1"/>
    <x v="8"/>
    <s v="No"/>
    <x v="1"/>
    <x v="1"/>
    <x v="1"/>
    <x v="29"/>
    <x v="5"/>
    <x v="3"/>
    <x v="1"/>
    <n v="81"/>
    <n v="0"/>
  </r>
  <r>
    <n v="3113"/>
    <x v="1"/>
    <x v="1"/>
    <s v="Blouse"/>
    <x v="0"/>
    <n v="97"/>
    <s v="Texas"/>
    <s v="S"/>
    <s v="Green"/>
    <x v="3"/>
    <x v="22"/>
    <s v="No"/>
    <x v="0"/>
    <x v="1"/>
    <x v="1"/>
    <x v="8"/>
    <x v="0"/>
    <x v="2"/>
    <x v="1"/>
    <n v="97"/>
    <n v="0"/>
  </r>
  <r>
    <n v="3114"/>
    <x v="5"/>
    <x v="1"/>
    <s v="Shirt"/>
    <x v="0"/>
    <n v="93"/>
    <s v="Nebraska"/>
    <s v="L"/>
    <s v="Green"/>
    <x v="2"/>
    <x v="5"/>
    <s v="No"/>
    <x v="0"/>
    <x v="1"/>
    <x v="1"/>
    <x v="1"/>
    <x v="5"/>
    <x v="1"/>
    <x v="2"/>
    <n v="93"/>
    <n v="0"/>
  </r>
  <r>
    <n v="3115"/>
    <x v="3"/>
    <x v="1"/>
    <s v="Handbag"/>
    <x v="3"/>
    <n v="56"/>
    <s v="Arkansas"/>
    <s v="M"/>
    <s v="Olive"/>
    <x v="1"/>
    <x v="10"/>
    <s v="No"/>
    <x v="5"/>
    <x v="1"/>
    <x v="1"/>
    <x v="24"/>
    <x v="0"/>
    <x v="4"/>
    <x v="1"/>
    <n v="56"/>
    <n v="0"/>
  </r>
  <r>
    <n v="3116"/>
    <x v="8"/>
    <x v="1"/>
    <s v="Scarf"/>
    <x v="3"/>
    <n v="53"/>
    <s v="South Dakota"/>
    <s v="M"/>
    <s v="Charcoal"/>
    <x v="3"/>
    <x v="7"/>
    <s v="No"/>
    <x v="1"/>
    <x v="1"/>
    <x v="1"/>
    <x v="44"/>
    <x v="4"/>
    <x v="4"/>
    <x v="2"/>
    <n v="53"/>
    <n v="0"/>
  </r>
  <r>
    <n v="3117"/>
    <x v="2"/>
    <x v="1"/>
    <s v="Coat"/>
    <x v="2"/>
    <n v="66"/>
    <s v="Montana"/>
    <s v="L"/>
    <s v="Gray"/>
    <x v="1"/>
    <x v="18"/>
    <s v="No"/>
    <x v="5"/>
    <x v="1"/>
    <x v="1"/>
    <x v="43"/>
    <x v="0"/>
    <x v="1"/>
    <x v="2"/>
    <n v="66"/>
    <n v="0"/>
  </r>
  <r>
    <n v="3118"/>
    <x v="49"/>
    <x v="1"/>
    <s v="Hoodie"/>
    <x v="0"/>
    <n v="50"/>
    <s v="Florida"/>
    <s v="M"/>
    <s v="Olive"/>
    <x v="3"/>
    <x v="21"/>
    <s v="No"/>
    <x v="1"/>
    <x v="1"/>
    <x v="1"/>
    <x v="7"/>
    <x v="3"/>
    <x v="4"/>
    <x v="2"/>
    <n v="50"/>
    <n v="0"/>
  </r>
  <r>
    <n v="3119"/>
    <x v="12"/>
    <x v="1"/>
    <s v="Shorts"/>
    <x v="0"/>
    <n v="97"/>
    <s v="Virginia"/>
    <s v="L"/>
    <s v="Blue"/>
    <x v="2"/>
    <x v="10"/>
    <s v="No"/>
    <x v="3"/>
    <x v="1"/>
    <x v="1"/>
    <x v="4"/>
    <x v="5"/>
    <x v="3"/>
    <x v="0"/>
    <n v="97"/>
    <n v="0"/>
  </r>
  <r>
    <n v="3120"/>
    <x v="6"/>
    <x v="1"/>
    <s v="Sandals"/>
    <x v="1"/>
    <n v="79"/>
    <s v="Louisiana"/>
    <s v="XL"/>
    <s v="Silver"/>
    <x v="0"/>
    <x v="10"/>
    <s v="No"/>
    <x v="4"/>
    <x v="1"/>
    <x v="1"/>
    <x v="33"/>
    <x v="2"/>
    <x v="6"/>
    <x v="0"/>
    <n v="79"/>
    <n v="0"/>
  </r>
  <r>
    <n v="3121"/>
    <x v="5"/>
    <x v="1"/>
    <s v="Shirt"/>
    <x v="0"/>
    <n v="76"/>
    <s v="Louisiana"/>
    <s v="M"/>
    <s v="Magenta"/>
    <x v="3"/>
    <x v="17"/>
    <s v="No"/>
    <x v="5"/>
    <x v="1"/>
    <x v="1"/>
    <x v="18"/>
    <x v="5"/>
    <x v="0"/>
    <x v="2"/>
    <n v="76"/>
    <n v="0"/>
  </r>
  <r>
    <n v="3122"/>
    <x v="6"/>
    <x v="1"/>
    <s v="Hoodie"/>
    <x v="0"/>
    <n v="38"/>
    <s v="Louisiana"/>
    <s v="L"/>
    <s v="Black"/>
    <x v="3"/>
    <x v="5"/>
    <s v="No"/>
    <x v="3"/>
    <x v="1"/>
    <x v="1"/>
    <x v="20"/>
    <x v="0"/>
    <x v="1"/>
    <x v="0"/>
    <n v="38"/>
    <n v="0"/>
  </r>
  <r>
    <n v="3123"/>
    <x v="51"/>
    <x v="1"/>
    <s v="Socks"/>
    <x v="0"/>
    <n v="45"/>
    <s v="Georgia"/>
    <s v="M"/>
    <s v="Pink"/>
    <x v="3"/>
    <x v="21"/>
    <s v="No"/>
    <x v="0"/>
    <x v="1"/>
    <x v="1"/>
    <x v="11"/>
    <x v="2"/>
    <x v="0"/>
    <x v="1"/>
    <n v="45"/>
    <n v="0"/>
  </r>
  <r>
    <n v="3124"/>
    <x v="9"/>
    <x v="1"/>
    <s v="Handbag"/>
    <x v="3"/>
    <n v="77"/>
    <s v="Iowa"/>
    <s v="XL"/>
    <s v="Red"/>
    <x v="3"/>
    <x v="13"/>
    <s v="No"/>
    <x v="2"/>
    <x v="1"/>
    <x v="1"/>
    <x v="19"/>
    <x v="0"/>
    <x v="4"/>
    <x v="0"/>
    <n v="77"/>
    <n v="0"/>
  </r>
  <r>
    <n v="3125"/>
    <x v="9"/>
    <x v="1"/>
    <s v="Jewelry"/>
    <x v="3"/>
    <n v="51"/>
    <s v="California"/>
    <s v="M"/>
    <s v="Peach"/>
    <x v="2"/>
    <x v="23"/>
    <s v="No"/>
    <x v="3"/>
    <x v="1"/>
    <x v="1"/>
    <x v="7"/>
    <x v="1"/>
    <x v="6"/>
    <x v="0"/>
    <n v="51"/>
    <n v="0"/>
  </r>
  <r>
    <n v="3126"/>
    <x v="23"/>
    <x v="1"/>
    <s v="Coat"/>
    <x v="2"/>
    <n v="26"/>
    <s v="Oregon"/>
    <s v="L"/>
    <s v="Lavender"/>
    <x v="1"/>
    <x v="17"/>
    <s v="No"/>
    <x v="3"/>
    <x v="1"/>
    <x v="1"/>
    <x v="35"/>
    <x v="1"/>
    <x v="3"/>
    <x v="2"/>
    <n v="26"/>
    <n v="0"/>
  </r>
  <r>
    <n v="3127"/>
    <x v="9"/>
    <x v="1"/>
    <s v="Sunglasses"/>
    <x v="3"/>
    <n v="76"/>
    <s v="Maine"/>
    <s v="L"/>
    <s v="Lavender"/>
    <x v="0"/>
    <x v="5"/>
    <s v="No"/>
    <x v="5"/>
    <x v="1"/>
    <x v="1"/>
    <x v="40"/>
    <x v="4"/>
    <x v="4"/>
    <x v="0"/>
    <n v="76"/>
    <n v="0"/>
  </r>
  <r>
    <n v="3128"/>
    <x v="0"/>
    <x v="1"/>
    <s v="Gloves"/>
    <x v="3"/>
    <n v="94"/>
    <s v="Louisiana"/>
    <s v="M"/>
    <s v="Beige"/>
    <x v="0"/>
    <x v="23"/>
    <s v="No"/>
    <x v="1"/>
    <x v="1"/>
    <x v="1"/>
    <x v="34"/>
    <x v="2"/>
    <x v="6"/>
    <x v="0"/>
    <n v="94"/>
    <n v="0"/>
  </r>
  <r>
    <n v="3129"/>
    <x v="13"/>
    <x v="1"/>
    <s v="Jacket"/>
    <x v="2"/>
    <n v="32"/>
    <s v="Arkansas"/>
    <s v="S"/>
    <s v="Indigo"/>
    <x v="3"/>
    <x v="14"/>
    <s v="No"/>
    <x v="3"/>
    <x v="1"/>
    <x v="1"/>
    <x v="41"/>
    <x v="1"/>
    <x v="2"/>
    <x v="0"/>
    <n v="32"/>
    <n v="0"/>
  </r>
  <r>
    <n v="3130"/>
    <x v="52"/>
    <x v="1"/>
    <s v="Sandals"/>
    <x v="1"/>
    <n v="20"/>
    <s v="Maryland"/>
    <s v="S"/>
    <s v="Cyan"/>
    <x v="2"/>
    <x v="10"/>
    <s v="No"/>
    <x v="0"/>
    <x v="1"/>
    <x v="1"/>
    <x v="19"/>
    <x v="0"/>
    <x v="6"/>
    <x v="0"/>
    <n v="20"/>
    <n v="0"/>
  </r>
  <r>
    <n v="3131"/>
    <x v="16"/>
    <x v="1"/>
    <s v="Pants"/>
    <x v="0"/>
    <n v="20"/>
    <s v="Vermont"/>
    <s v="M"/>
    <s v="Yellow"/>
    <x v="2"/>
    <x v="9"/>
    <s v="No"/>
    <x v="5"/>
    <x v="1"/>
    <x v="1"/>
    <x v="11"/>
    <x v="0"/>
    <x v="6"/>
    <x v="0"/>
    <n v="20"/>
    <n v="0"/>
  </r>
  <r>
    <n v="3132"/>
    <x v="50"/>
    <x v="1"/>
    <s v="Jacket"/>
    <x v="2"/>
    <n v="59"/>
    <s v="North Dakota"/>
    <s v="M"/>
    <s v="Peach"/>
    <x v="3"/>
    <x v="3"/>
    <s v="No"/>
    <x v="5"/>
    <x v="1"/>
    <x v="1"/>
    <x v="47"/>
    <x v="4"/>
    <x v="6"/>
    <x v="2"/>
    <n v="59"/>
    <n v="0"/>
  </r>
  <r>
    <n v="3133"/>
    <x v="23"/>
    <x v="1"/>
    <s v="Sweater"/>
    <x v="0"/>
    <n v="97"/>
    <s v="Michigan"/>
    <s v="M"/>
    <s v="Yellow"/>
    <x v="2"/>
    <x v="19"/>
    <s v="No"/>
    <x v="0"/>
    <x v="1"/>
    <x v="1"/>
    <x v="8"/>
    <x v="1"/>
    <x v="3"/>
    <x v="2"/>
    <n v="97"/>
    <n v="0"/>
  </r>
  <r>
    <n v="3134"/>
    <x v="44"/>
    <x v="1"/>
    <s v="T-shirt"/>
    <x v="0"/>
    <n v="68"/>
    <s v="Arkansas"/>
    <s v="M"/>
    <s v="Orange"/>
    <x v="1"/>
    <x v="7"/>
    <s v="No"/>
    <x v="2"/>
    <x v="1"/>
    <x v="1"/>
    <x v="32"/>
    <x v="1"/>
    <x v="4"/>
    <x v="0"/>
    <n v="68"/>
    <n v="0"/>
  </r>
  <r>
    <n v="3135"/>
    <x v="25"/>
    <x v="1"/>
    <s v="Boots"/>
    <x v="1"/>
    <n v="66"/>
    <s v="Kentucky"/>
    <s v="L"/>
    <s v="Gray"/>
    <x v="1"/>
    <x v="14"/>
    <s v="No"/>
    <x v="5"/>
    <x v="1"/>
    <x v="1"/>
    <x v="39"/>
    <x v="4"/>
    <x v="1"/>
    <x v="2"/>
    <n v="66"/>
    <n v="0"/>
  </r>
  <r>
    <n v="3136"/>
    <x v="33"/>
    <x v="1"/>
    <s v="Shoes"/>
    <x v="1"/>
    <n v="85"/>
    <s v="Indiana"/>
    <s v="L"/>
    <s v="Yellow"/>
    <x v="1"/>
    <x v="10"/>
    <s v="No"/>
    <x v="1"/>
    <x v="1"/>
    <x v="1"/>
    <x v="26"/>
    <x v="0"/>
    <x v="0"/>
    <x v="0"/>
    <n v="85"/>
    <n v="0"/>
  </r>
  <r>
    <n v="3137"/>
    <x v="44"/>
    <x v="1"/>
    <s v="Skirt"/>
    <x v="0"/>
    <n v="32"/>
    <s v="Minnesota"/>
    <s v="M"/>
    <s v="Gray"/>
    <x v="3"/>
    <x v="0"/>
    <s v="No"/>
    <x v="2"/>
    <x v="1"/>
    <x v="1"/>
    <x v="32"/>
    <x v="1"/>
    <x v="4"/>
    <x v="0"/>
    <n v="32"/>
    <n v="0"/>
  </r>
  <r>
    <n v="3138"/>
    <x v="50"/>
    <x v="1"/>
    <s v="Coat"/>
    <x v="2"/>
    <n v="44"/>
    <s v="Louisiana"/>
    <s v="M"/>
    <s v="Turquoise"/>
    <x v="1"/>
    <x v="2"/>
    <s v="No"/>
    <x v="4"/>
    <x v="1"/>
    <x v="1"/>
    <x v="0"/>
    <x v="4"/>
    <x v="5"/>
    <x v="2"/>
    <n v="44"/>
    <n v="0"/>
  </r>
  <r>
    <n v="3139"/>
    <x v="36"/>
    <x v="1"/>
    <s v="Blouse"/>
    <x v="0"/>
    <n v="95"/>
    <s v="Kentucky"/>
    <s v="L"/>
    <s v="Gray"/>
    <x v="3"/>
    <x v="12"/>
    <s v="No"/>
    <x v="2"/>
    <x v="1"/>
    <x v="1"/>
    <x v="19"/>
    <x v="1"/>
    <x v="6"/>
    <x v="2"/>
    <n v="95"/>
    <n v="0"/>
  </r>
  <r>
    <n v="3140"/>
    <x v="25"/>
    <x v="1"/>
    <s v="Sunglasses"/>
    <x v="3"/>
    <n v="85"/>
    <s v="Georgia"/>
    <s v="M"/>
    <s v="Olive"/>
    <x v="0"/>
    <x v="14"/>
    <s v="No"/>
    <x v="2"/>
    <x v="1"/>
    <x v="1"/>
    <x v="7"/>
    <x v="0"/>
    <x v="1"/>
    <x v="2"/>
    <n v="85"/>
    <n v="0"/>
  </r>
  <r>
    <n v="3141"/>
    <x v="50"/>
    <x v="1"/>
    <s v="Gloves"/>
    <x v="3"/>
    <n v="44"/>
    <s v="Alaska"/>
    <s v="XL"/>
    <s v="Peach"/>
    <x v="2"/>
    <x v="12"/>
    <s v="No"/>
    <x v="1"/>
    <x v="1"/>
    <x v="1"/>
    <x v="10"/>
    <x v="4"/>
    <x v="1"/>
    <x v="2"/>
    <n v="44"/>
    <n v="0"/>
  </r>
  <r>
    <n v="3142"/>
    <x v="24"/>
    <x v="1"/>
    <s v="Sunglasses"/>
    <x v="3"/>
    <n v="30"/>
    <s v="Mississippi"/>
    <s v="S"/>
    <s v="Peach"/>
    <x v="0"/>
    <x v="8"/>
    <s v="No"/>
    <x v="0"/>
    <x v="1"/>
    <x v="1"/>
    <x v="39"/>
    <x v="2"/>
    <x v="4"/>
    <x v="2"/>
    <n v="30"/>
    <n v="0"/>
  </r>
  <r>
    <n v="3143"/>
    <x v="51"/>
    <x v="1"/>
    <s v="Sneakers"/>
    <x v="1"/>
    <n v="21"/>
    <s v="Kansas"/>
    <s v="L"/>
    <s v="Magenta"/>
    <x v="0"/>
    <x v="17"/>
    <s v="No"/>
    <x v="4"/>
    <x v="1"/>
    <x v="1"/>
    <x v="43"/>
    <x v="0"/>
    <x v="3"/>
    <x v="1"/>
    <n v="21"/>
    <n v="0"/>
  </r>
  <r>
    <n v="3144"/>
    <x v="33"/>
    <x v="1"/>
    <s v="Hoodie"/>
    <x v="0"/>
    <n v="22"/>
    <s v="Arizona"/>
    <s v="M"/>
    <s v="Purple"/>
    <x v="2"/>
    <x v="3"/>
    <s v="No"/>
    <x v="5"/>
    <x v="1"/>
    <x v="1"/>
    <x v="8"/>
    <x v="1"/>
    <x v="3"/>
    <x v="0"/>
    <n v="22"/>
    <n v="0"/>
  </r>
  <r>
    <n v="3145"/>
    <x v="51"/>
    <x v="1"/>
    <s v="Boots"/>
    <x v="1"/>
    <n v="70"/>
    <s v="Maine"/>
    <s v="L"/>
    <s v="Beige"/>
    <x v="1"/>
    <x v="5"/>
    <s v="No"/>
    <x v="1"/>
    <x v="1"/>
    <x v="1"/>
    <x v="45"/>
    <x v="5"/>
    <x v="3"/>
    <x v="1"/>
    <n v="70"/>
    <n v="0"/>
  </r>
  <r>
    <n v="3146"/>
    <x v="9"/>
    <x v="1"/>
    <s v="Handbag"/>
    <x v="3"/>
    <n v="29"/>
    <s v="Texas"/>
    <s v="XL"/>
    <s v="Purple"/>
    <x v="1"/>
    <x v="12"/>
    <s v="No"/>
    <x v="3"/>
    <x v="1"/>
    <x v="1"/>
    <x v="20"/>
    <x v="3"/>
    <x v="0"/>
    <x v="0"/>
    <n v="29"/>
    <n v="0"/>
  </r>
  <r>
    <n v="3147"/>
    <x v="3"/>
    <x v="1"/>
    <s v="Shirt"/>
    <x v="0"/>
    <n v="83"/>
    <s v="Virginia"/>
    <s v="S"/>
    <s v="Yellow"/>
    <x v="0"/>
    <x v="8"/>
    <s v="No"/>
    <x v="1"/>
    <x v="1"/>
    <x v="1"/>
    <x v="5"/>
    <x v="3"/>
    <x v="2"/>
    <x v="1"/>
    <n v="83"/>
    <n v="0"/>
  </r>
  <r>
    <n v="3148"/>
    <x v="4"/>
    <x v="1"/>
    <s v="Sweater"/>
    <x v="0"/>
    <n v="99"/>
    <s v="North Dakota"/>
    <s v="M"/>
    <s v="Pink"/>
    <x v="0"/>
    <x v="24"/>
    <s v="No"/>
    <x v="0"/>
    <x v="1"/>
    <x v="1"/>
    <x v="33"/>
    <x v="2"/>
    <x v="1"/>
    <x v="2"/>
    <n v="99"/>
    <n v="0"/>
  </r>
  <r>
    <n v="3149"/>
    <x v="43"/>
    <x v="1"/>
    <s v="Shorts"/>
    <x v="0"/>
    <n v="35"/>
    <s v="West Virginia"/>
    <s v="L"/>
    <s v="Purple"/>
    <x v="3"/>
    <x v="24"/>
    <s v="No"/>
    <x v="1"/>
    <x v="1"/>
    <x v="1"/>
    <x v="28"/>
    <x v="0"/>
    <x v="1"/>
    <x v="2"/>
    <n v="35"/>
    <n v="0"/>
  </r>
  <r>
    <n v="3150"/>
    <x v="20"/>
    <x v="1"/>
    <s v="Belt"/>
    <x v="3"/>
    <n v="40"/>
    <s v="North Carolina"/>
    <s v="M"/>
    <s v="Lavender"/>
    <x v="0"/>
    <x v="12"/>
    <s v="No"/>
    <x v="1"/>
    <x v="1"/>
    <x v="1"/>
    <x v="44"/>
    <x v="0"/>
    <x v="2"/>
    <x v="1"/>
    <n v="40"/>
    <n v="0"/>
  </r>
  <r>
    <n v="3151"/>
    <x v="0"/>
    <x v="1"/>
    <s v="Blouse"/>
    <x v="0"/>
    <n v="25"/>
    <s v="Georgia"/>
    <s v="M"/>
    <s v="Peach"/>
    <x v="1"/>
    <x v="5"/>
    <s v="No"/>
    <x v="0"/>
    <x v="1"/>
    <x v="1"/>
    <x v="22"/>
    <x v="4"/>
    <x v="4"/>
    <x v="0"/>
    <n v="25"/>
    <n v="0"/>
  </r>
  <r>
    <n v="3152"/>
    <x v="16"/>
    <x v="1"/>
    <s v="T-shirt"/>
    <x v="0"/>
    <n v="64"/>
    <s v="New Mexico"/>
    <s v="L"/>
    <s v="Orange"/>
    <x v="3"/>
    <x v="0"/>
    <s v="No"/>
    <x v="4"/>
    <x v="1"/>
    <x v="1"/>
    <x v="39"/>
    <x v="4"/>
    <x v="3"/>
    <x v="0"/>
    <n v="64"/>
    <n v="0"/>
  </r>
  <r>
    <n v="3153"/>
    <x v="34"/>
    <x v="1"/>
    <s v="Belt"/>
    <x v="3"/>
    <n v="90"/>
    <s v="North Carolina"/>
    <s v="M"/>
    <s v="Red"/>
    <x v="3"/>
    <x v="0"/>
    <s v="No"/>
    <x v="5"/>
    <x v="1"/>
    <x v="1"/>
    <x v="14"/>
    <x v="3"/>
    <x v="5"/>
    <x v="2"/>
    <n v="90"/>
    <n v="0"/>
  </r>
  <r>
    <n v="3154"/>
    <x v="19"/>
    <x v="1"/>
    <s v="Socks"/>
    <x v="0"/>
    <n v="88"/>
    <s v="Alabama"/>
    <s v="L"/>
    <s v="Red"/>
    <x v="3"/>
    <x v="0"/>
    <s v="No"/>
    <x v="2"/>
    <x v="1"/>
    <x v="1"/>
    <x v="15"/>
    <x v="0"/>
    <x v="0"/>
    <x v="0"/>
    <n v="88"/>
    <n v="0"/>
  </r>
  <r>
    <n v="3155"/>
    <x v="7"/>
    <x v="1"/>
    <s v="Belt"/>
    <x v="3"/>
    <n v="55"/>
    <s v="Connecticut"/>
    <s v="M"/>
    <s v="Gold"/>
    <x v="0"/>
    <x v="14"/>
    <s v="No"/>
    <x v="3"/>
    <x v="1"/>
    <x v="1"/>
    <x v="18"/>
    <x v="1"/>
    <x v="3"/>
    <x v="2"/>
    <n v="55"/>
    <n v="0"/>
  </r>
  <r>
    <n v="3156"/>
    <x v="40"/>
    <x v="1"/>
    <s v="Handbag"/>
    <x v="3"/>
    <n v="90"/>
    <s v="Montana"/>
    <s v="M"/>
    <s v="Brown"/>
    <x v="3"/>
    <x v="24"/>
    <s v="No"/>
    <x v="1"/>
    <x v="1"/>
    <x v="1"/>
    <x v="11"/>
    <x v="1"/>
    <x v="2"/>
    <x v="1"/>
    <n v="90"/>
    <n v="0"/>
  </r>
  <r>
    <n v="3157"/>
    <x v="20"/>
    <x v="1"/>
    <s v="Shirt"/>
    <x v="0"/>
    <n v="50"/>
    <s v="Montana"/>
    <s v="M"/>
    <s v="Black"/>
    <x v="0"/>
    <x v="0"/>
    <s v="No"/>
    <x v="4"/>
    <x v="1"/>
    <x v="1"/>
    <x v="27"/>
    <x v="1"/>
    <x v="5"/>
    <x v="1"/>
    <n v="50"/>
    <n v="0"/>
  </r>
  <r>
    <n v="3158"/>
    <x v="3"/>
    <x v="1"/>
    <s v="Belt"/>
    <x v="3"/>
    <n v="34"/>
    <s v="Maine"/>
    <s v="L"/>
    <s v="Red"/>
    <x v="3"/>
    <x v="0"/>
    <s v="No"/>
    <x v="5"/>
    <x v="1"/>
    <x v="1"/>
    <x v="36"/>
    <x v="5"/>
    <x v="0"/>
    <x v="1"/>
    <n v="34"/>
    <n v="0"/>
  </r>
  <r>
    <n v="3159"/>
    <x v="11"/>
    <x v="1"/>
    <s v="Jewelry"/>
    <x v="3"/>
    <n v="77"/>
    <s v="Mississippi"/>
    <s v="M"/>
    <s v="Gray"/>
    <x v="0"/>
    <x v="8"/>
    <s v="No"/>
    <x v="4"/>
    <x v="1"/>
    <x v="1"/>
    <x v="12"/>
    <x v="2"/>
    <x v="5"/>
    <x v="2"/>
    <n v="77"/>
    <n v="0"/>
  </r>
  <r>
    <n v="3160"/>
    <x v="46"/>
    <x v="1"/>
    <s v="Hat"/>
    <x v="3"/>
    <n v="89"/>
    <s v="Louisiana"/>
    <s v="L"/>
    <s v="Pink"/>
    <x v="0"/>
    <x v="3"/>
    <s v="No"/>
    <x v="5"/>
    <x v="1"/>
    <x v="1"/>
    <x v="7"/>
    <x v="4"/>
    <x v="3"/>
    <x v="0"/>
    <n v="89"/>
    <n v="0"/>
  </r>
  <r>
    <n v="3161"/>
    <x v="48"/>
    <x v="1"/>
    <s v="Backpack"/>
    <x v="3"/>
    <n v="87"/>
    <s v="Nebraska"/>
    <s v="XL"/>
    <s v="Turquoise"/>
    <x v="3"/>
    <x v="22"/>
    <s v="No"/>
    <x v="2"/>
    <x v="1"/>
    <x v="1"/>
    <x v="10"/>
    <x v="1"/>
    <x v="0"/>
    <x v="2"/>
    <n v="87"/>
    <n v="0"/>
  </r>
  <r>
    <n v="3162"/>
    <x v="17"/>
    <x v="1"/>
    <s v="Dress"/>
    <x v="0"/>
    <n v="77"/>
    <s v="Massachusetts"/>
    <s v="S"/>
    <s v="Charcoal"/>
    <x v="0"/>
    <x v="19"/>
    <s v="No"/>
    <x v="4"/>
    <x v="1"/>
    <x v="1"/>
    <x v="34"/>
    <x v="1"/>
    <x v="5"/>
    <x v="0"/>
    <n v="77"/>
    <n v="0"/>
  </r>
  <r>
    <n v="3163"/>
    <x v="17"/>
    <x v="1"/>
    <s v="Shoes"/>
    <x v="1"/>
    <n v="85"/>
    <s v="Wisconsin"/>
    <s v="L"/>
    <s v="Blue"/>
    <x v="0"/>
    <x v="20"/>
    <s v="No"/>
    <x v="3"/>
    <x v="1"/>
    <x v="1"/>
    <x v="40"/>
    <x v="4"/>
    <x v="3"/>
    <x v="0"/>
    <n v="85"/>
    <n v="0"/>
  </r>
  <r>
    <n v="3164"/>
    <x v="34"/>
    <x v="1"/>
    <s v="Pants"/>
    <x v="0"/>
    <n v="66"/>
    <s v="Nebraska"/>
    <s v="XL"/>
    <s v="Turquoise"/>
    <x v="2"/>
    <x v="11"/>
    <s v="No"/>
    <x v="0"/>
    <x v="1"/>
    <x v="1"/>
    <x v="13"/>
    <x v="1"/>
    <x v="5"/>
    <x v="2"/>
    <n v="66"/>
    <n v="0"/>
  </r>
  <r>
    <n v="3165"/>
    <x v="37"/>
    <x v="1"/>
    <s v="Dress"/>
    <x v="0"/>
    <n v="32"/>
    <s v="Arizona"/>
    <s v="L"/>
    <s v="Silver"/>
    <x v="0"/>
    <x v="5"/>
    <s v="No"/>
    <x v="3"/>
    <x v="1"/>
    <x v="1"/>
    <x v="20"/>
    <x v="2"/>
    <x v="2"/>
    <x v="2"/>
    <n v="32"/>
    <n v="0"/>
  </r>
  <r>
    <n v="3166"/>
    <x v="34"/>
    <x v="1"/>
    <s v="Jacket"/>
    <x v="2"/>
    <n v="92"/>
    <s v="Hawaii"/>
    <s v="M"/>
    <s v="Lavender"/>
    <x v="1"/>
    <x v="21"/>
    <s v="No"/>
    <x v="5"/>
    <x v="1"/>
    <x v="1"/>
    <x v="25"/>
    <x v="4"/>
    <x v="6"/>
    <x v="2"/>
    <n v="92"/>
    <n v="0"/>
  </r>
  <r>
    <n v="3167"/>
    <x v="1"/>
    <x v="1"/>
    <s v="Shirt"/>
    <x v="0"/>
    <n v="80"/>
    <s v="Georgia"/>
    <s v="M"/>
    <s v="Gold"/>
    <x v="0"/>
    <x v="2"/>
    <s v="No"/>
    <x v="2"/>
    <x v="1"/>
    <x v="1"/>
    <x v="10"/>
    <x v="4"/>
    <x v="0"/>
    <x v="1"/>
    <n v="80"/>
    <n v="0"/>
  </r>
  <r>
    <n v="3168"/>
    <x v="41"/>
    <x v="1"/>
    <s v="Dress"/>
    <x v="0"/>
    <n v="78"/>
    <s v="Oregon"/>
    <s v="M"/>
    <s v="Blue"/>
    <x v="3"/>
    <x v="11"/>
    <s v="No"/>
    <x v="4"/>
    <x v="1"/>
    <x v="1"/>
    <x v="44"/>
    <x v="1"/>
    <x v="4"/>
    <x v="1"/>
    <n v="78"/>
    <n v="0"/>
  </r>
  <r>
    <n v="3169"/>
    <x v="18"/>
    <x v="1"/>
    <s v="Jeans"/>
    <x v="0"/>
    <n v="24"/>
    <s v="Montana"/>
    <s v="M"/>
    <s v="Orange"/>
    <x v="1"/>
    <x v="3"/>
    <s v="No"/>
    <x v="4"/>
    <x v="1"/>
    <x v="1"/>
    <x v="0"/>
    <x v="3"/>
    <x v="0"/>
    <x v="2"/>
    <n v="24"/>
    <n v="0"/>
  </r>
  <r>
    <n v="3170"/>
    <x v="25"/>
    <x v="1"/>
    <s v="T-shirt"/>
    <x v="0"/>
    <n v="59"/>
    <s v="Georgia"/>
    <s v="M"/>
    <s v="White"/>
    <x v="3"/>
    <x v="22"/>
    <s v="No"/>
    <x v="1"/>
    <x v="1"/>
    <x v="1"/>
    <x v="35"/>
    <x v="0"/>
    <x v="1"/>
    <x v="2"/>
    <n v="59"/>
    <n v="0"/>
  </r>
  <r>
    <n v="3171"/>
    <x v="13"/>
    <x v="1"/>
    <s v="Sunglasses"/>
    <x v="3"/>
    <n v="41"/>
    <s v="Rhode Island"/>
    <s v="XL"/>
    <s v="Charcoal"/>
    <x v="1"/>
    <x v="14"/>
    <s v="No"/>
    <x v="0"/>
    <x v="1"/>
    <x v="1"/>
    <x v="9"/>
    <x v="2"/>
    <x v="0"/>
    <x v="0"/>
    <n v="41"/>
    <n v="0"/>
  </r>
  <r>
    <n v="3172"/>
    <x v="33"/>
    <x v="1"/>
    <s v="Jewelry"/>
    <x v="3"/>
    <n v="26"/>
    <s v="Tennessee"/>
    <s v="M"/>
    <s v="Maroon"/>
    <x v="1"/>
    <x v="0"/>
    <s v="No"/>
    <x v="0"/>
    <x v="1"/>
    <x v="1"/>
    <x v="8"/>
    <x v="4"/>
    <x v="4"/>
    <x v="0"/>
    <n v="26"/>
    <n v="0"/>
  </r>
  <r>
    <n v="3173"/>
    <x v="9"/>
    <x v="1"/>
    <s v="Socks"/>
    <x v="0"/>
    <n v="52"/>
    <s v="Missouri"/>
    <s v="M"/>
    <s v="Olive"/>
    <x v="3"/>
    <x v="18"/>
    <s v="No"/>
    <x v="3"/>
    <x v="1"/>
    <x v="1"/>
    <x v="48"/>
    <x v="5"/>
    <x v="4"/>
    <x v="0"/>
    <n v="52"/>
    <n v="0"/>
  </r>
  <r>
    <n v="3174"/>
    <x v="28"/>
    <x v="1"/>
    <s v="Skirt"/>
    <x v="0"/>
    <n v="46"/>
    <s v="Washington"/>
    <s v="L"/>
    <s v="Teal"/>
    <x v="2"/>
    <x v="8"/>
    <s v="No"/>
    <x v="2"/>
    <x v="1"/>
    <x v="1"/>
    <x v="18"/>
    <x v="3"/>
    <x v="0"/>
    <x v="0"/>
    <n v="46"/>
    <n v="0"/>
  </r>
  <r>
    <n v="3175"/>
    <x v="4"/>
    <x v="1"/>
    <s v="Pants"/>
    <x v="0"/>
    <n v="52"/>
    <s v="Oklahoma"/>
    <s v="L"/>
    <s v="Orange"/>
    <x v="0"/>
    <x v="22"/>
    <s v="No"/>
    <x v="5"/>
    <x v="1"/>
    <x v="1"/>
    <x v="31"/>
    <x v="3"/>
    <x v="5"/>
    <x v="2"/>
    <n v="52"/>
    <n v="0"/>
  </r>
  <r>
    <n v="3176"/>
    <x v="25"/>
    <x v="1"/>
    <s v="Socks"/>
    <x v="0"/>
    <n v="42"/>
    <s v="Connecticut"/>
    <s v="M"/>
    <s v="Maroon"/>
    <x v="3"/>
    <x v="23"/>
    <s v="No"/>
    <x v="5"/>
    <x v="1"/>
    <x v="1"/>
    <x v="8"/>
    <x v="5"/>
    <x v="6"/>
    <x v="2"/>
    <n v="42"/>
    <n v="0"/>
  </r>
  <r>
    <n v="3177"/>
    <x v="24"/>
    <x v="1"/>
    <s v="Sandals"/>
    <x v="1"/>
    <n v="37"/>
    <s v="Arkansas"/>
    <s v="XL"/>
    <s v="Turquoise"/>
    <x v="1"/>
    <x v="12"/>
    <s v="No"/>
    <x v="4"/>
    <x v="1"/>
    <x v="1"/>
    <x v="30"/>
    <x v="2"/>
    <x v="5"/>
    <x v="2"/>
    <n v="37"/>
    <n v="0"/>
  </r>
  <r>
    <n v="3178"/>
    <x v="0"/>
    <x v="1"/>
    <s v="Belt"/>
    <x v="3"/>
    <n v="52"/>
    <s v="Missouri"/>
    <s v="L"/>
    <s v="Beige"/>
    <x v="3"/>
    <x v="4"/>
    <s v="No"/>
    <x v="3"/>
    <x v="1"/>
    <x v="1"/>
    <x v="4"/>
    <x v="2"/>
    <x v="5"/>
    <x v="0"/>
    <n v="52"/>
    <n v="0"/>
  </r>
  <r>
    <n v="3179"/>
    <x v="17"/>
    <x v="1"/>
    <s v="Sandals"/>
    <x v="1"/>
    <n v="34"/>
    <s v="Washington"/>
    <s v="L"/>
    <s v="Beige"/>
    <x v="1"/>
    <x v="2"/>
    <s v="No"/>
    <x v="1"/>
    <x v="1"/>
    <x v="1"/>
    <x v="40"/>
    <x v="2"/>
    <x v="2"/>
    <x v="0"/>
    <n v="34"/>
    <n v="0"/>
  </r>
  <r>
    <n v="3180"/>
    <x v="9"/>
    <x v="1"/>
    <s v="Shorts"/>
    <x v="0"/>
    <n v="88"/>
    <s v="Idaho"/>
    <s v="M"/>
    <s v="Olive"/>
    <x v="1"/>
    <x v="24"/>
    <s v="No"/>
    <x v="1"/>
    <x v="1"/>
    <x v="1"/>
    <x v="45"/>
    <x v="5"/>
    <x v="4"/>
    <x v="0"/>
    <n v="88"/>
    <n v="0"/>
  </r>
  <r>
    <n v="3181"/>
    <x v="20"/>
    <x v="1"/>
    <s v="Handbag"/>
    <x v="3"/>
    <n v="88"/>
    <s v="Montana"/>
    <s v="L"/>
    <s v="Turquoise"/>
    <x v="3"/>
    <x v="22"/>
    <s v="No"/>
    <x v="3"/>
    <x v="1"/>
    <x v="1"/>
    <x v="15"/>
    <x v="3"/>
    <x v="1"/>
    <x v="1"/>
    <n v="88"/>
    <n v="0"/>
  </r>
  <r>
    <n v="3182"/>
    <x v="18"/>
    <x v="1"/>
    <s v="Jacket"/>
    <x v="2"/>
    <n v="51"/>
    <s v="Montana"/>
    <s v="M"/>
    <s v="Charcoal"/>
    <x v="2"/>
    <x v="14"/>
    <s v="No"/>
    <x v="1"/>
    <x v="1"/>
    <x v="1"/>
    <x v="46"/>
    <x v="3"/>
    <x v="6"/>
    <x v="2"/>
    <n v="51"/>
    <n v="0"/>
  </r>
  <r>
    <n v="3183"/>
    <x v="2"/>
    <x v="1"/>
    <s v="Sunglasses"/>
    <x v="3"/>
    <n v="97"/>
    <s v="Georgia"/>
    <s v="L"/>
    <s v="Green"/>
    <x v="3"/>
    <x v="15"/>
    <s v="No"/>
    <x v="1"/>
    <x v="1"/>
    <x v="1"/>
    <x v="7"/>
    <x v="2"/>
    <x v="2"/>
    <x v="2"/>
    <n v="97"/>
    <n v="0"/>
  </r>
  <r>
    <n v="3184"/>
    <x v="2"/>
    <x v="1"/>
    <s v="Sneakers"/>
    <x v="1"/>
    <n v="56"/>
    <s v="Mississippi"/>
    <s v="M"/>
    <s v="Green"/>
    <x v="0"/>
    <x v="1"/>
    <s v="No"/>
    <x v="3"/>
    <x v="1"/>
    <x v="1"/>
    <x v="0"/>
    <x v="1"/>
    <x v="6"/>
    <x v="2"/>
    <n v="56"/>
    <n v="0"/>
  </r>
  <r>
    <n v="3185"/>
    <x v="12"/>
    <x v="1"/>
    <s v="Sweater"/>
    <x v="0"/>
    <n v="53"/>
    <s v="Hawaii"/>
    <s v="L"/>
    <s v="Green"/>
    <x v="1"/>
    <x v="19"/>
    <s v="No"/>
    <x v="4"/>
    <x v="1"/>
    <x v="1"/>
    <x v="48"/>
    <x v="0"/>
    <x v="3"/>
    <x v="0"/>
    <n v="53"/>
    <n v="0"/>
  </r>
  <r>
    <n v="3186"/>
    <x v="16"/>
    <x v="1"/>
    <s v="Skirt"/>
    <x v="0"/>
    <n v="71"/>
    <s v="Ohio"/>
    <s v="L"/>
    <s v="Gold"/>
    <x v="3"/>
    <x v="10"/>
    <s v="No"/>
    <x v="0"/>
    <x v="1"/>
    <x v="1"/>
    <x v="49"/>
    <x v="3"/>
    <x v="2"/>
    <x v="0"/>
    <n v="71"/>
    <n v="0"/>
  </r>
  <r>
    <n v="3187"/>
    <x v="21"/>
    <x v="1"/>
    <s v="Jewelry"/>
    <x v="3"/>
    <n v="93"/>
    <s v="Virginia"/>
    <s v="S"/>
    <s v="Cyan"/>
    <x v="0"/>
    <x v="6"/>
    <s v="No"/>
    <x v="5"/>
    <x v="1"/>
    <x v="1"/>
    <x v="34"/>
    <x v="0"/>
    <x v="2"/>
    <x v="2"/>
    <n v="93"/>
    <n v="0"/>
  </r>
  <r>
    <n v="3188"/>
    <x v="29"/>
    <x v="1"/>
    <s v="Blouse"/>
    <x v="0"/>
    <n v="72"/>
    <s v="Texas"/>
    <s v="L"/>
    <s v="Indigo"/>
    <x v="0"/>
    <x v="4"/>
    <s v="No"/>
    <x v="1"/>
    <x v="1"/>
    <x v="1"/>
    <x v="40"/>
    <x v="5"/>
    <x v="1"/>
    <x v="0"/>
    <n v="72"/>
    <n v="0"/>
  </r>
  <r>
    <n v="3189"/>
    <x v="32"/>
    <x v="1"/>
    <s v="Blouse"/>
    <x v="0"/>
    <n v="59"/>
    <s v="Vermont"/>
    <s v="M"/>
    <s v="Lavender"/>
    <x v="0"/>
    <x v="1"/>
    <s v="No"/>
    <x v="3"/>
    <x v="1"/>
    <x v="1"/>
    <x v="30"/>
    <x v="4"/>
    <x v="5"/>
    <x v="2"/>
    <n v="59"/>
    <n v="0"/>
  </r>
  <r>
    <n v="3190"/>
    <x v="15"/>
    <x v="1"/>
    <s v="Boots"/>
    <x v="1"/>
    <n v="87"/>
    <s v="Kansas"/>
    <s v="M"/>
    <s v="Beige"/>
    <x v="2"/>
    <x v="19"/>
    <s v="No"/>
    <x v="5"/>
    <x v="1"/>
    <x v="1"/>
    <x v="48"/>
    <x v="3"/>
    <x v="4"/>
    <x v="1"/>
    <n v="87"/>
    <n v="0"/>
  </r>
  <r>
    <n v="3191"/>
    <x v="38"/>
    <x v="1"/>
    <s v="Jeans"/>
    <x v="0"/>
    <n v="78"/>
    <s v="California"/>
    <s v="S"/>
    <s v="Purple"/>
    <x v="3"/>
    <x v="23"/>
    <s v="No"/>
    <x v="1"/>
    <x v="1"/>
    <x v="1"/>
    <x v="36"/>
    <x v="2"/>
    <x v="0"/>
    <x v="2"/>
    <n v="78"/>
    <n v="0"/>
  </r>
  <r>
    <n v="3192"/>
    <x v="46"/>
    <x v="1"/>
    <s v="Hoodie"/>
    <x v="0"/>
    <n v="68"/>
    <s v="Mississippi"/>
    <s v="XL"/>
    <s v="Maroon"/>
    <x v="0"/>
    <x v="10"/>
    <s v="No"/>
    <x v="5"/>
    <x v="1"/>
    <x v="1"/>
    <x v="38"/>
    <x v="2"/>
    <x v="6"/>
    <x v="0"/>
    <n v="68"/>
    <n v="0"/>
  </r>
  <r>
    <n v="3193"/>
    <x v="1"/>
    <x v="1"/>
    <s v="Sweater"/>
    <x v="0"/>
    <n v="76"/>
    <s v="Iowa"/>
    <s v="S"/>
    <s v="Maroon"/>
    <x v="3"/>
    <x v="21"/>
    <s v="No"/>
    <x v="1"/>
    <x v="1"/>
    <x v="1"/>
    <x v="41"/>
    <x v="1"/>
    <x v="0"/>
    <x v="1"/>
    <n v="76"/>
    <n v="0"/>
  </r>
  <r>
    <n v="3194"/>
    <x v="6"/>
    <x v="1"/>
    <s v="Gloves"/>
    <x v="3"/>
    <n v="99"/>
    <s v="Virginia"/>
    <s v="L"/>
    <s v="Teal"/>
    <x v="0"/>
    <x v="17"/>
    <s v="No"/>
    <x v="0"/>
    <x v="1"/>
    <x v="1"/>
    <x v="31"/>
    <x v="2"/>
    <x v="0"/>
    <x v="0"/>
    <n v="99"/>
    <n v="0"/>
  </r>
  <r>
    <n v="3195"/>
    <x v="49"/>
    <x v="1"/>
    <s v="Sneakers"/>
    <x v="1"/>
    <n v="52"/>
    <s v="Maryland"/>
    <s v="L"/>
    <s v="Gold"/>
    <x v="2"/>
    <x v="12"/>
    <s v="No"/>
    <x v="3"/>
    <x v="1"/>
    <x v="1"/>
    <x v="9"/>
    <x v="2"/>
    <x v="4"/>
    <x v="2"/>
    <n v="52"/>
    <n v="0"/>
  </r>
  <r>
    <n v="3196"/>
    <x v="33"/>
    <x v="1"/>
    <s v="Sunglasses"/>
    <x v="3"/>
    <n v="58"/>
    <s v="Missouri"/>
    <s v="S"/>
    <s v="Red"/>
    <x v="1"/>
    <x v="8"/>
    <s v="No"/>
    <x v="2"/>
    <x v="1"/>
    <x v="1"/>
    <x v="13"/>
    <x v="2"/>
    <x v="3"/>
    <x v="0"/>
    <n v="58"/>
    <n v="0"/>
  </r>
  <r>
    <n v="3197"/>
    <x v="41"/>
    <x v="1"/>
    <s v="Belt"/>
    <x v="3"/>
    <n v="59"/>
    <s v="Wisconsin"/>
    <s v="L"/>
    <s v="Maroon"/>
    <x v="0"/>
    <x v="11"/>
    <s v="No"/>
    <x v="0"/>
    <x v="1"/>
    <x v="1"/>
    <x v="33"/>
    <x v="5"/>
    <x v="0"/>
    <x v="1"/>
    <n v="59"/>
    <n v="0"/>
  </r>
  <r>
    <n v="3198"/>
    <x v="7"/>
    <x v="1"/>
    <s v="Sweater"/>
    <x v="0"/>
    <n v="71"/>
    <s v="Maine"/>
    <s v="M"/>
    <s v="Teal"/>
    <x v="1"/>
    <x v="4"/>
    <s v="No"/>
    <x v="1"/>
    <x v="1"/>
    <x v="1"/>
    <x v="32"/>
    <x v="2"/>
    <x v="6"/>
    <x v="2"/>
    <n v="71"/>
    <n v="0"/>
  </r>
  <r>
    <n v="3199"/>
    <x v="12"/>
    <x v="1"/>
    <s v="Gloves"/>
    <x v="3"/>
    <n v="94"/>
    <s v="Pennsylvania"/>
    <s v="L"/>
    <s v="Peach"/>
    <x v="0"/>
    <x v="11"/>
    <s v="No"/>
    <x v="1"/>
    <x v="1"/>
    <x v="1"/>
    <x v="30"/>
    <x v="5"/>
    <x v="1"/>
    <x v="0"/>
    <n v="94"/>
    <n v="0"/>
  </r>
  <r>
    <n v="3200"/>
    <x v="35"/>
    <x v="1"/>
    <s v="Handbag"/>
    <x v="3"/>
    <n v="40"/>
    <s v="Maine"/>
    <s v="XL"/>
    <s v="Pink"/>
    <x v="0"/>
    <x v="19"/>
    <s v="No"/>
    <x v="0"/>
    <x v="1"/>
    <x v="1"/>
    <x v="20"/>
    <x v="3"/>
    <x v="5"/>
    <x v="0"/>
    <n v="40"/>
    <n v="0"/>
  </r>
  <r>
    <n v="3201"/>
    <x v="29"/>
    <x v="1"/>
    <s v="Socks"/>
    <x v="0"/>
    <n v="24"/>
    <s v="Missouri"/>
    <s v="L"/>
    <s v="Black"/>
    <x v="1"/>
    <x v="6"/>
    <s v="No"/>
    <x v="1"/>
    <x v="1"/>
    <x v="1"/>
    <x v="18"/>
    <x v="2"/>
    <x v="5"/>
    <x v="0"/>
    <n v="24"/>
    <n v="0"/>
  </r>
  <r>
    <n v="3202"/>
    <x v="5"/>
    <x v="1"/>
    <s v="Pants"/>
    <x v="0"/>
    <n v="38"/>
    <s v="Vermont"/>
    <s v="S"/>
    <s v="Indigo"/>
    <x v="3"/>
    <x v="11"/>
    <s v="No"/>
    <x v="4"/>
    <x v="1"/>
    <x v="1"/>
    <x v="11"/>
    <x v="1"/>
    <x v="5"/>
    <x v="2"/>
    <n v="38"/>
    <n v="0"/>
  </r>
  <r>
    <n v="3203"/>
    <x v="13"/>
    <x v="1"/>
    <s v="Scarf"/>
    <x v="3"/>
    <n v="37"/>
    <s v="Wisconsin"/>
    <s v="L"/>
    <s v="Green"/>
    <x v="3"/>
    <x v="9"/>
    <s v="No"/>
    <x v="3"/>
    <x v="1"/>
    <x v="1"/>
    <x v="25"/>
    <x v="0"/>
    <x v="2"/>
    <x v="0"/>
    <n v="37"/>
    <n v="0"/>
  </r>
  <r>
    <n v="3204"/>
    <x v="6"/>
    <x v="1"/>
    <s v="Coat"/>
    <x v="2"/>
    <n v="29"/>
    <s v="New Jersey"/>
    <s v="L"/>
    <s v="Teal"/>
    <x v="1"/>
    <x v="7"/>
    <s v="No"/>
    <x v="0"/>
    <x v="1"/>
    <x v="1"/>
    <x v="0"/>
    <x v="0"/>
    <x v="2"/>
    <x v="0"/>
    <n v="29"/>
    <n v="0"/>
  </r>
  <r>
    <n v="3205"/>
    <x v="9"/>
    <x v="1"/>
    <s v="Jacket"/>
    <x v="2"/>
    <n v="92"/>
    <s v="New Mexico"/>
    <s v="XL"/>
    <s v="Lavender"/>
    <x v="3"/>
    <x v="24"/>
    <s v="No"/>
    <x v="1"/>
    <x v="1"/>
    <x v="1"/>
    <x v="2"/>
    <x v="5"/>
    <x v="4"/>
    <x v="0"/>
    <n v="92"/>
    <n v="0"/>
  </r>
  <r>
    <n v="3206"/>
    <x v="37"/>
    <x v="1"/>
    <s v="Hoodie"/>
    <x v="0"/>
    <n v="24"/>
    <s v="Colorado"/>
    <s v="XL"/>
    <s v="Magenta"/>
    <x v="3"/>
    <x v="14"/>
    <s v="No"/>
    <x v="4"/>
    <x v="1"/>
    <x v="1"/>
    <x v="16"/>
    <x v="4"/>
    <x v="6"/>
    <x v="2"/>
    <n v="24"/>
    <n v="0"/>
  </r>
  <r>
    <n v="3207"/>
    <x v="24"/>
    <x v="1"/>
    <s v="Boots"/>
    <x v="1"/>
    <n v="52"/>
    <s v="California"/>
    <s v="M"/>
    <s v="Brown"/>
    <x v="0"/>
    <x v="21"/>
    <s v="No"/>
    <x v="1"/>
    <x v="1"/>
    <x v="1"/>
    <x v="3"/>
    <x v="3"/>
    <x v="5"/>
    <x v="2"/>
    <n v="52"/>
    <n v="0"/>
  </r>
  <r>
    <n v="3208"/>
    <x v="29"/>
    <x v="1"/>
    <s v="Socks"/>
    <x v="0"/>
    <n v="29"/>
    <s v="Arizona"/>
    <s v="XL"/>
    <s v="Beige"/>
    <x v="2"/>
    <x v="2"/>
    <s v="No"/>
    <x v="2"/>
    <x v="1"/>
    <x v="1"/>
    <x v="0"/>
    <x v="3"/>
    <x v="2"/>
    <x v="0"/>
    <n v="29"/>
    <n v="0"/>
  </r>
  <r>
    <n v="3209"/>
    <x v="12"/>
    <x v="1"/>
    <s v="Jewelry"/>
    <x v="3"/>
    <n v="30"/>
    <s v="Indiana"/>
    <s v="L"/>
    <s v="Indigo"/>
    <x v="0"/>
    <x v="13"/>
    <s v="No"/>
    <x v="4"/>
    <x v="1"/>
    <x v="1"/>
    <x v="38"/>
    <x v="3"/>
    <x v="1"/>
    <x v="0"/>
    <n v="30"/>
    <n v="0"/>
  </r>
  <r>
    <n v="3210"/>
    <x v="14"/>
    <x v="1"/>
    <s v="Shoes"/>
    <x v="1"/>
    <n v="31"/>
    <s v="Arkansas"/>
    <s v="L"/>
    <s v="Peach"/>
    <x v="3"/>
    <x v="24"/>
    <s v="No"/>
    <x v="3"/>
    <x v="1"/>
    <x v="1"/>
    <x v="30"/>
    <x v="5"/>
    <x v="2"/>
    <x v="0"/>
    <n v="31"/>
    <n v="0"/>
  </r>
  <r>
    <n v="3211"/>
    <x v="11"/>
    <x v="1"/>
    <s v="Socks"/>
    <x v="0"/>
    <n v="67"/>
    <s v="Nevada"/>
    <s v="M"/>
    <s v="Magenta"/>
    <x v="2"/>
    <x v="3"/>
    <s v="No"/>
    <x v="0"/>
    <x v="1"/>
    <x v="1"/>
    <x v="34"/>
    <x v="0"/>
    <x v="4"/>
    <x v="2"/>
    <n v="67"/>
    <n v="0"/>
  </r>
  <r>
    <n v="3212"/>
    <x v="10"/>
    <x v="1"/>
    <s v="Pants"/>
    <x v="0"/>
    <n v="65"/>
    <s v="Rhode Island"/>
    <s v="L"/>
    <s v="Turquoise"/>
    <x v="0"/>
    <x v="8"/>
    <s v="No"/>
    <x v="3"/>
    <x v="1"/>
    <x v="1"/>
    <x v="45"/>
    <x v="1"/>
    <x v="5"/>
    <x v="0"/>
    <n v="65"/>
    <n v="0"/>
  </r>
  <r>
    <n v="3213"/>
    <x v="7"/>
    <x v="1"/>
    <s v="Sneakers"/>
    <x v="1"/>
    <n v="22"/>
    <s v="Wyoming"/>
    <s v="M"/>
    <s v="Indigo"/>
    <x v="0"/>
    <x v="15"/>
    <s v="No"/>
    <x v="4"/>
    <x v="1"/>
    <x v="1"/>
    <x v="33"/>
    <x v="5"/>
    <x v="1"/>
    <x v="2"/>
    <n v="22"/>
    <n v="0"/>
  </r>
  <r>
    <n v="3214"/>
    <x v="7"/>
    <x v="1"/>
    <s v="Sunglasses"/>
    <x v="3"/>
    <n v="56"/>
    <s v="Texas"/>
    <s v="M"/>
    <s v="Brown"/>
    <x v="0"/>
    <x v="13"/>
    <s v="No"/>
    <x v="3"/>
    <x v="1"/>
    <x v="1"/>
    <x v="42"/>
    <x v="2"/>
    <x v="5"/>
    <x v="2"/>
    <n v="56"/>
    <n v="0"/>
  </r>
  <r>
    <n v="3215"/>
    <x v="10"/>
    <x v="1"/>
    <s v="Skirt"/>
    <x v="0"/>
    <n v="78"/>
    <s v="Washington"/>
    <s v="M"/>
    <s v="Yellow"/>
    <x v="1"/>
    <x v="0"/>
    <s v="No"/>
    <x v="1"/>
    <x v="1"/>
    <x v="1"/>
    <x v="49"/>
    <x v="5"/>
    <x v="2"/>
    <x v="0"/>
    <n v="78"/>
    <n v="0"/>
  </r>
  <r>
    <n v="3216"/>
    <x v="50"/>
    <x v="1"/>
    <s v="Coat"/>
    <x v="2"/>
    <n v="90"/>
    <s v="Rhode Island"/>
    <s v="M"/>
    <s v="Magenta"/>
    <x v="2"/>
    <x v="2"/>
    <s v="No"/>
    <x v="1"/>
    <x v="1"/>
    <x v="1"/>
    <x v="9"/>
    <x v="3"/>
    <x v="6"/>
    <x v="2"/>
    <n v="90"/>
    <n v="0"/>
  </r>
  <r>
    <n v="3217"/>
    <x v="31"/>
    <x v="1"/>
    <s v="Hoodie"/>
    <x v="0"/>
    <n v="85"/>
    <s v="Illinois"/>
    <s v="S"/>
    <s v="Olive"/>
    <x v="0"/>
    <x v="23"/>
    <s v="No"/>
    <x v="2"/>
    <x v="1"/>
    <x v="1"/>
    <x v="27"/>
    <x v="1"/>
    <x v="1"/>
    <x v="2"/>
    <n v="85"/>
    <n v="0"/>
  </r>
  <r>
    <n v="3218"/>
    <x v="42"/>
    <x v="1"/>
    <s v="Sunglasses"/>
    <x v="3"/>
    <n v="58"/>
    <s v="Oregon"/>
    <s v="M"/>
    <s v="Silver"/>
    <x v="3"/>
    <x v="23"/>
    <s v="No"/>
    <x v="0"/>
    <x v="1"/>
    <x v="1"/>
    <x v="15"/>
    <x v="0"/>
    <x v="1"/>
    <x v="2"/>
    <n v="58"/>
    <n v="0"/>
  </r>
  <r>
    <n v="3219"/>
    <x v="43"/>
    <x v="1"/>
    <s v="Skirt"/>
    <x v="0"/>
    <n v="34"/>
    <s v="Florida"/>
    <s v="M"/>
    <s v="Teal"/>
    <x v="3"/>
    <x v="20"/>
    <s v="No"/>
    <x v="0"/>
    <x v="1"/>
    <x v="1"/>
    <x v="3"/>
    <x v="3"/>
    <x v="5"/>
    <x v="2"/>
    <n v="34"/>
    <n v="0"/>
  </r>
  <r>
    <n v="3220"/>
    <x v="9"/>
    <x v="1"/>
    <s v="Coat"/>
    <x v="2"/>
    <n v="40"/>
    <s v="Kansas"/>
    <s v="L"/>
    <s v="White"/>
    <x v="2"/>
    <x v="1"/>
    <s v="No"/>
    <x v="4"/>
    <x v="1"/>
    <x v="1"/>
    <x v="30"/>
    <x v="2"/>
    <x v="1"/>
    <x v="0"/>
    <n v="40"/>
    <n v="0"/>
  </r>
  <r>
    <n v="3221"/>
    <x v="21"/>
    <x v="1"/>
    <s v="Handbag"/>
    <x v="3"/>
    <n v="29"/>
    <s v="North Dakota"/>
    <s v="M"/>
    <s v="Blue"/>
    <x v="3"/>
    <x v="7"/>
    <s v="No"/>
    <x v="1"/>
    <x v="1"/>
    <x v="1"/>
    <x v="20"/>
    <x v="1"/>
    <x v="5"/>
    <x v="2"/>
    <n v="29"/>
    <n v="0"/>
  </r>
  <r>
    <n v="3222"/>
    <x v="3"/>
    <x v="1"/>
    <s v="T-shirt"/>
    <x v="0"/>
    <n v="76"/>
    <s v="New Hampshire"/>
    <s v="M"/>
    <s v="Yellow"/>
    <x v="0"/>
    <x v="4"/>
    <s v="No"/>
    <x v="3"/>
    <x v="1"/>
    <x v="1"/>
    <x v="40"/>
    <x v="1"/>
    <x v="2"/>
    <x v="1"/>
    <n v="76"/>
    <n v="0"/>
  </r>
  <r>
    <n v="3223"/>
    <x v="4"/>
    <x v="1"/>
    <s v="Sunglasses"/>
    <x v="3"/>
    <n v="84"/>
    <s v="Texas"/>
    <s v="S"/>
    <s v="Maroon"/>
    <x v="3"/>
    <x v="12"/>
    <s v="No"/>
    <x v="5"/>
    <x v="1"/>
    <x v="1"/>
    <x v="17"/>
    <x v="3"/>
    <x v="3"/>
    <x v="2"/>
    <n v="84"/>
    <n v="0"/>
  </r>
  <r>
    <n v="3224"/>
    <x v="33"/>
    <x v="1"/>
    <s v="Shirt"/>
    <x v="0"/>
    <n v="65"/>
    <s v="Montana"/>
    <s v="S"/>
    <s v="Gray"/>
    <x v="1"/>
    <x v="20"/>
    <s v="No"/>
    <x v="3"/>
    <x v="1"/>
    <x v="1"/>
    <x v="13"/>
    <x v="0"/>
    <x v="4"/>
    <x v="0"/>
    <n v="65"/>
    <n v="0"/>
  </r>
  <r>
    <n v="3225"/>
    <x v="43"/>
    <x v="1"/>
    <s v="Hoodie"/>
    <x v="0"/>
    <n v="80"/>
    <s v="Delaware"/>
    <s v="L"/>
    <s v="Indigo"/>
    <x v="0"/>
    <x v="2"/>
    <s v="No"/>
    <x v="1"/>
    <x v="1"/>
    <x v="1"/>
    <x v="27"/>
    <x v="3"/>
    <x v="5"/>
    <x v="2"/>
    <n v="80"/>
    <n v="0"/>
  </r>
  <r>
    <n v="3226"/>
    <x v="10"/>
    <x v="1"/>
    <s v="Blouse"/>
    <x v="0"/>
    <n v="98"/>
    <s v="New Hampshire"/>
    <s v="M"/>
    <s v="Pink"/>
    <x v="3"/>
    <x v="21"/>
    <s v="No"/>
    <x v="5"/>
    <x v="1"/>
    <x v="1"/>
    <x v="4"/>
    <x v="2"/>
    <x v="1"/>
    <x v="0"/>
    <n v="98"/>
    <n v="0"/>
  </r>
  <r>
    <n v="3227"/>
    <x v="9"/>
    <x v="1"/>
    <s v="Sneakers"/>
    <x v="1"/>
    <n v="71"/>
    <s v="Minnesota"/>
    <s v="XL"/>
    <s v="Beige"/>
    <x v="1"/>
    <x v="13"/>
    <s v="No"/>
    <x v="2"/>
    <x v="1"/>
    <x v="1"/>
    <x v="25"/>
    <x v="4"/>
    <x v="0"/>
    <x v="0"/>
    <n v="71"/>
    <n v="0"/>
  </r>
  <r>
    <n v="3228"/>
    <x v="48"/>
    <x v="1"/>
    <s v="Scarf"/>
    <x v="3"/>
    <n v="69"/>
    <s v="Alaska"/>
    <s v="XL"/>
    <s v="White"/>
    <x v="3"/>
    <x v="2"/>
    <s v="No"/>
    <x v="1"/>
    <x v="1"/>
    <x v="1"/>
    <x v="38"/>
    <x v="5"/>
    <x v="3"/>
    <x v="2"/>
    <n v="69"/>
    <n v="0"/>
  </r>
  <r>
    <n v="3229"/>
    <x v="43"/>
    <x v="1"/>
    <s v="Jewelry"/>
    <x v="3"/>
    <n v="95"/>
    <s v="Connecticut"/>
    <s v="M"/>
    <s v="Yellow"/>
    <x v="1"/>
    <x v="12"/>
    <s v="No"/>
    <x v="4"/>
    <x v="1"/>
    <x v="1"/>
    <x v="46"/>
    <x v="3"/>
    <x v="2"/>
    <x v="2"/>
    <n v="95"/>
    <n v="0"/>
  </r>
  <r>
    <n v="3230"/>
    <x v="22"/>
    <x v="1"/>
    <s v="Pants"/>
    <x v="0"/>
    <n v="67"/>
    <s v="Connecticut"/>
    <s v="M"/>
    <s v="Teal"/>
    <x v="3"/>
    <x v="2"/>
    <s v="No"/>
    <x v="0"/>
    <x v="1"/>
    <x v="1"/>
    <x v="37"/>
    <x v="1"/>
    <x v="5"/>
    <x v="0"/>
    <n v="67"/>
    <n v="0"/>
  </r>
  <r>
    <n v="3231"/>
    <x v="34"/>
    <x v="1"/>
    <s v="Sneakers"/>
    <x v="1"/>
    <n v="49"/>
    <s v="Kansas"/>
    <s v="M"/>
    <s v="Olive"/>
    <x v="2"/>
    <x v="25"/>
    <s v="No"/>
    <x v="2"/>
    <x v="1"/>
    <x v="1"/>
    <x v="25"/>
    <x v="5"/>
    <x v="2"/>
    <x v="2"/>
    <n v="49"/>
    <n v="0"/>
  </r>
  <r>
    <n v="3232"/>
    <x v="46"/>
    <x v="1"/>
    <s v="Shoes"/>
    <x v="1"/>
    <n v="97"/>
    <s v="Nevada"/>
    <s v="M"/>
    <s v="Maroon"/>
    <x v="0"/>
    <x v="14"/>
    <s v="No"/>
    <x v="1"/>
    <x v="1"/>
    <x v="1"/>
    <x v="44"/>
    <x v="2"/>
    <x v="2"/>
    <x v="0"/>
    <n v="97"/>
    <n v="0"/>
  </r>
  <r>
    <n v="3233"/>
    <x v="4"/>
    <x v="1"/>
    <s v="T-shirt"/>
    <x v="0"/>
    <n v="34"/>
    <s v="Massachusetts"/>
    <s v="M"/>
    <s v="White"/>
    <x v="1"/>
    <x v="17"/>
    <s v="No"/>
    <x v="2"/>
    <x v="1"/>
    <x v="1"/>
    <x v="5"/>
    <x v="4"/>
    <x v="5"/>
    <x v="2"/>
    <n v="34"/>
    <n v="0"/>
  </r>
  <r>
    <n v="3234"/>
    <x v="4"/>
    <x v="1"/>
    <s v="Belt"/>
    <x v="3"/>
    <n v="74"/>
    <s v="Indiana"/>
    <s v="M"/>
    <s v="Lavender"/>
    <x v="3"/>
    <x v="22"/>
    <s v="No"/>
    <x v="0"/>
    <x v="1"/>
    <x v="1"/>
    <x v="47"/>
    <x v="5"/>
    <x v="4"/>
    <x v="2"/>
    <n v="74"/>
    <n v="0"/>
  </r>
  <r>
    <n v="3235"/>
    <x v="34"/>
    <x v="1"/>
    <s v="Jewelry"/>
    <x v="3"/>
    <n v="96"/>
    <s v="Washington"/>
    <s v="M"/>
    <s v="Black"/>
    <x v="0"/>
    <x v="25"/>
    <s v="No"/>
    <x v="4"/>
    <x v="1"/>
    <x v="1"/>
    <x v="20"/>
    <x v="5"/>
    <x v="3"/>
    <x v="2"/>
    <n v="96"/>
    <n v="0"/>
  </r>
  <r>
    <n v="3236"/>
    <x v="7"/>
    <x v="1"/>
    <s v="Belt"/>
    <x v="3"/>
    <n v="68"/>
    <s v="Kansas"/>
    <s v="M"/>
    <s v="Green"/>
    <x v="2"/>
    <x v="17"/>
    <s v="No"/>
    <x v="1"/>
    <x v="1"/>
    <x v="1"/>
    <x v="27"/>
    <x v="0"/>
    <x v="5"/>
    <x v="2"/>
    <n v="68"/>
    <n v="0"/>
  </r>
  <r>
    <n v="3237"/>
    <x v="6"/>
    <x v="1"/>
    <s v="Belt"/>
    <x v="3"/>
    <n v="84"/>
    <s v="South Carolina"/>
    <s v="L"/>
    <s v="Olive"/>
    <x v="3"/>
    <x v="7"/>
    <s v="No"/>
    <x v="2"/>
    <x v="1"/>
    <x v="1"/>
    <x v="6"/>
    <x v="1"/>
    <x v="5"/>
    <x v="0"/>
    <n v="84"/>
    <n v="0"/>
  </r>
  <r>
    <n v="3238"/>
    <x v="12"/>
    <x v="1"/>
    <s v="T-shirt"/>
    <x v="0"/>
    <n v="57"/>
    <s v="Vermont"/>
    <s v="M"/>
    <s v="Gray"/>
    <x v="2"/>
    <x v="11"/>
    <s v="No"/>
    <x v="0"/>
    <x v="1"/>
    <x v="1"/>
    <x v="7"/>
    <x v="1"/>
    <x v="1"/>
    <x v="0"/>
    <n v="57"/>
    <n v="0"/>
  </r>
  <r>
    <n v="3239"/>
    <x v="15"/>
    <x v="1"/>
    <s v="Sneakers"/>
    <x v="1"/>
    <n v="84"/>
    <s v="Wyoming"/>
    <s v="XL"/>
    <s v="Teal"/>
    <x v="3"/>
    <x v="23"/>
    <s v="No"/>
    <x v="4"/>
    <x v="1"/>
    <x v="1"/>
    <x v="10"/>
    <x v="1"/>
    <x v="3"/>
    <x v="1"/>
    <n v="84"/>
    <n v="0"/>
  </r>
  <r>
    <n v="3240"/>
    <x v="23"/>
    <x v="1"/>
    <s v="Sunglasses"/>
    <x v="3"/>
    <n v="32"/>
    <s v="Colorado"/>
    <s v="M"/>
    <s v="Charcoal"/>
    <x v="3"/>
    <x v="2"/>
    <s v="No"/>
    <x v="4"/>
    <x v="1"/>
    <x v="1"/>
    <x v="48"/>
    <x v="1"/>
    <x v="5"/>
    <x v="2"/>
    <n v="32"/>
    <n v="0"/>
  </r>
  <r>
    <n v="3241"/>
    <x v="19"/>
    <x v="1"/>
    <s v="Sandals"/>
    <x v="1"/>
    <n v="37"/>
    <s v="West Virginia"/>
    <s v="M"/>
    <s v="Violet"/>
    <x v="3"/>
    <x v="22"/>
    <s v="No"/>
    <x v="4"/>
    <x v="1"/>
    <x v="1"/>
    <x v="10"/>
    <x v="4"/>
    <x v="5"/>
    <x v="0"/>
    <n v="37"/>
    <n v="0"/>
  </r>
  <r>
    <n v="3242"/>
    <x v="2"/>
    <x v="1"/>
    <s v="Handbag"/>
    <x v="3"/>
    <n v="58"/>
    <s v="Connecticut"/>
    <s v="M"/>
    <s v="Lavender"/>
    <x v="2"/>
    <x v="14"/>
    <s v="No"/>
    <x v="5"/>
    <x v="1"/>
    <x v="1"/>
    <x v="48"/>
    <x v="3"/>
    <x v="3"/>
    <x v="2"/>
    <n v="58"/>
    <n v="0"/>
  </r>
  <r>
    <n v="3243"/>
    <x v="4"/>
    <x v="1"/>
    <s v="Socks"/>
    <x v="0"/>
    <n v="74"/>
    <s v="Oregon"/>
    <s v="S"/>
    <s v="Beige"/>
    <x v="3"/>
    <x v="11"/>
    <s v="No"/>
    <x v="0"/>
    <x v="1"/>
    <x v="1"/>
    <x v="14"/>
    <x v="0"/>
    <x v="1"/>
    <x v="2"/>
    <n v="74"/>
    <n v="0"/>
  </r>
  <r>
    <n v="3244"/>
    <x v="4"/>
    <x v="1"/>
    <s v="Hoodie"/>
    <x v="0"/>
    <n v="99"/>
    <s v="Idaho"/>
    <s v="L"/>
    <s v="Black"/>
    <x v="2"/>
    <x v="16"/>
    <s v="No"/>
    <x v="5"/>
    <x v="1"/>
    <x v="1"/>
    <x v="47"/>
    <x v="4"/>
    <x v="6"/>
    <x v="2"/>
    <n v="99"/>
    <n v="0"/>
  </r>
  <r>
    <n v="3245"/>
    <x v="13"/>
    <x v="1"/>
    <s v="Sweater"/>
    <x v="0"/>
    <n v="81"/>
    <s v="Arkansas"/>
    <s v="M"/>
    <s v="Black"/>
    <x v="3"/>
    <x v="10"/>
    <s v="No"/>
    <x v="0"/>
    <x v="1"/>
    <x v="1"/>
    <x v="38"/>
    <x v="2"/>
    <x v="2"/>
    <x v="0"/>
    <n v="81"/>
    <n v="0"/>
  </r>
  <r>
    <n v="3246"/>
    <x v="6"/>
    <x v="1"/>
    <s v="Pants"/>
    <x v="0"/>
    <n v="76"/>
    <s v="Kansas"/>
    <s v="M"/>
    <s v="Purple"/>
    <x v="3"/>
    <x v="4"/>
    <s v="No"/>
    <x v="2"/>
    <x v="1"/>
    <x v="1"/>
    <x v="41"/>
    <x v="1"/>
    <x v="1"/>
    <x v="0"/>
    <n v="76"/>
    <n v="0"/>
  </r>
  <r>
    <n v="3247"/>
    <x v="27"/>
    <x v="1"/>
    <s v="Sneakers"/>
    <x v="1"/>
    <n v="98"/>
    <s v="Michigan"/>
    <s v="M"/>
    <s v="Magenta"/>
    <x v="2"/>
    <x v="3"/>
    <s v="No"/>
    <x v="5"/>
    <x v="1"/>
    <x v="1"/>
    <x v="10"/>
    <x v="1"/>
    <x v="5"/>
    <x v="0"/>
    <n v="98"/>
    <n v="0"/>
  </r>
  <r>
    <n v="3248"/>
    <x v="10"/>
    <x v="1"/>
    <s v="Gloves"/>
    <x v="3"/>
    <n v="91"/>
    <s v="Arkansas"/>
    <s v="M"/>
    <s v="Teal"/>
    <x v="2"/>
    <x v="18"/>
    <s v="No"/>
    <x v="0"/>
    <x v="1"/>
    <x v="1"/>
    <x v="45"/>
    <x v="3"/>
    <x v="0"/>
    <x v="0"/>
    <n v="91"/>
    <n v="0"/>
  </r>
  <r>
    <n v="3249"/>
    <x v="40"/>
    <x v="1"/>
    <s v="T-shirt"/>
    <x v="0"/>
    <n v="79"/>
    <s v="Pennsylvania"/>
    <s v="S"/>
    <s v="Teal"/>
    <x v="2"/>
    <x v="19"/>
    <s v="No"/>
    <x v="1"/>
    <x v="1"/>
    <x v="1"/>
    <x v="23"/>
    <x v="4"/>
    <x v="3"/>
    <x v="1"/>
    <n v="79"/>
    <n v="0"/>
  </r>
  <r>
    <n v="3250"/>
    <x v="8"/>
    <x v="1"/>
    <s v="Backpack"/>
    <x v="3"/>
    <n v="83"/>
    <s v="Virginia"/>
    <s v="M"/>
    <s v="Pink"/>
    <x v="2"/>
    <x v="23"/>
    <s v="No"/>
    <x v="0"/>
    <x v="1"/>
    <x v="1"/>
    <x v="18"/>
    <x v="2"/>
    <x v="3"/>
    <x v="2"/>
    <n v="83"/>
    <n v="0"/>
  </r>
  <r>
    <n v="3251"/>
    <x v="51"/>
    <x v="1"/>
    <s v="Coat"/>
    <x v="2"/>
    <n v="90"/>
    <s v="Minnesota"/>
    <s v="M"/>
    <s v="Teal"/>
    <x v="1"/>
    <x v="3"/>
    <s v="No"/>
    <x v="4"/>
    <x v="1"/>
    <x v="1"/>
    <x v="28"/>
    <x v="0"/>
    <x v="1"/>
    <x v="1"/>
    <n v="90"/>
    <n v="0"/>
  </r>
  <r>
    <n v="3252"/>
    <x v="15"/>
    <x v="1"/>
    <s v="Coat"/>
    <x v="2"/>
    <n v="20"/>
    <s v="Nevada"/>
    <s v="M"/>
    <s v="Gold"/>
    <x v="0"/>
    <x v="18"/>
    <s v="No"/>
    <x v="3"/>
    <x v="1"/>
    <x v="1"/>
    <x v="30"/>
    <x v="0"/>
    <x v="3"/>
    <x v="1"/>
    <n v="20"/>
    <n v="0"/>
  </r>
  <r>
    <n v="3253"/>
    <x v="28"/>
    <x v="1"/>
    <s v="Sandals"/>
    <x v="1"/>
    <n v="21"/>
    <s v="Montana"/>
    <s v="L"/>
    <s v="Brown"/>
    <x v="1"/>
    <x v="2"/>
    <s v="No"/>
    <x v="5"/>
    <x v="1"/>
    <x v="1"/>
    <x v="26"/>
    <x v="2"/>
    <x v="0"/>
    <x v="0"/>
    <n v="21"/>
    <n v="0"/>
  </r>
  <r>
    <n v="3254"/>
    <x v="24"/>
    <x v="1"/>
    <s v="Backpack"/>
    <x v="3"/>
    <n v="60"/>
    <s v="Nebraska"/>
    <s v="M"/>
    <s v="Brown"/>
    <x v="3"/>
    <x v="4"/>
    <s v="No"/>
    <x v="4"/>
    <x v="1"/>
    <x v="1"/>
    <x v="6"/>
    <x v="0"/>
    <x v="0"/>
    <x v="2"/>
    <n v="60"/>
    <n v="0"/>
  </r>
  <r>
    <n v="3255"/>
    <x v="3"/>
    <x v="1"/>
    <s v="Sweater"/>
    <x v="0"/>
    <n v="31"/>
    <s v="Indiana"/>
    <s v="S"/>
    <s v="Magenta"/>
    <x v="0"/>
    <x v="8"/>
    <s v="No"/>
    <x v="5"/>
    <x v="1"/>
    <x v="1"/>
    <x v="47"/>
    <x v="4"/>
    <x v="6"/>
    <x v="1"/>
    <n v="31"/>
    <n v="0"/>
  </r>
  <r>
    <n v="3256"/>
    <x v="9"/>
    <x v="1"/>
    <s v="Shorts"/>
    <x v="0"/>
    <n v="40"/>
    <s v="New Jersey"/>
    <s v="M"/>
    <s v="Black"/>
    <x v="3"/>
    <x v="11"/>
    <s v="No"/>
    <x v="2"/>
    <x v="1"/>
    <x v="1"/>
    <x v="13"/>
    <x v="4"/>
    <x v="5"/>
    <x v="0"/>
    <n v="40"/>
    <n v="0"/>
  </r>
  <r>
    <n v="3257"/>
    <x v="52"/>
    <x v="1"/>
    <s v="Sunglasses"/>
    <x v="3"/>
    <n v="26"/>
    <s v="Wisconsin"/>
    <s v="L"/>
    <s v="Teal"/>
    <x v="0"/>
    <x v="10"/>
    <s v="No"/>
    <x v="1"/>
    <x v="1"/>
    <x v="1"/>
    <x v="16"/>
    <x v="0"/>
    <x v="6"/>
    <x v="0"/>
    <n v="26"/>
    <n v="0"/>
  </r>
  <r>
    <n v="3258"/>
    <x v="42"/>
    <x v="1"/>
    <s v="Shirt"/>
    <x v="0"/>
    <n v="98"/>
    <s v="Minnesota"/>
    <s v="M"/>
    <s v="Brown"/>
    <x v="3"/>
    <x v="13"/>
    <s v="No"/>
    <x v="0"/>
    <x v="1"/>
    <x v="1"/>
    <x v="30"/>
    <x v="0"/>
    <x v="6"/>
    <x v="2"/>
    <n v="98"/>
    <n v="0"/>
  </r>
  <r>
    <n v="3259"/>
    <x v="18"/>
    <x v="1"/>
    <s v="Shoes"/>
    <x v="1"/>
    <n v="51"/>
    <s v="New Jersey"/>
    <s v="M"/>
    <s v="Magenta"/>
    <x v="1"/>
    <x v="24"/>
    <s v="No"/>
    <x v="0"/>
    <x v="1"/>
    <x v="1"/>
    <x v="47"/>
    <x v="2"/>
    <x v="4"/>
    <x v="2"/>
    <n v="51"/>
    <n v="0"/>
  </r>
  <r>
    <n v="3260"/>
    <x v="9"/>
    <x v="1"/>
    <s v="Hat"/>
    <x v="3"/>
    <n v="95"/>
    <s v="Oklahoma"/>
    <s v="XL"/>
    <s v="Indigo"/>
    <x v="3"/>
    <x v="18"/>
    <s v="No"/>
    <x v="4"/>
    <x v="1"/>
    <x v="1"/>
    <x v="36"/>
    <x v="5"/>
    <x v="6"/>
    <x v="0"/>
    <n v="95"/>
    <n v="0"/>
  </r>
  <r>
    <n v="3261"/>
    <x v="31"/>
    <x v="1"/>
    <s v="Scarf"/>
    <x v="3"/>
    <n v="36"/>
    <s v="Wisconsin"/>
    <s v="M"/>
    <s v="Violet"/>
    <x v="2"/>
    <x v="9"/>
    <s v="No"/>
    <x v="4"/>
    <x v="1"/>
    <x v="1"/>
    <x v="22"/>
    <x v="2"/>
    <x v="2"/>
    <x v="2"/>
    <n v="36"/>
    <n v="0"/>
  </r>
  <r>
    <n v="3262"/>
    <x v="39"/>
    <x v="1"/>
    <s v="Belt"/>
    <x v="3"/>
    <n v="52"/>
    <s v="Rhode Island"/>
    <s v="L"/>
    <s v="Cyan"/>
    <x v="0"/>
    <x v="23"/>
    <s v="No"/>
    <x v="5"/>
    <x v="1"/>
    <x v="1"/>
    <x v="16"/>
    <x v="5"/>
    <x v="1"/>
    <x v="2"/>
    <n v="52"/>
    <n v="0"/>
  </r>
  <r>
    <n v="3263"/>
    <x v="32"/>
    <x v="1"/>
    <s v="T-shirt"/>
    <x v="0"/>
    <n v="35"/>
    <s v="Indiana"/>
    <s v="M"/>
    <s v="Violet"/>
    <x v="1"/>
    <x v="2"/>
    <s v="No"/>
    <x v="3"/>
    <x v="1"/>
    <x v="1"/>
    <x v="33"/>
    <x v="1"/>
    <x v="6"/>
    <x v="2"/>
    <n v="35"/>
    <n v="0"/>
  </r>
  <r>
    <n v="3264"/>
    <x v="19"/>
    <x v="1"/>
    <s v="Shorts"/>
    <x v="0"/>
    <n v="68"/>
    <s v="Vermont"/>
    <s v="S"/>
    <s v="Black"/>
    <x v="3"/>
    <x v="14"/>
    <s v="No"/>
    <x v="0"/>
    <x v="1"/>
    <x v="1"/>
    <x v="4"/>
    <x v="5"/>
    <x v="0"/>
    <x v="0"/>
    <n v="68"/>
    <n v="0"/>
  </r>
  <r>
    <n v="3265"/>
    <x v="48"/>
    <x v="1"/>
    <s v="Pants"/>
    <x v="0"/>
    <n v="50"/>
    <s v="Maine"/>
    <s v="S"/>
    <s v="Charcoal"/>
    <x v="0"/>
    <x v="17"/>
    <s v="No"/>
    <x v="0"/>
    <x v="1"/>
    <x v="1"/>
    <x v="30"/>
    <x v="1"/>
    <x v="4"/>
    <x v="2"/>
    <n v="50"/>
    <n v="0"/>
  </r>
  <r>
    <n v="3266"/>
    <x v="37"/>
    <x v="1"/>
    <s v="Sunglasses"/>
    <x v="3"/>
    <n v="100"/>
    <s v="Alabama"/>
    <s v="M"/>
    <s v="White"/>
    <x v="0"/>
    <x v="4"/>
    <s v="No"/>
    <x v="0"/>
    <x v="1"/>
    <x v="1"/>
    <x v="40"/>
    <x v="2"/>
    <x v="0"/>
    <x v="2"/>
    <n v="100"/>
    <n v="0"/>
  </r>
  <r>
    <n v="3267"/>
    <x v="34"/>
    <x v="1"/>
    <s v="Coat"/>
    <x v="2"/>
    <n v="74"/>
    <s v="Alabama"/>
    <s v="S"/>
    <s v="Gray"/>
    <x v="0"/>
    <x v="19"/>
    <s v="No"/>
    <x v="2"/>
    <x v="1"/>
    <x v="1"/>
    <x v="42"/>
    <x v="4"/>
    <x v="1"/>
    <x v="2"/>
    <n v="74"/>
    <n v="0"/>
  </r>
  <r>
    <n v="3268"/>
    <x v="43"/>
    <x v="1"/>
    <s v="Hoodie"/>
    <x v="0"/>
    <n v="45"/>
    <s v="Idaho"/>
    <s v="L"/>
    <s v="Pink"/>
    <x v="0"/>
    <x v="21"/>
    <s v="No"/>
    <x v="5"/>
    <x v="1"/>
    <x v="1"/>
    <x v="38"/>
    <x v="2"/>
    <x v="3"/>
    <x v="2"/>
    <n v="45"/>
    <n v="0"/>
  </r>
  <r>
    <n v="3269"/>
    <x v="40"/>
    <x v="1"/>
    <s v="Dress"/>
    <x v="0"/>
    <n v="97"/>
    <s v="Arkansas"/>
    <s v="M"/>
    <s v="Cyan"/>
    <x v="3"/>
    <x v="11"/>
    <s v="No"/>
    <x v="1"/>
    <x v="1"/>
    <x v="1"/>
    <x v="36"/>
    <x v="4"/>
    <x v="6"/>
    <x v="1"/>
    <n v="97"/>
    <n v="0"/>
  </r>
  <r>
    <n v="3270"/>
    <x v="7"/>
    <x v="1"/>
    <s v="Blouse"/>
    <x v="0"/>
    <n v="60"/>
    <s v="Ohio"/>
    <s v="M"/>
    <s v="Blue"/>
    <x v="0"/>
    <x v="8"/>
    <s v="No"/>
    <x v="0"/>
    <x v="1"/>
    <x v="1"/>
    <x v="29"/>
    <x v="1"/>
    <x v="5"/>
    <x v="2"/>
    <n v="60"/>
    <n v="0"/>
  </r>
  <r>
    <n v="3271"/>
    <x v="35"/>
    <x v="1"/>
    <s v="Socks"/>
    <x v="0"/>
    <n v="25"/>
    <s v="Illinois"/>
    <s v="M"/>
    <s v="Indigo"/>
    <x v="0"/>
    <x v="10"/>
    <s v="No"/>
    <x v="0"/>
    <x v="1"/>
    <x v="1"/>
    <x v="26"/>
    <x v="3"/>
    <x v="2"/>
    <x v="0"/>
    <n v="25"/>
    <n v="0"/>
  </r>
  <r>
    <n v="3272"/>
    <x v="25"/>
    <x v="1"/>
    <s v="Socks"/>
    <x v="0"/>
    <n v="55"/>
    <s v="Nevada"/>
    <s v="XL"/>
    <s v="Magenta"/>
    <x v="1"/>
    <x v="14"/>
    <s v="No"/>
    <x v="3"/>
    <x v="1"/>
    <x v="1"/>
    <x v="48"/>
    <x v="2"/>
    <x v="1"/>
    <x v="2"/>
    <n v="55"/>
    <n v="0"/>
  </r>
  <r>
    <n v="3273"/>
    <x v="44"/>
    <x v="1"/>
    <s v="Shoes"/>
    <x v="1"/>
    <n v="99"/>
    <s v="Texas"/>
    <s v="M"/>
    <s v="Lavender"/>
    <x v="0"/>
    <x v="0"/>
    <s v="No"/>
    <x v="2"/>
    <x v="1"/>
    <x v="1"/>
    <x v="11"/>
    <x v="3"/>
    <x v="3"/>
    <x v="0"/>
    <n v="99"/>
    <n v="0"/>
  </r>
  <r>
    <n v="3274"/>
    <x v="44"/>
    <x v="1"/>
    <s v="Belt"/>
    <x v="3"/>
    <n v="45"/>
    <s v="Nevada"/>
    <s v="S"/>
    <s v="Orange"/>
    <x v="2"/>
    <x v="5"/>
    <s v="No"/>
    <x v="1"/>
    <x v="1"/>
    <x v="1"/>
    <x v="11"/>
    <x v="3"/>
    <x v="6"/>
    <x v="0"/>
    <n v="45"/>
    <n v="0"/>
  </r>
  <r>
    <n v="3275"/>
    <x v="5"/>
    <x v="1"/>
    <s v="Sweater"/>
    <x v="0"/>
    <n v="20"/>
    <s v="Oklahoma"/>
    <s v="M"/>
    <s v="Cyan"/>
    <x v="1"/>
    <x v="20"/>
    <s v="No"/>
    <x v="5"/>
    <x v="1"/>
    <x v="1"/>
    <x v="0"/>
    <x v="1"/>
    <x v="0"/>
    <x v="2"/>
    <n v="20"/>
    <n v="0"/>
  </r>
  <r>
    <n v="3276"/>
    <x v="49"/>
    <x v="1"/>
    <s v="Pants"/>
    <x v="0"/>
    <n v="88"/>
    <s v="Alabama"/>
    <s v="XL"/>
    <s v="Green"/>
    <x v="2"/>
    <x v="5"/>
    <s v="No"/>
    <x v="4"/>
    <x v="1"/>
    <x v="1"/>
    <x v="1"/>
    <x v="5"/>
    <x v="1"/>
    <x v="2"/>
    <n v="88"/>
    <n v="0"/>
  </r>
  <r>
    <n v="3277"/>
    <x v="31"/>
    <x v="1"/>
    <s v="Scarf"/>
    <x v="3"/>
    <n v="99"/>
    <s v="South Dakota"/>
    <s v="M"/>
    <s v="White"/>
    <x v="2"/>
    <x v="17"/>
    <s v="No"/>
    <x v="5"/>
    <x v="1"/>
    <x v="1"/>
    <x v="23"/>
    <x v="3"/>
    <x v="6"/>
    <x v="2"/>
    <n v="99"/>
    <n v="0"/>
  </r>
  <r>
    <n v="3278"/>
    <x v="35"/>
    <x v="1"/>
    <s v="Skirt"/>
    <x v="0"/>
    <n v="86"/>
    <s v="Texas"/>
    <s v="M"/>
    <s v="Blue"/>
    <x v="1"/>
    <x v="8"/>
    <s v="No"/>
    <x v="5"/>
    <x v="1"/>
    <x v="1"/>
    <x v="35"/>
    <x v="2"/>
    <x v="5"/>
    <x v="0"/>
    <n v="86"/>
    <n v="0"/>
  </r>
  <r>
    <n v="3279"/>
    <x v="35"/>
    <x v="1"/>
    <s v="Dress"/>
    <x v="0"/>
    <n v="70"/>
    <s v="Montana"/>
    <s v="M"/>
    <s v="Black"/>
    <x v="2"/>
    <x v="13"/>
    <s v="No"/>
    <x v="4"/>
    <x v="1"/>
    <x v="1"/>
    <x v="27"/>
    <x v="4"/>
    <x v="1"/>
    <x v="0"/>
    <n v="70"/>
    <n v="0"/>
  </r>
  <r>
    <n v="3280"/>
    <x v="35"/>
    <x v="1"/>
    <s v="Hat"/>
    <x v="3"/>
    <n v="50"/>
    <s v="Wyoming"/>
    <s v="S"/>
    <s v="Red"/>
    <x v="3"/>
    <x v="21"/>
    <s v="No"/>
    <x v="0"/>
    <x v="1"/>
    <x v="1"/>
    <x v="43"/>
    <x v="5"/>
    <x v="0"/>
    <x v="0"/>
    <n v="50"/>
    <n v="0"/>
  </r>
  <r>
    <n v="3281"/>
    <x v="4"/>
    <x v="1"/>
    <s v="Handbag"/>
    <x v="3"/>
    <n v="57"/>
    <s v="New York"/>
    <s v="L"/>
    <s v="Red"/>
    <x v="0"/>
    <x v="2"/>
    <s v="No"/>
    <x v="2"/>
    <x v="1"/>
    <x v="1"/>
    <x v="36"/>
    <x v="3"/>
    <x v="5"/>
    <x v="2"/>
    <n v="57"/>
    <n v="0"/>
  </r>
  <r>
    <n v="3282"/>
    <x v="7"/>
    <x v="1"/>
    <s v="Pants"/>
    <x v="0"/>
    <n v="69"/>
    <s v="Oregon"/>
    <s v="L"/>
    <s v="Gold"/>
    <x v="0"/>
    <x v="0"/>
    <s v="No"/>
    <x v="1"/>
    <x v="1"/>
    <x v="1"/>
    <x v="23"/>
    <x v="4"/>
    <x v="2"/>
    <x v="2"/>
    <n v="69"/>
    <n v="0"/>
  </r>
  <r>
    <n v="3283"/>
    <x v="41"/>
    <x v="1"/>
    <s v="T-shirt"/>
    <x v="0"/>
    <n v="94"/>
    <s v="California"/>
    <s v="M"/>
    <s v="Red"/>
    <x v="3"/>
    <x v="6"/>
    <s v="No"/>
    <x v="2"/>
    <x v="1"/>
    <x v="1"/>
    <x v="36"/>
    <x v="2"/>
    <x v="5"/>
    <x v="1"/>
    <n v="94"/>
    <n v="0"/>
  </r>
  <r>
    <n v="3284"/>
    <x v="36"/>
    <x v="1"/>
    <s v="Jacket"/>
    <x v="2"/>
    <n v="24"/>
    <s v="North Carolina"/>
    <s v="L"/>
    <s v="Purple"/>
    <x v="1"/>
    <x v="3"/>
    <s v="No"/>
    <x v="0"/>
    <x v="1"/>
    <x v="1"/>
    <x v="9"/>
    <x v="5"/>
    <x v="6"/>
    <x v="2"/>
    <n v="24"/>
    <n v="0"/>
  </r>
  <r>
    <n v="3285"/>
    <x v="27"/>
    <x v="1"/>
    <s v="Scarf"/>
    <x v="3"/>
    <n v="79"/>
    <s v="Kentucky"/>
    <s v="L"/>
    <s v="White"/>
    <x v="1"/>
    <x v="9"/>
    <s v="No"/>
    <x v="4"/>
    <x v="1"/>
    <x v="1"/>
    <x v="41"/>
    <x v="0"/>
    <x v="2"/>
    <x v="0"/>
    <n v="79"/>
    <n v="0"/>
  </r>
  <r>
    <n v="3286"/>
    <x v="44"/>
    <x v="1"/>
    <s v="Hat"/>
    <x v="3"/>
    <n v="31"/>
    <s v="Hawaii"/>
    <s v="XL"/>
    <s v="Magenta"/>
    <x v="3"/>
    <x v="12"/>
    <s v="No"/>
    <x v="1"/>
    <x v="1"/>
    <x v="1"/>
    <x v="47"/>
    <x v="1"/>
    <x v="1"/>
    <x v="0"/>
    <n v="31"/>
    <n v="0"/>
  </r>
  <r>
    <n v="3287"/>
    <x v="4"/>
    <x v="1"/>
    <s v="Jacket"/>
    <x v="2"/>
    <n v="67"/>
    <s v="Illinois"/>
    <s v="L"/>
    <s v="Pink"/>
    <x v="0"/>
    <x v="16"/>
    <s v="No"/>
    <x v="0"/>
    <x v="1"/>
    <x v="1"/>
    <x v="7"/>
    <x v="0"/>
    <x v="0"/>
    <x v="2"/>
    <n v="67"/>
    <n v="0"/>
  </r>
  <r>
    <n v="3288"/>
    <x v="41"/>
    <x v="1"/>
    <s v="Skirt"/>
    <x v="0"/>
    <n v="63"/>
    <s v="West Virginia"/>
    <s v="L"/>
    <s v="Black"/>
    <x v="1"/>
    <x v="24"/>
    <s v="No"/>
    <x v="4"/>
    <x v="1"/>
    <x v="1"/>
    <x v="25"/>
    <x v="2"/>
    <x v="1"/>
    <x v="1"/>
    <n v="63"/>
    <n v="0"/>
  </r>
  <r>
    <n v="3289"/>
    <x v="29"/>
    <x v="1"/>
    <s v="Handbag"/>
    <x v="3"/>
    <n v="61"/>
    <s v="South Carolina"/>
    <s v="XL"/>
    <s v="White"/>
    <x v="1"/>
    <x v="8"/>
    <s v="No"/>
    <x v="2"/>
    <x v="1"/>
    <x v="1"/>
    <x v="5"/>
    <x v="2"/>
    <x v="4"/>
    <x v="0"/>
    <n v="61"/>
    <n v="0"/>
  </r>
  <r>
    <n v="3290"/>
    <x v="18"/>
    <x v="1"/>
    <s v="Backpack"/>
    <x v="3"/>
    <n v="50"/>
    <s v="Montana"/>
    <s v="M"/>
    <s v="Maroon"/>
    <x v="2"/>
    <x v="17"/>
    <s v="No"/>
    <x v="4"/>
    <x v="1"/>
    <x v="1"/>
    <x v="20"/>
    <x v="0"/>
    <x v="6"/>
    <x v="2"/>
    <n v="50"/>
    <n v="0"/>
  </r>
  <r>
    <n v="3291"/>
    <x v="16"/>
    <x v="1"/>
    <s v="Coat"/>
    <x v="2"/>
    <n v="82"/>
    <s v="North Dakota"/>
    <s v="L"/>
    <s v="Black"/>
    <x v="1"/>
    <x v="0"/>
    <s v="No"/>
    <x v="1"/>
    <x v="1"/>
    <x v="1"/>
    <x v="1"/>
    <x v="3"/>
    <x v="5"/>
    <x v="0"/>
    <n v="82"/>
    <n v="0"/>
  </r>
  <r>
    <n v="3292"/>
    <x v="26"/>
    <x v="1"/>
    <s v="Belt"/>
    <x v="3"/>
    <n v="51"/>
    <s v="New Mexico"/>
    <s v="L"/>
    <s v="Olive"/>
    <x v="3"/>
    <x v="5"/>
    <s v="No"/>
    <x v="4"/>
    <x v="1"/>
    <x v="1"/>
    <x v="47"/>
    <x v="1"/>
    <x v="5"/>
    <x v="2"/>
    <n v="51"/>
    <n v="0"/>
  </r>
  <r>
    <n v="3293"/>
    <x v="46"/>
    <x v="1"/>
    <s v="Handbag"/>
    <x v="3"/>
    <n v="23"/>
    <s v="Missouri"/>
    <s v="L"/>
    <s v="Gray"/>
    <x v="1"/>
    <x v="8"/>
    <s v="No"/>
    <x v="3"/>
    <x v="1"/>
    <x v="1"/>
    <x v="27"/>
    <x v="4"/>
    <x v="0"/>
    <x v="0"/>
    <n v="23"/>
    <n v="0"/>
  </r>
  <r>
    <n v="3294"/>
    <x v="1"/>
    <x v="1"/>
    <s v="Coat"/>
    <x v="2"/>
    <n v="91"/>
    <s v="West Virginia"/>
    <s v="M"/>
    <s v="Gold"/>
    <x v="1"/>
    <x v="1"/>
    <s v="No"/>
    <x v="4"/>
    <x v="1"/>
    <x v="1"/>
    <x v="39"/>
    <x v="2"/>
    <x v="0"/>
    <x v="1"/>
    <n v="91"/>
    <n v="0"/>
  </r>
  <r>
    <n v="3295"/>
    <x v="46"/>
    <x v="1"/>
    <s v="Sweater"/>
    <x v="0"/>
    <n v="60"/>
    <s v="South Carolina"/>
    <s v="S"/>
    <s v="Magenta"/>
    <x v="1"/>
    <x v="9"/>
    <s v="No"/>
    <x v="5"/>
    <x v="1"/>
    <x v="1"/>
    <x v="28"/>
    <x v="4"/>
    <x v="4"/>
    <x v="0"/>
    <n v="60"/>
    <n v="0"/>
  </r>
  <r>
    <n v="3296"/>
    <x v="27"/>
    <x v="1"/>
    <s v="Blouse"/>
    <x v="0"/>
    <n v="34"/>
    <s v="West Virginia"/>
    <s v="S"/>
    <s v="Lavender"/>
    <x v="2"/>
    <x v="11"/>
    <s v="No"/>
    <x v="2"/>
    <x v="1"/>
    <x v="1"/>
    <x v="28"/>
    <x v="1"/>
    <x v="1"/>
    <x v="0"/>
    <n v="34"/>
    <n v="0"/>
  </r>
  <r>
    <n v="3297"/>
    <x v="30"/>
    <x v="1"/>
    <s v="Blouse"/>
    <x v="0"/>
    <n v="23"/>
    <s v="Alaska"/>
    <s v="M"/>
    <s v="Green"/>
    <x v="1"/>
    <x v="19"/>
    <s v="No"/>
    <x v="2"/>
    <x v="1"/>
    <x v="1"/>
    <x v="39"/>
    <x v="0"/>
    <x v="3"/>
    <x v="1"/>
    <n v="23"/>
    <n v="0"/>
  </r>
  <r>
    <n v="3298"/>
    <x v="29"/>
    <x v="1"/>
    <s v="Belt"/>
    <x v="3"/>
    <n v="82"/>
    <s v="West Virginia"/>
    <s v="M"/>
    <s v="Violet"/>
    <x v="3"/>
    <x v="7"/>
    <s v="No"/>
    <x v="1"/>
    <x v="1"/>
    <x v="1"/>
    <x v="39"/>
    <x v="3"/>
    <x v="5"/>
    <x v="0"/>
    <n v="82"/>
    <n v="0"/>
  </r>
  <r>
    <n v="3299"/>
    <x v="13"/>
    <x v="1"/>
    <s v="Jacket"/>
    <x v="2"/>
    <n v="73"/>
    <s v="New Mexico"/>
    <s v="M"/>
    <s v="Brown"/>
    <x v="3"/>
    <x v="1"/>
    <s v="No"/>
    <x v="0"/>
    <x v="1"/>
    <x v="1"/>
    <x v="49"/>
    <x v="4"/>
    <x v="6"/>
    <x v="0"/>
    <n v="73"/>
    <n v="0"/>
  </r>
  <r>
    <n v="3300"/>
    <x v="4"/>
    <x v="1"/>
    <s v="Shorts"/>
    <x v="0"/>
    <n v="32"/>
    <s v="South Dakota"/>
    <s v="L"/>
    <s v="Teal"/>
    <x v="1"/>
    <x v="17"/>
    <s v="No"/>
    <x v="4"/>
    <x v="1"/>
    <x v="1"/>
    <x v="27"/>
    <x v="0"/>
    <x v="5"/>
    <x v="2"/>
    <n v="32"/>
    <n v="0"/>
  </r>
  <r>
    <n v="3301"/>
    <x v="8"/>
    <x v="1"/>
    <s v="Hat"/>
    <x v="3"/>
    <n v="80"/>
    <s v="Oklahoma"/>
    <s v="M"/>
    <s v="Charcoal"/>
    <x v="1"/>
    <x v="17"/>
    <s v="No"/>
    <x v="0"/>
    <x v="1"/>
    <x v="1"/>
    <x v="19"/>
    <x v="4"/>
    <x v="4"/>
    <x v="2"/>
    <n v="80"/>
    <n v="0"/>
  </r>
  <r>
    <n v="3302"/>
    <x v="24"/>
    <x v="1"/>
    <s v="Pants"/>
    <x v="0"/>
    <n v="58"/>
    <s v="Oklahoma"/>
    <s v="XL"/>
    <s v="Charcoal"/>
    <x v="2"/>
    <x v="25"/>
    <s v="No"/>
    <x v="1"/>
    <x v="1"/>
    <x v="1"/>
    <x v="4"/>
    <x v="2"/>
    <x v="0"/>
    <x v="2"/>
    <n v="58"/>
    <n v="0"/>
  </r>
  <r>
    <n v="3303"/>
    <x v="24"/>
    <x v="1"/>
    <s v="Blouse"/>
    <x v="0"/>
    <n v="82"/>
    <s v="Alabama"/>
    <s v="XL"/>
    <s v="Beige"/>
    <x v="0"/>
    <x v="19"/>
    <s v="No"/>
    <x v="3"/>
    <x v="1"/>
    <x v="1"/>
    <x v="4"/>
    <x v="0"/>
    <x v="4"/>
    <x v="2"/>
    <n v="82"/>
    <n v="0"/>
  </r>
  <r>
    <n v="3304"/>
    <x v="30"/>
    <x v="1"/>
    <s v="Belt"/>
    <x v="3"/>
    <n v="60"/>
    <s v="Mississippi"/>
    <s v="S"/>
    <s v="Turquoise"/>
    <x v="2"/>
    <x v="23"/>
    <s v="No"/>
    <x v="2"/>
    <x v="1"/>
    <x v="1"/>
    <x v="7"/>
    <x v="2"/>
    <x v="0"/>
    <x v="1"/>
    <n v="60"/>
    <n v="0"/>
  </r>
  <r>
    <n v="3305"/>
    <x v="11"/>
    <x v="1"/>
    <s v="Handbag"/>
    <x v="3"/>
    <n v="79"/>
    <s v="Mississippi"/>
    <s v="XL"/>
    <s v="Orange"/>
    <x v="3"/>
    <x v="6"/>
    <s v="No"/>
    <x v="2"/>
    <x v="1"/>
    <x v="1"/>
    <x v="13"/>
    <x v="4"/>
    <x v="6"/>
    <x v="2"/>
    <n v="79"/>
    <n v="0"/>
  </r>
  <r>
    <n v="3306"/>
    <x v="50"/>
    <x v="1"/>
    <s v="Hoodie"/>
    <x v="0"/>
    <n v="41"/>
    <s v="Nebraska"/>
    <s v="L"/>
    <s v="Cyan"/>
    <x v="2"/>
    <x v="8"/>
    <s v="No"/>
    <x v="3"/>
    <x v="1"/>
    <x v="1"/>
    <x v="4"/>
    <x v="3"/>
    <x v="4"/>
    <x v="2"/>
    <n v="41"/>
    <n v="0"/>
  </r>
  <r>
    <n v="3307"/>
    <x v="6"/>
    <x v="1"/>
    <s v="Jacket"/>
    <x v="2"/>
    <n v="39"/>
    <s v="Colorado"/>
    <s v="L"/>
    <s v="Orange"/>
    <x v="2"/>
    <x v="15"/>
    <s v="No"/>
    <x v="5"/>
    <x v="1"/>
    <x v="1"/>
    <x v="49"/>
    <x v="0"/>
    <x v="0"/>
    <x v="0"/>
    <n v="39"/>
    <n v="0"/>
  </r>
  <r>
    <n v="3308"/>
    <x v="20"/>
    <x v="1"/>
    <s v="Scarf"/>
    <x v="3"/>
    <n v="36"/>
    <s v="Pennsylvania"/>
    <s v="S"/>
    <s v="Green"/>
    <x v="0"/>
    <x v="17"/>
    <s v="No"/>
    <x v="5"/>
    <x v="1"/>
    <x v="1"/>
    <x v="43"/>
    <x v="1"/>
    <x v="5"/>
    <x v="1"/>
    <n v="36"/>
    <n v="0"/>
  </r>
  <r>
    <n v="3309"/>
    <x v="0"/>
    <x v="1"/>
    <s v="Jeans"/>
    <x v="0"/>
    <n v="70"/>
    <s v="Utah"/>
    <s v="M"/>
    <s v="Pink"/>
    <x v="3"/>
    <x v="5"/>
    <s v="No"/>
    <x v="0"/>
    <x v="1"/>
    <x v="1"/>
    <x v="32"/>
    <x v="1"/>
    <x v="5"/>
    <x v="0"/>
    <n v="70"/>
    <n v="0"/>
  </r>
  <r>
    <n v="3310"/>
    <x v="39"/>
    <x v="1"/>
    <s v="Handbag"/>
    <x v="3"/>
    <n v="47"/>
    <s v="Massachusetts"/>
    <s v="M"/>
    <s v="Blue"/>
    <x v="2"/>
    <x v="0"/>
    <s v="No"/>
    <x v="5"/>
    <x v="1"/>
    <x v="1"/>
    <x v="5"/>
    <x v="3"/>
    <x v="5"/>
    <x v="2"/>
    <n v="47"/>
    <n v="0"/>
  </r>
  <r>
    <n v="3311"/>
    <x v="4"/>
    <x v="1"/>
    <s v="Jacket"/>
    <x v="2"/>
    <n v="27"/>
    <s v="Iowa"/>
    <s v="M"/>
    <s v="Pink"/>
    <x v="0"/>
    <x v="15"/>
    <s v="No"/>
    <x v="1"/>
    <x v="1"/>
    <x v="1"/>
    <x v="45"/>
    <x v="3"/>
    <x v="0"/>
    <x v="2"/>
    <n v="27"/>
    <n v="0"/>
  </r>
  <r>
    <n v="3312"/>
    <x v="26"/>
    <x v="1"/>
    <s v="Hat"/>
    <x v="3"/>
    <n v="52"/>
    <s v="Florida"/>
    <s v="L"/>
    <s v="Blue"/>
    <x v="2"/>
    <x v="17"/>
    <s v="No"/>
    <x v="0"/>
    <x v="1"/>
    <x v="1"/>
    <x v="27"/>
    <x v="4"/>
    <x v="2"/>
    <x v="2"/>
    <n v="52"/>
    <n v="0"/>
  </r>
  <r>
    <n v="3313"/>
    <x v="0"/>
    <x v="1"/>
    <s v="Sneakers"/>
    <x v="1"/>
    <n v="75"/>
    <s v="Louisiana"/>
    <s v="L"/>
    <s v="Black"/>
    <x v="2"/>
    <x v="20"/>
    <s v="No"/>
    <x v="2"/>
    <x v="1"/>
    <x v="1"/>
    <x v="24"/>
    <x v="1"/>
    <x v="3"/>
    <x v="0"/>
    <n v="75"/>
    <n v="0"/>
  </r>
  <r>
    <n v="3314"/>
    <x v="0"/>
    <x v="1"/>
    <s v="Hat"/>
    <x v="3"/>
    <n v="30"/>
    <s v="Kansas"/>
    <s v="XL"/>
    <s v="Black"/>
    <x v="3"/>
    <x v="20"/>
    <s v="No"/>
    <x v="0"/>
    <x v="1"/>
    <x v="1"/>
    <x v="24"/>
    <x v="2"/>
    <x v="5"/>
    <x v="0"/>
    <n v="30"/>
    <n v="0"/>
  </r>
  <r>
    <n v="3315"/>
    <x v="0"/>
    <x v="1"/>
    <s v="Socks"/>
    <x v="0"/>
    <n v="94"/>
    <s v="Kansas"/>
    <s v="M"/>
    <s v="Violet"/>
    <x v="1"/>
    <x v="13"/>
    <s v="No"/>
    <x v="3"/>
    <x v="1"/>
    <x v="1"/>
    <x v="6"/>
    <x v="2"/>
    <x v="3"/>
    <x v="0"/>
    <n v="94"/>
    <n v="0"/>
  </r>
  <r>
    <n v="3316"/>
    <x v="39"/>
    <x v="1"/>
    <s v="Scarf"/>
    <x v="3"/>
    <n v="68"/>
    <s v="Kentucky"/>
    <s v="S"/>
    <s v="Gold"/>
    <x v="2"/>
    <x v="3"/>
    <s v="No"/>
    <x v="3"/>
    <x v="1"/>
    <x v="1"/>
    <x v="7"/>
    <x v="3"/>
    <x v="6"/>
    <x v="2"/>
    <n v="68"/>
    <n v="0"/>
  </r>
  <r>
    <n v="3317"/>
    <x v="32"/>
    <x v="1"/>
    <s v="Socks"/>
    <x v="0"/>
    <n v="45"/>
    <s v="New Mexico"/>
    <s v="M"/>
    <s v="Olive"/>
    <x v="2"/>
    <x v="0"/>
    <s v="No"/>
    <x v="1"/>
    <x v="1"/>
    <x v="1"/>
    <x v="36"/>
    <x v="5"/>
    <x v="0"/>
    <x v="2"/>
    <n v="45"/>
    <n v="0"/>
  </r>
  <r>
    <n v="3318"/>
    <x v="3"/>
    <x v="1"/>
    <s v="Hat"/>
    <x v="3"/>
    <n v="67"/>
    <s v="North Carolina"/>
    <s v="XL"/>
    <s v="Pink"/>
    <x v="2"/>
    <x v="10"/>
    <s v="No"/>
    <x v="3"/>
    <x v="1"/>
    <x v="1"/>
    <x v="48"/>
    <x v="1"/>
    <x v="3"/>
    <x v="1"/>
    <n v="67"/>
    <n v="0"/>
  </r>
  <r>
    <n v="3319"/>
    <x v="4"/>
    <x v="1"/>
    <s v="Jacket"/>
    <x v="2"/>
    <n v="46"/>
    <s v="North Dakota"/>
    <s v="M"/>
    <s v="Olive"/>
    <x v="2"/>
    <x v="20"/>
    <s v="No"/>
    <x v="1"/>
    <x v="1"/>
    <x v="1"/>
    <x v="28"/>
    <x v="3"/>
    <x v="5"/>
    <x v="2"/>
    <n v="46"/>
    <n v="0"/>
  </r>
  <r>
    <n v="3320"/>
    <x v="51"/>
    <x v="1"/>
    <s v="Shorts"/>
    <x v="0"/>
    <n v="31"/>
    <s v="North Dakota"/>
    <s v="M"/>
    <s v="Indigo"/>
    <x v="2"/>
    <x v="24"/>
    <s v="No"/>
    <x v="2"/>
    <x v="1"/>
    <x v="1"/>
    <x v="14"/>
    <x v="2"/>
    <x v="6"/>
    <x v="1"/>
    <n v="31"/>
    <n v="0"/>
  </r>
  <r>
    <n v="3321"/>
    <x v="17"/>
    <x v="1"/>
    <s v="Blouse"/>
    <x v="0"/>
    <n v="44"/>
    <s v="Illinois"/>
    <s v="XL"/>
    <s v="Silver"/>
    <x v="3"/>
    <x v="19"/>
    <s v="No"/>
    <x v="4"/>
    <x v="1"/>
    <x v="1"/>
    <x v="24"/>
    <x v="1"/>
    <x v="6"/>
    <x v="0"/>
    <n v="44"/>
    <n v="0"/>
  </r>
  <r>
    <n v="3322"/>
    <x v="45"/>
    <x v="1"/>
    <s v="Coat"/>
    <x v="2"/>
    <n v="100"/>
    <s v="Maine"/>
    <s v="S"/>
    <s v="Charcoal"/>
    <x v="0"/>
    <x v="24"/>
    <s v="No"/>
    <x v="2"/>
    <x v="1"/>
    <x v="1"/>
    <x v="35"/>
    <x v="0"/>
    <x v="2"/>
    <x v="2"/>
    <n v="100"/>
    <n v="0"/>
  </r>
  <r>
    <n v="3323"/>
    <x v="16"/>
    <x v="1"/>
    <s v="Sweater"/>
    <x v="0"/>
    <n v="92"/>
    <s v="Indiana"/>
    <s v="XL"/>
    <s v="Orange"/>
    <x v="0"/>
    <x v="12"/>
    <s v="No"/>
    <x v="2"/>
    <x v="1"/>
    <x v="1"/>
    <x v="34"/>
    <x v="3"/>
    <x v="1"/>
    <x v="0"/>
    <n v="92"/>
    <n v="0"/>
  </r>
  <r>
    <n v="3324"/>
    <x v="22"/>
    <x v="1"/>
    <s v="Handbag"/>
    <x v="3"/>
    <n v="78"/>
    <s v="North Dakota"/>
    <s v="M"/>
    <s v="Yellow"/>
    <x v="0"/>
    <x v="22"/>
    <s v="No"/>
    <x v="1"/>
    <x v="1"/>
    <x v="1"/>
    <x v="7"/>
    <x v="2"/>
    <x v="5"/>
    <x v="0"/>
    <n v="78"/>
    <n v="0"/>
  </r>
  <r>
    <n v="3325"/>
    <x v="43"/>
    <x v="1"/>
    <s v="T-shirt"/>
    <x v="0"/>
    <n v="32"/>
    <s v="Missouri"/>
    <s v="S"/>
    <s v="Red"/>
    <x v="3"/>
    <x v="13"/>
    <s v="No"/>
    <x v="3"/>
    <x v="1"/>
    <x v="1"/>
    <x v="23"/>
    <x v="0"/>
    <x v="1"/>
    <x v="2"/>
    <n v="32"/>
    <n v="0"/>
  </r>
  <r>
    <n v="3326"/>
    <x v="26"/>
    <x v="1"/>
    <s v="Sandals"/>
    <x v="1"/>
    <n v="97"/>
    <s v="Alaska"/>
    <s v="M"/>
    <s v="Maroon"/>
    <x v="3"/>
    <x v="18"/>
    <s v="No"/>
    <x v="4"/>
    <x v="1"/>
    <x v="1"/>
    <x v="20"/>
    <x v="0"/>
    <x v="5"/>
    <x v="2"/>
    <n v="97"/>
    <n v="0"/>
  </r>
  <r>
    <n v="3327"/>
    <x v="36"/>
    <x v="1"/>
    <s v="Gloves"/>
    <x v="3"/>
    <n v="95"/>
    <s v="North Dakota"/>
    <s v="M"/>
    <s v="Magenta"/>
    <x v="2"/>
    <x v="24"/>
    <s v="No"/>
    <x v="3"/>
    <x v="1"/>
    <x v="1"/>
    <x v="9"/>
    <x v="5"/>
    <x v="2"/>
    <x v="2"/>
    <n v="95"/>
    <n v="0"/>
  </r>
  <r>
    <n v="3328"/>
    <x v="36"/>
    <x v="1"/>
    <s v="Shorts"/>
    <x v="0"/>
    <n v="64"/>
    <s v="Connecticut"/>
    <s v="M"/>
    <s v="Black"/>
    <x v="1"/>
    <x v="7"/>
    <s v="No"/>
    <x v="0"/>
    <x v="1"/>
    <x v="1"/>
    <x v="1"/>
    <x v="5"/>
    <x v="3"/>
    <x v="2"/>
    <n v="64"/>
    <n v="0"/>
  </r>
  <r>
    <n v="3329"/>
    <x v="32"/>
    <x v="1"/>
    <s v="Sandals"/>
    <x v="1"/>
    <n v="35"/>
    <s v="Wisconsin"/>
    <s v="M"/>
    <s v="Violet"/>
    <x v="1"/>
    <x v="4"/>
    <s v="No"/>
    <x v="1"/>
    <x v="1"/>
    <x v="1"/>
    <x v="47"/>
    <x v="1"/>
    <x v="4"/>
    <x v="2"/>
    <n v="35"/>
    <n v="0"/>
  </r>
  <r>
    <n v="3330"/>
    <x v="50"/>
    <x v="1"/>
    <s v="Backpack"/>
    <x v="3"/>
    <n v="54"/>
    <s v="New Jersey"/>
    <s v="M"/>
    <s v="Gray"/>
    <x v="0"/>
    <x v="22"/>
    <s v="No"/>
    <x v="0"/>
    <x v="1"/>
    <x v="1"/>
    <x v="43"/>
    <x v="5"/>
    <x v="4"/>
    <x v="2"/>
    <n v="54"/>
    <n v="0"/>
  </r>
  <r>
    <n v="3331"/>
    <x v="21"/>
    <x v="1"/>
    <s v="Sneakers"/>
    <x v="1"/>
    <n v="96"/>
    <s v="Missouri"/>
    <s v="M"/>
    <s v="Black"/>
    <x v="1"/>
    <x v="4"/>
    <s v="No"/>
    <x v="4"/>
    <x v="1"/>
    <x v="1"/>
    <x v="23"/>
    <x v="4"/>
    <x v="3"/>
    <x v="2"/>
    <n v="96"/>
    <n v="0"/>
  </r>
  <r>
    <n v="3332"/>
    <x v="0"/>
    <x v="1"/>
    <s v="Sunglasses"/>
    <x v="3"/>
    <n v="58"/>
    <s v="California"/>
    <s v="M"/>
    <s v="Pink"/>
    <x v="2"/>
    <x v="1"/>
    <s v="No"/>
    <x v="1"/>
    <x v="1"/>
    <x v="1"/>
    <x v="30"/>
    <x v="3"/>
    <x v="3"/>
    <x v="0"/>
    <n v="58"/>
    <n v="0"/>
  </r>
  <r>
    <n v="3333"/>
    <x v="7"/>
    <x v="1"/>
    <s v="T-shirt"/>
    <x v="0"/>
    <n v="23"/>
    <s v="Washington"/>
    <s v="M"/>
    <s v="Silver"/>
    <x v="2"/>
    <x v="0"/>
    <s v="No"/>
    <x v="4"/>
    <x v="1"/>
    <x v="1"/>
    <x v="43"/>
    <x v="3"/>
    <x v="4"/>
    <x v="2"/>
    <n v="23"/>
    <n v="0"/>
  </r>
  <r>
    <n v="3334"/>
    <x v="0"/>
    <x v="1"/>
    <s v="Jeans"/>
    <x v="0"/>
    <n v="35"/>
    <s v="Minnesota"/>
    <s v="M"/>
    <s v="Violet"/>
    <x v="1"/>
    <x v="19"/>
    <s v="No"/>
    <x v="0"/>
    <x v="1"/>
    <x v="1"/>
    <x v="35"/>
    <x v="3"/>
    <x v="5"/>
    <x v="0"/>
    <n v="35"/>
    <n v="0"/>
  </r>
  <r>
    <n v="3335"/>
    <x v="17"/>
    <x v="1"/>
    <s v="Shirt"/>
    <x v="0"/>
    <n v="23"/>
    <s v="California"/>
    <s v="M"/>
    <s v="Beige"/>
    <x v="2"/>
    <x v="23"/>
    <s v="No"/>
    <x v="1"/>
    <x v="1"/>
    <x v="1"/>
    <x v="33"/>
    <x v="2"/>
    <x v="2"/>
    <x v="0"/>
    <n v="23"/>
    <n v="0"/>
  </r>
  <r>
    <n v="3336"/>
    <x v="42"/>
    <x v="1"/>
    <s v="Hat"/>
    <x v="3"/>
    <n v="94"/>
    <s v="Texas"/>
    <s v="XL"/>
    <s v="Cyan"/>
    <x v="0"/>
    <x v="1"/>
    <s v="No"/>
    <x v="0"/>
    <x v="1"/>
    <x v="1"/>
    <x v="26"/>
    <x v="4"/>
    <x v="3"/>
    <x v="2"/>
    <n v="94"/>
    <n v="0"/>
  </r>
  <r>
    <n v="3337"/>
    <x v="31"/>
    <x v="1"/>
    <s v="Blouse"/>
    <x v="0"/>
    <n v="45"/>
    <s v="Montana"/>
    <s v="M"/>
    <s v="Brown"/>
    <x v="3"/>
    <x v="17"/>
    <s v="No"/>
    <x v="1"/>
    <x v="1"/>
    <x v="1"/>
    <x v="37"/>
    <x v="5"/>
    <x v="2"/>
    <x v="2"/>
    <n v="45"/>
    <n v="0"/>
  </r>
  <r>
    <n v="3338"/>
    <x v="51"/>
    <x v="1"/>
    <s v="Jacket"/>
    <x v="2"/>
    <n v="23"/>
    <s v="Arizona"/>
    <s v="L"/>
    <s v="Blue"/>
    <x v="0"/>
    <x v="14"/>
    <s v="No"/>
    <x v="4"/>
    <x v="1"/>
    <x v="1"/>
    <x v="24"/>
    <x v="4"/>
    <x v="4"/>
    <x v="1"/>
    <n v="23"/>
    <n v="0"/>
  </r>
  <r>
    <n v="3339"/>
    <x v="26"/>
    <x v="1"/>
    <s v="Skirt"/>
    <x v="0"/>
    <n v="94"/>
    <s v="Minnesota"/>
    <s v="L"/>
    <s v="White"/>
    <x v="0"/>
    <x v="3"/>
    <s v="No"/>
    <x v="4"/>
    <x v="1"/>
    <x v="1"/>
    <x v="15"/>
    <x v="2"/>
    <x v="5"/>
    <x v="2"/>
    <n v="94"/>
    <n v="0"/>
  </r>
  <r>
    <n v="3340"/>
    <x v="30"/>
    <x v="1"/>
    <s v="Gloves"/>
    <x v="3"/>
    <n v="99"/>
    <s v="Nebraska"/>
    <s v="M"/>
    <s v="Cyan"/>
    <x v="3"/>
    <x v="15"/>
    <s v="No"/>
    <x v="5"/>
    <x v="1"/>
    <x v="1"/>
    <x v="31"/>
    <x v="1"/>
    <x v="0"/>
    <x v="1"/>
    <n v="99"/>
    <n v="0"/>
  </r>
  <r>
    <n v="3341"/>
    <x v="32"/>
    <x v="1"/>
    <s v="T-shirt"/>
    <x v="0"/>
    <n v="36"/>
    <s v="Virginia"/>
    <s v="XL"/>
    <s v="Maroon"/>
    <x v="3"/>
    <x v="14"/>
    <s v="No"/>
    <x v="1"/>
    <x v="1"/>
    <x v="1"/>
    <x v="39"/>
    <x v="2"/>
    <x v="0"/>
    <x v="2"/>
    <n v="36"/>
    <n v="0"/>
  </r>
  <r>
    <n v="3342"/>
    <x v="0"/>
    <x v="1"/>
    <s v="Jacket"/>
    <x v="2"/>
    <n v="50"/>
    <s v="Connecticut"/>
    <s v="XL"/>
    <s v="Olive"/>
    <x v="2"/>
    <x v="9"/>
    <s v="No"/>
    <x v="3"/>
    <x v="1"/>
    <x v="1"/>
    <x v="31"/>
    <x v="2"/>
    <x v="5"/>
    <x v="0"/>
    <n v="50"/>
    <n v="0"/>
  </r>
  <r>
    <n v="3343"/>
    <x v="17"/>
    <x v="1"/>
    <s v="Jacket"/>
    <x v="2"/>
    <n v="81"/>
    <s v="New Jersey"/>
    <s v="M"/>
    <s v="Violet"/>
    <x v="1"/>
    <x v="22"/>
    <s v="No"/>
    <x v="1"/>
    <x v="1"/>
    <x v="1"/>
    <x v="24"/>
    <x v="2"/>
    <x v="1"/>
    <x v="0"/>
    <n v="81"/>
    <n v="0"/>
  </r>
  <r>
    <n v="3344"/>
    <x v="41"/>
    <x v="1"/>
    <s v="Shorts"/>
    <x v="0"/>
    <n v="31"/>
    <s v="Kentucky"/>
    <s v="XL"/>
    <s v="Green"/>
    <x v="0"/>
    <x v="15"/>
    <s v="No"/>
    <x v="4"/>
    <x v="1"/>
    <x v="1"/>
    <x v="49"/>
    <x v="1"/>
    <x v="4"/>
    <x v="1"/>
    <n v="31"/>
    <n v="0"/>
  </r>
  <r>
    <n v="3345"/>
    <x v="46"/>
    <x v="1"/>
    <s v="Hat"/>
    <x v="3"/>
    <n v="48"/>
    <s v="Washington"/>
    <s v="XL"/>
    <s v="Magenta"/>
    <x v="3"/>
    <x v="24"/>
    <s v="No"/>
    <x v="1"/>
    <x v="1"/>
    <x v="1"/>
    <x v="41"/>
    <x v="1"/>
    <x v="2"/>
    <x v="0"/>
    <n v="48"/>
    <n v="0"/>
  </r>
  <r>
    <n v="3346"/>
    <x v="48"/>
    <x v="1"/>
    <s v="Handbag"/>
    <x v="3"/>
    <n v="91"/>
    <s v="Florida"/>
    <s v="M"/>
    <s v="Turquoise"/>
    <x v="2"/>
    <x v="17"/>
    <s v="No"/>
    <x v="4"/>
    <x v="1"/>
    <x v="1"/>
    <x v="35"/>
    <x v="0"/>
    <x v="4"/>
    <x v="2"/>
    <n v="91"/>
    <n v="0"/>
  </r>
  <r>
    <n v="3347"/>
    <x v="11"/>
    <x v="1"/>
    <s v="Jeans"/>
    <x v="0"/>
    <n v="99"/>
    <s v="Oklahoma"/>
    <s v="M"/>
    <s v="Black"/>
    <x v="2"/>
    <x v="23"/>
    <s v="No"/>
    <x v="0"/>
    <x v="1"/>
    <x v="1"/>
    <x v="48"/>
    <x v="0"/>
    <x v="3"/>
    <x v="2"/>
    <n v="99"/>
    <n v="0"/>
  </r>
  <r>
    <n v="3348"/>
    <x v="40"/>
    <x v="1"/>
    <s v="Shoes"/>
    <x v="1"/>
    <n v="70"/>
    <s v="Iowa"/>
    <s v="XL"/>
    <s v="Cyan"/>
    <x v="2"/>
    <x v="14"/>
    <s v="No"/>
    <x v="3"/>
    <x v="1"/>
    <x v="1"/>
    <x v="40"/>
    <x v="3"/>
    <x v="4"/>
    <x v="1"/>
    <n v="70"/>
    <n v="0"/>
  </r>
  <r>
    <n v="3349"/>
    <x v="48"/>
    <x v="1"/>
    <s v="T-shirt"/>
    <x v="0"/>
    <n v="74"/>
    <s v="New Hampshire"/>
    <s v="L"/>
    <s v="Gray"/>
    <x v="0"/>
    <x v="11"/>
    <s v="No"/>
    <x v="3"/>
    <x v="1"/>
    <x v="1"/>
    <x v="28"/>
    <x v="1"/>
    <x v="6"/>
    <x v="2"/>
    <n v="74"/>
    <n v="0"/>
  </r>
  <r>
    <n v="3350"/>
    <x v="25"/>
    <x v="1"/>
    <s v="Jewelry"/>
    <x v="3"/>
    <n v="79"/>
    <s v="Georgia"/>
    <s v="M"/>
    <s v="Red"/>
    <x v="3"/>
    <x v="11"/>
    <s v="No"/>
    <x v="5"/>
    <x v="1"/>
    <x v="1"/>
    <x v="32"/>
    <x v="3"/>
    <x v="3"/>
    <x v="2"/>
    <n v="79"/>
    <n v="0"/>
  </r>
  <r>
    <n v="3351"/>
    <x v="4"/>
    <x v="1"/>
    <s v="Handbag"/>
    <x v="3"/>
    <n v="33"/>
    <s v="Mississippi"/>
    <s v="S"/>
    <s v="Olive"/>
    <x v="3"/>
    <x v="8"/>
    <s v="No"/>
    <x v="4"/>
    <x v="1"/>
    <x v="1"/>
    <x v="28"/>
    <x v="1"/>
    <x v="4"/>
    <x v="2"/>
    <n v="33"/>
    <n v="0"/>
  </r>
  <r>
    <n v="3352"/>
    <x v="49"/>
    <x v="1"/>
    <s v="Shirt"/>
    <x v="0"/>
    <n v="49"/>
    <s v="New Hampshire"/>
    <s v="L"/>
    <s v="Cyan"/>
    <x v="1"/>
    <x v="19"/>
    <s v="No"/>
    <x v="4"/>
    <x v="1"/>
    <x v="1"/>
    <x v="27"/>
    <x v="4"/>
    <x v="0"/>
    <x v="2"/>
    <n v="49"/>
    <n v="0"/>
  </r>
  <r>
    <n v="3353"/>
    <x v="0"/>
    <x v="1"/>
    <s v="Belt"/>
    <x v="3"/>
    <n v="96"/>
    <s v="Washington"/>
    <s v="M"/>
    <s v="Teal"/>
    <x v="2"/>
    <x v="3"/>
    <s v="No"/>
    <x v="2"/>
    <x v="1"/>
    <x v="1"/>
    <x v="22"/>
    <x v="4"/>
    <x v="4"/>
    <x v="0"/>
    <n v="96"/>
    <n v="0"/>
  </r>
  <r>
    <n v="3354"/>
    <x v="18"/>
    <x v="1"/>
    <s v="Dress"/>
    <x v="0"/>
    <n v="66"/>
    <s v="Ohio"/>
    <s v="L"/>
    <s v="Teal"/>
    <x v="3"/>
    <x v="12"/>
    <s v="No"/>
    <x v="1"/>
    <x v="1"/>
    <x v="1"/>
    <x v="5"/>
    <x v="2"/>
    <x v="6"/>
    <x v="2"/>
    <n v="66"/>
    <n v="0"/>
  </r>
  <r>
    <n v="3355"/>
    <x v="32"/>
    <x v="1"/>
    <s v="Skirt"/>
    <x v="0"/>
    <n v="45"/>
    <s v="Maryland"/>
    <s v="M"/>
    <s v="Orange"/>
    <x v="3"/>
    <x v="11"/>
    <s v="No"/>
    <x v="2"/>
    <x v="1"/>
    <x v="1"/>
    <x v="28"/>
    <x v="3"/>
    <x v="1"/>
    <x v="2"/>
    <n v="45"/>
    <n v="0"/>
  </r>
  <r>
    <n v="3356"/>
    <x v="37"/>
    <x v="1"/>
    <s v="Blouse"/>
    <x v="0"/>
    <n v="28"/>
    <s v="Delaware"/>
    <s v="M"/>
    <s v="Peach"/>
    <x v="1"/>
    <x v="5"/>
    <s v="No"/>
    <x v="5"/>
    <x v="1"/>
    <x v="1"/>
    <x v="35"/>
    <x v="4"/>
    <x v="4"/>
    <x v="2"/>
    <n v="28"/>
    <n v="0"/>
  </r>
  <r>
    <n v="3357"/>
    <x v="31"/>
    <x v="1"/>
    <s v="Jeans"/>
    <x v="0"/>
    <n v="48"/>
    <s v="Tennessee"/>
    <s v="M"/>
    <s v="Silver"/>
    <x v="2"/>
    <x v="1"/>
    <s v="No"/>
    <x v="5"/>
    <x v="1"/>
    <x v="1"/>
    <x v="21"/>
    <x v="3"/>
    <x v="4"/>
    <x v="2"/>
    <n v="48"/>
    <n v="0"/>
  </r>
  <r>
    <n v="3358"/>
    <x v="38"/>
    <x v="1"/>
    <s v="Hoodie"/>
    <x v="0"/>
    <n v="67"/>
    <s v="Arkansas"/>
    <s v="M"/>
    <s v="Pink"/>
    <x v="0"/>
    <x v="1"/>
    <s v="No"/>
    <x v="1"/>
    <x v="1"/>
    <x v="1"/>
    <x v="10"/>
    <x v="2"/>
    <x v="5"/>
    <x v="2"/>
    <n v="67"/>
    <n v="0"/>
  </r>
  <r>
    <n v="3359"/>
    <x v="19"/>
    <x v="1"/>
    <s v="T-shirt"/>
    <x v="0"/>
    <n v="59"/>
    <s v="Tennessee"/>
    <s v="M"/>
    <s v="Magenta"/>
    <x v="3"/>
    <x v="23"/>
    <s v="No"/>
    <x v="4"/>
    <x v="1"/>
    <x v="1"/>
    <x v="8"/>
    <x v="1"/>
    <x v="2"/>
    <x v="0"/>
    <n v="59"/>
    <n v="0"/>
  </r>
  <r>
    <n v="3360"/>
    <x v="49"/>
    <x v="1"/>
    <s v="Sunglasses"/>
    <x v="3"/>
    <n v="74"/>
    <s v="New Hampshire"/>
    <s v="L"/>
    <s v="Red"/>
    <x v="3"/>
    <x v="20"/>
    <s v="No"/>
    <x v="2"/>
    <x v="1"/>
    <x v="1"/>
    <x v="32"/>
    <x v="5"/>
    <x v="5"/>
    <x v="2"/>
    <n v="74"/>
    <n v="0"/>
  </r>
  <r>
    <n v="3361"/>
    <x v="40"/>
    <x v="1"/>
    <s v="Jacket"/>
    <x v="2"/>
    <n v="81"/>
    <s v="Minnesota"/>
    <s v="M"/>
    <s v="Maroon"/>
    <x v="1"/>
    <x v="13"/>
    <s v="No"/>
    <x v="4"/>
    <x v="1"/>
    <x v="1"/>
    <x v="39"/>
    <x v="1"/>
    <x v="6"/>
    <x v="1"/>
    <n v="81"/>
    <n v="0"/>
  </r>
  <r>
    <n v="3362"/>
    <x v="36"/>
    <x v="1"/>
    <s v="Shoes"/>
    <x v="1"/>
    <n v="26"/>
    <s v="Florida"/>
    <s v="M"/>
    <s v="Silver"/>
    <x v="1"/>
    <x v="7"/>
    <s v="No"/>
    <x v="1"/>
    <x v="1"/>
    <x v="1"/>
    <x v="39"/>
    <x v="2"/>
    <x v="4"/>
    <x v="2"/>
    <n v="26"/>
    <n v="0"/>
  </r>
  <r>
    <n v="3363"/>
    <x v="2"/>
    <x v="1"/>
    <s v="Handbag"/>
    <x v="3"/>
    <n v="61"/>
    <s v="Tennessee"/>
    <s v="M"/>
    <s v="Gray"/>
    <x v="2"/>
    <x v="21"/>
    <s v="No"/>
    <x v="2"/>
    <x v="1"/>
    <x v="1"/>
    <x v="26"/>
    <x v="0"/>
    <x v="0"/>
    <x v="2"/>
    <n v="61"/>
    <n v="0"/>
  </r>
  <r>
    <n v="3364"/>
    <x v="44"/>
    <x v="1"/>
    <s v="Sweater"/>
    <x v="0"/>
    <n v="23"/>
    <s v="California"/>
    <s v="M"/>
    <s v="Turquoise"/>
    <x v="0"/>
    <x v="21"/>
    <s v="No"/>
    <x v="2"/>
    <x v="1"/>
    <x v="1"/>
    <x v="15"/>
    <x v="4"/>
    <x v="4"/>
    <x v="0"/>
    <n v="23"/>
    <n v="0"/>
  </r>
  <r>
    <n v="3365"/>
    <x v="2"/>
    <x v="1"/>
    <s v="Scarf"/>
    <x v="3"/>
    <n v="33"/>
    <s v="Oregon"/>
    <s v="M"/>
    <s v="Peach"/>
    <x v="3"/>
    <x v="4"/>
    <s v="No"/>
    <x v="3"/>
    <x v="1"/>
    <x v="1"/>
    <x v="22"/>
    <x v="2"/>
    <x v="5"/>
    <x v="2"/>
    <n v="33"/>
    <n v="0"/>
  </r>
  <r>
    <n v="3366"/>
    <x v="49"/>
    <x v="1"/>
    <s v="Skirt"/>
    <x v="0"/>
    <n v="58"/>
    <s v="Tennessee"/>
    <s v="L"/>
    <s v="Teal"/>
    <x v="3"/>
    <x v="20"/>
    <s v="No"/>
    <x v="0"/>
    <x v="1"/>
    <x v="1"/>
    <x v="24"/>
    <x v="2"/>
    <x v="6"/>
    <x v="2"/>
    <n v="58"/>
    <n v="0"/>
  </r>
  <r>
    <n v="3367"/>
    <x v="21"/>
    <x v="1"/>
    <s v="Gloves"/>
    <x v="3"/>
    <n v="65"/>
    <s v="North Carolina"/>
    <s v="M"/>
    <s v="Red"/>
    <x v="1"/>
    <x v="15"/>
    <s v="No"/>
    <x v="4"/>
    <x v="1"/>
    <x v="1"/>
    <x v="39"/>
    <x v="5"/>
    <x v="3"/>
    <x v="2"/>
    <n v="65"/>
    <n v="0"/>
  </r>
  <r>
    <n v="3368"/>
    <x v="42"/>
    <x v="1"/>
    <s v="T-shirt"/>
    <x v="0"/>
    <n v="48"/>
    <s v="Tennessee"/>
    <s v="M"/>
    <s v="Blue"/>
    <x v="2"/>
    <x v="0"/>
    <s v="No"/>
    <x v="5"/>
    <x v="1"/>
    <x v="1"/>
    <x v="49"/>
    <x v="0"/>
    <x v="0"/>
    <x v="2"/>
    <n v="48"/>
    <n v="0"/>
  </r>
  <r>
    <n v="3369"/>
    <x v="11"/>
    <x v="1"/>
    <s v="Sandals"/>
    <x v="1"/>
    <n v="25"/>
    <s v="Nebraska"/>
    <s v="M"/>
    <s v="Blue"/>
    <x v="1"/>
    <x v="6"/>
    <s v="No"/>
    <x v="0"/>
    <x v="1"/>
    <x v="1"/>
    <x v="32"/>
    <x v="4"/>
    <x v="6"/>
    <x v="2"/>
    <n v="25"/>
    <n v="0"/>
  </r>
  <r>
    <n v="3370"/>
    <x v="36"/>
    <x v="1"/>
    <s v="Sweater"/>
    <x v="0"/>
    <n v="51"/>
    <s v="Maine"/>
    <s v="M"/>
    <s v="Indigo"/>
    <x v="0"/>
    <x v="22"/>
    <s v="No"/>
    <x v="4"/>
    <x v="1"/>
    <x v="1"/>
    <x v="38"/>
    <x v="1"/>
    <x v="5"/>
    <x v="2"/>
    <n v="51"/>
    <n v="0"/>
  </r>
  <r>
    <n v="3371"/>
    <x v="11"/>
    <x v="1"/>
    <s v="Belt"/>
    <x v="3"/>
    <n v="31"/>
    <s v="Illinois"/>
    <s v="M"/>
    <s v="Charcoal"/>
    <x v="2"/>
    <x v="11"/>
    <s v="No"/>
    <x v="5"/>
    <x v="1"/>
    <x v="1"/>
    <x v="15"/>
    <x v="1"/>
    <x v="0"/>
    <x v="2"/>
    <n v="31"/>
    <n v="0"/>
  </r>
  <r>
    <n v="3372"/>
    <x v="34"/>
    <x v="1"/>
    <s v="Hoodie"/>
    <x v="0"/>
    <n v="99"/>
    <s v="Colorado"/>
    <s v="S"/>
    <s v="Turquoise"/>
    <x v="0"/>
    <x v="17"/>
    <s v="No"/>
    <x v="2"/>
    <x v="1"/>
    <x v="1"/>
    <x v="40"/>
    <x v="3"/>
    <x v="2"/>
    <x v="2"/>
    <n v="99"/>
    <n v="0"/>
  </r>
  <r>
    <n v="3373"/>
    <x v="19"/>
    <x v="1"/>
    <s v="Socks"/>
    <x v="0"/>
    <n v="25"/>
    <s v="Pennsylvania"/>
    <s v="M"/>
    <s v="Maroon"/>
    <x v="0"/>
    <x v="12"/>
    <s v="No"/>
    <x v="1"/>
    <x v="1"/>
    <x v="1"/>
    <x v="0"/>
    <x v="2"/>
    <x v="6"/>
    <x v="0"/>
    <n v="25"/>
    <n v="0"/>
  </r>
  <r>
    <n v="3374"/>
    <x v="27"/>
    <x v="1"/>
    <s v="Sandals"/>
    <x v="1"/>
    <n v="52"/>
    <s v="Minnesota"/>
    <s v="M"/>
    <s v="Purple"/>
    <x v="1"/>
    <x v="1"/>
    <s v="No"/>
    <x v="5"/>
    <x v="1"/>
    <x v="1"/>
    <x v="45"/>
    <x v="5"/>
    <x v="6"/>
    <x v="0"/>
    <n v="52"/>
    <n v="0"/>
  </r>
  <r>
    <n v="3375"/>
    <x v="40"/>
    <x v="1"/>
    <s v="Blouse"/>
    <x v="0"/>
    <n v="47"/>
    <s v="Nevada"/>
    <s v="S"/>
    <s v="Lavender"/>
    <x v="1"/>
    <x v="18"/>
    <s v="No"/>
    <x v="4"/>
    <x v="1"/>
    <x v="1"/>
    <x v="23"/>
    <x v="5"/>
    <x v="2"/>
    <x v="1"/>
    <n v="47"/>
    <n v="0"/>
  </r>
  <r>
    <n v="3376"/>
    <x v="47"/>
    <x v="1"/>
    <s v="Boots"/>
    <x v="1"/>
    <n v="98"/>
    <s v="Connecticut"/>
    <s v="XL"/>
    <s v="Yellow"/>
    <x v="3"/>
    <x v="8"/>
    <s v="No"/>
    <x v="0"/>
    <x v="1"/>
    <x v="1"/>
    <x v="6"/>
    <x v="2"/>
    <x v="2"/>
    <x v="0"/>
    <n v="98"/>
    <n v="0"/>
  </r>
  <r>
    <n v="3377"/>
    <x v="40"/>
    <x v="1"/>
    <s v="Hat"/>
    <x v="3"/>
    <n v="46"/>
    <s v="Ohio"/>
    <s v="M"/>
    <s v="Green"/>
    <x v="0"/>
    <x v="7"/>
    <s v="No"/>
    <x v="5"/>
    <x v="1"/>
    <x v="1"/>
    <x v="37"/>
    <x v="1"/>
    <x v="3"/>
    <x v="1"/>
    <n v="46"/>
    <n v="0"/>
  </r>
  <r>
    <n v="3378"/>
    <x v="43"/>
    <x v="1"/>
    <s v="Shirt"/>
    <x v="0"/>
    <n v="32"/>
    <s v="Kentucky"/>
    <s v="M"/>
    <s v="Yellow"/>
    <x v="0"/>
    <x v="12"/>
    <s v="No"/>
    <x v="2"/>
    <x v="1"/>
    <x v="1"/>
    <x v="27"/>
    <x v="3"/>
    <x v="0"/>
    <x v="2"/>
    <n v="32"/>
    <n v="0"/>
  </r>
  <r>
    <n v="3379"/>
    <x v="34"/>
    <x v="1"/>
    <s v="Shorts"/>
    <x v="0"/>
    <n v="75"/>
    <s v="Minnesota"/>
    <s v="L"/>
    <s v="Gold"/>
    <x v="3"/>
    <x v="9"/>
    <s v="No"/>
    <x v="2"/>
    <x v="1"/>
    <x v="1"/>
    <x v="49"/>
    <x v="1"/>
    <x v="3"/>
    <x v="2"/>
    <n v="75"/>
    <n v="0"/>
  </r>
  <r>
    <n v="3380"/>
    <x v="12"/>
    <x v="1"/>
    <s v="Handbag"/>
    <x v="3"/>
    <n v="51"/>
    <s v="Tennessee"/>
    <s v="L"/>
    <s v="Turquoise"/>
    <x v="2"/>
    <x v="16"/>
    <s v="No"/>
    <x v="5"/>
    <x v="1"/>
    <x v="1"/>
    <x v="19"/>
    <x v="1"/>
    <x v="1"/>
    <x v="0"/>
    <n v="51"/>
    <n v="0"/>
  </r>
  <r>
    <n v="3381"/>
    <x v="38"/>
    <x v="1"/>
    <s v="Dress"/>
    <x v="0"/>
    <n v="52"/>
    <s v="North Dakota"/>
    <s v="L"/>
    <s v="Blue"/>
    <x v="2"/>
    <x v="22"/>
    <s v="No"/>
    <x v="3"/>
    <x v="1"/>
    <x v="1"/>
    <x v="49"/>
    <x v="3"/>
    <x v="6"/>
    <x v="2"/>
    <n v="52"/>
    <n v="0"/>
  </r>
  <r>
    <n v="3382"/>
    <x v="9"/>
    <x v="1"/>
    <s v="Hat"/>
    <x v="3"/>
    <n v="66"/>
    <s v="Minnesota"/>
    <s v="L"/>
    <s v="Turquoise"/>
    <x v="0"/>
    <x v="10"/>
    <s v="No"/>
    <x v="3"/>
    <x v="1"/>
    <x v="1"/>
    <x v="46"/>
    <x v="2"/>
    <x v="3"/>
    <x v="0"/>
    <n v="66"/>
    <n v="0"/>
  </r>
  <r>
    <n v="3383"/>
    <x v="50"/>
    <x v="1"/>
    <s v="Sweater"/>
    <x v="0"/>
    <n v="35"/>
    <s v="Nebraska"/>
    <s v="M"/>
    <s v="Maroon"/>
    <x v="1"/>
    <x v="11"/>
    <s v="No"/>
    <x v="0"/>
    <x v="1"/>
    <x v="1"/>
    <x v="1"/>
    <x v="4"/>
    <x v="1"/>
    <x v="2"/>
    <n v="35"/>
    <n v="0"/>
  </r>
  <r>
    <n v="3384"/>
    <x v="7"/>
    <x v="1"/>
    <s v="Coat"/>
    <x v="2"/>
    <n v="43"/>
    <s v="Delaware"/>
    <s v="M"/>
    <s v="Pink"/>
    <x v="3"/>
    <x v="5"/>
    <s v="No"/>
    <x v="2"/>
    <x v="1"/>
    <x v="1"/>
    <x v="30"/>
    <x v="0"/>
    <x v="4"/>
    <x v="2"/>
    <n v="43"/>
    <n v="0"/>
  </r>
  <r>
    <n v="3385"/>
    <x v="31"/>
    <x v="1"/>
    <s v="Hoodie"/>
    <x v="0"/>
    <n v="24"/>
    <s v="Minnesota"/>
    <s v="L"/>
    <s v="Maroon"/>
    <x v="2"/>
    <x v="22"/>
    <s v="No"/>
    <x v="1"/>
    <x v="1"/>
    <x v="1"/>
    <x v="44"/>
    <x v="0"/>
    <x v="3"/>
    <x v="2"/>
    <n v="24"/>
    <n v="0"/>
  </r>
  <r>
    <n v="3386"/>
    <x v="46"/>
    <x v="1"/>
    <s v="Jewelry"/>
    <x v="3"/>
    <n v="83"/>
    <s v="Rhode Island"/>
    <s v="M"/>
    <s v="Olive"/>
    <x v="0"/>
    <x v="11"/>
    <s v="No"/>
    <x v="3"/>
    <x v="1"/>
    <x v="1"/>
    <x v="20"/>
    <x v="2"/>
    <x v="6"/>
    <x v="0"/>
    <n v="83"/>
    <n v="0"/>
  </r>
  <r>
    <n v="3387"/>
    <x v="50"/>
    <x v="1"/>
    <s v="T-shirt"/>
    <x v="0"/>
    <n v="62"/>
    <s v="Michigan"/>
    <s v="M"/>
    <s v="Lavender"/>
    <x v="3"/>
    <x v="5"/>
    <s v="No"/>
    <x v="4"/>
    <x v="1"/>
    <x v="1"/>
    <x v="13"/>
    <x v="1"/>
    <x v="3"/>
    <x v="2"/>
    <n v="62"/>
    <n v="0"/>
  </r>
  <r>
    <n v="3388"/>
    <x v="10"/>
    <x v="1"/>
    <s v="Pants"/>
    <x v="0"/>
    <n v="78"/>
    <s v="New Jersey"/>
    <s v="S"/>
    <s v="Pink"/>
    <x v="1"/>
    <x v="23"/>
    <s v="No"/>
    <x v="4"/>
    <x v="1"/>
    <x v="1"/>
    <x v="1"/>
    <x v="2"/>
    <x v="4"/>
    <x v="0"/>
    <n v="78"/>
    <n v="0"/>
  </r>
  <r>
    <n v="3389"/>
    <x v="25"/>
    <x v="1"/>
    <s v="Sweater"/>
    <x v="0"/>
    <n v="61"/>
    <s v="South Dakota"/>
    <s v="M"/>
    <s v="Cyan"/>
    <x v="1"/>
    <x v="9"/>
    <s v="No"/>
    <x v="5"/>
    <x v="1"/>
    <x v="1"/>
    <x v="33"/>
    <x v="2"/>
    <x v="1"/>
    <x v="2"/>
    <n v="61"/>
    <n v="0"/>
  </r>
  <r>
    <n v="3390"/>
    <x v="21"/>
    <x v="1"/>
    <s v="Pants"/>
    <x v="0"/>
    <n v="57"/>
    <s v="North Carolina"/>
    <s v="L"/>
    <s v="Maroon"/>
    <x v="3"/>
    <x v="22"/>
    <s v="No"/>
    <x v="1"/>
    <x v="1"/>
    <x v="1"/>
    <x v="30"/>
    <x v="0"/>
    <x v="2"/>
    <x v="2"/>
    <n v="57"/>
    <n v="0"/>
  </r>
  <r>
    <n v="3391"/>
    <x v="45"/>
    <x v="1"/>
    <s v="Socks"/>
    <x v="0"/>
    <n v="70"/>
    <s v="Oregon"/>
    <s v="S"/>
    <s v="Red"/>
    <x v="2"/>
    <x v="21"/>
    <s v="No"/>
    <x v="2"/>
    <x v="1"/>
    <x v="1"/>
    <x v="25"/>
    <x v="3"/>
    <x v="2"/>
    <x v="2"/>
    <n v="70"/>
    <n v="0"/>
  </r>
  <r>
    <n v="3392"/>
    <x v="36"/>
    <x v="1"/>
    <s v="Hoodie"/>
    <x v="0"/>
    <n v="57"/>
    <s v="Montana"/>
    <s v="M"/>
    <s v="Silver"/>
    <x v="3"/>
    <x v="18"/>
    <s v="No"/>
    <x v="4"/>
    <x v="1"/>
    <x v="1"/>
    <x v="49"/>
    <x v="5"/>
    <x v="6"/>
    <x v="2"/>
    <n v="57"/>
    <n v="0"/>
  </r>
  <r>
    <n v="3393"/>
    <x v="10"/>
    <x v="1"/>
    <s v="Scarf"/>
    <x v="3"/>
    <n v="74"/>
    <s v="New Jersey"/>
    <s v="XL"/>
    <s v="Blue"/>
    <x v="0"/>
    <x v="14"/>
    <s v="No"/>
    <x v="1"/>
    <x v="1"/>
    <x v="1"/>
    <x v="49"/>
    <x v="0"/>
    <x v="4"/>
    <x v="0"/>
    <n v="74"/>
    <n v="0"/>
  </r>
  <r>
    <n v="3394"/>
    <x v="52"/>
    <x v="1"/>
    <s v="Dress"/>
    <x v="0"/>
    <n v="90"/>
    <s v="Arizona"/>
    <s v="M"/>
    <s v="Gold"/>
    <x v="3"/>
    <x v="0"/>
    <s v="No"/>
    <x v="2"/>
    <x v="1"/>
    <x v="1"/>
    <x v="16"/>
    <x v="5"/>
    <x v="5"/>
    <x v="0"/>
    <n v="90"/>
    <n v="0"/>
  </r>
  <r>
    <n v="3395"/>
    <x v="18"/>
    <x v="1"/>
    <s v="Sandals"/>
    <x v="1"/>
    <n v="98"/>
    <s v="Vermont"/>
    <s v="S"/>
    <s v="Yellow"/>
    <x v="1"/>
    <x v="19"/>
    <s v="No"/>
    <x v="5"/>
    <x v="1"/>
    <x v="1"/>
    <x v="44"/>
    <x v="3"/>
    <x v="2"/>
    <x v="2"/>
    <n v="98"/>
    <n v="0"/>
  </r>
  <r>
    <n v="3396"/>
    <x v="42"/>
    <x v="1"/>
    <s v="Dress"/>
    <x v="0"/>
    <n v="43"/>
    <s v="Colorado"/>
    <s v="M"/>
    <s v="Silver"/>
    <x v="0"/>
    <x v="0"/>
    <s v="No"/>
    <x v="1"/>
    <x v="1"/>
    <x v="1"/>
    <x v="28"/>
    <x v="5"/>
    <x v="6"/>
    <x v="2"/>
    <n v="43"/>
    <n v="0"/>
  </r>
  <r>
    <n v="3397"/>
    <x v="26"/>
    <x v="1"/>
    <s v="Pants"/>
    <x v="0"/>
    <n v="37"/>
    <s v="Tennessee"/>
    <s v="XL"/>
    <s v="Black"/>
    <x v="0"/>
    <x v="16"/>
    <s v="No"/>
    <x v="2"/>
    <x v="1"/>
    <x v="1"/>
    <x v="36"/>
    <x v="3"/>
    <x v="3"/>
    <x v="2"/>
    <n v="37"/>
    <n v="0"/>
  </r>
  <r>
    <n v="3398"/>
    <x v="1"/>
    <x v="1"/>
    <s v="Blouse"/>
    <x v="0"/>
    <n v="38"/>
    <s v="New Jersey"/>
    <s v="L"/>
    <s v="Yellow"/>
    <x v="2"/>
    <x v="2"/>
    <s v="No"/>
    <x v="3"/>
    <x v="1"/>
    <x v="1"/>
    <x v="21"/>
    <x v="4"/>
    <x v="4"/>
    <x v="1"/>
    <n v="38"/>
    <n v="0"/>
  </r>
  <r>
    <n v="3399"/>
    <x v="22"/>
    <x v="1"/>
    <s v="Jeans"/>
    <x v="0"/>
    <n v="60"/>
    <s v="Montana"/>
    <s v="L"/>
    <s v="Pink"/>
    <x v="0"/>
    <x v="22"/>
    <s v="No"/>
    <x v="3"/>
    <x v="1"/>
    <x v="1"/>
    <x v="12"/>
    <x v="1"/>
    <x v="0"/>
    <x v="0"/>
    <n v="60"/>
    <n v="0"/>
  </r>
  <r>
    <n v="3400"/>
    <x v="37"/>
    <x v="1"/>
    <s v="Pants"/>
    <x v="0"/>
    <n v="55"/>
    <s v="Montana"/>
    <s v="XL"/>
    <s v="Yellow"/>
    <x v="0"/>
    <x v="13"/>
    <s v="No"/>
    <x v="3"/>
    <x v="1"/>
    <x v="1"/>
    <x v="13"/>
    <x v="5"/>
    <x v="2"/>
    <x v="2"/>
    <n v="55"/>
    <n v="0"/>
  </r>
  <r>
    <n v="3401"/>
    <x v="31"/>
    <x v="1"/>
    <s v="Sunglasses"/>
    <x v="3"/>
    <n v="51"/>
    <s v="Nevada"/>
    <s v="M"/>
    <s v="Lavender"/>
    <x v="3"/>
    <x v="6"/>
    <s v="No"/>
    <x v="1"/>
    <x v="1"/>
    <x v="1"/>
    <x v="27"/>
    <x v="0"/>
    <x v="0"/>
    <x v="2"/>
    <n v="51"/>
    <n v="0"/>
  </r>
  <r>
    <n v="3402"/>
    <x v="42"/>
    <x v="1"/>
    <s v="Backpack"/>
    <x v="3"/>
    <n v="71"/>
    <s v="Nevada"/>
    <s v="L"/>
    <s v="Peach"/>
    <x v="0"/>
    <x v="23"/>
    <s v="No"/>
    <x v="3"/>
    <x v="1"/>
    <x v="1"/>
    <x v="30"/>
    <x v="2"/>
    <x v="1"/>
    <x v="2"/>
    <n v="71"/>
    <n v="0"/>
  </r>
  <r>
    <n v="3403"/>
    <x v="40"/>
    <x v="1"/>
    <s v="Hoodie"/>
    <x v="0"/>
    <n v="61"/>
    <s v="Louisiana"/>
    <s v="M"/>
    <s v="Black"/>
    <x v="1"/>
    <x v="14"/>
    <s v="No"/>
    <x v="4"/>
    <x v="1"/>
    <x v="1"/>
    <x v="47"/>
    <x v="3"/>
    <x v="6"/>
    <x v="1"/>
    <n v="61"/>
    <n v="0"/>
  </r>
  <r>
    <n v="3404"/>
    <x v="11"/>
    <x v="1"/>
    <s v="Boots"/>
    <x v="1"/>
    <n v="65"/>
    <s v="Illinois"/>
    <s v="M"/>
    <s v="Olive"/>
    <x v="2"/>
    <x v="20"/>
    <s v="No"/>
    <x v="3"/>
    <x v="1"/>
    <x v="1"/>
    <x v="43"/>
    <x v="1"/>
    <x v="4"/>
    <x v="2"/>
    <n v="65"/>
    <n v="0"/>
  </r>
  <r>
    <n v="3405"/>
    <x v="28"/>
    <x v="1"/>
    <s v="Gloves"/>
    <x v="3"/>
    <n v="34"/>
    <s v="South Carolina"/>
    <s v="L"/>
    <s v="Olive"/>
    <x v="3"/>
    <x v="20"/>
    <s v="No"/>
    <x v="4"/>
    <x v="1"/>
    <x v="1"/>
    <x v="11"/>
    <x v="2"/>
    <x v="2"/>
    <x v="0"/>
    <n v="34"/>
    <n v="0"/>
  </r>
  <r>
    <n v="3406"/>
    <x v="48"/>
    <x v="1"/>
    <s v="Blouse"/>
    <x v="0"/>
    <n v="87"/>
    <s v="Washington"/>
    <s v="M"/>
    <s v="White"/>
    <x v="2"/>
    <x v="19"/>
    <s v="No"/>
    <x v="5"/>
    <x v="1"/>
    <x v="1"/>
    <x v="39"/>
    <x v="4"/>
    <x v="4"/>
    <x v="2"/>
    <n v="87"/>
    <n v="0"/>
  </r>
  <r>
    <n v="3407"/>
    <x v="9"/>
    <x v="1"/>
    <s v="Sweater"/>
    <x v="0"/>
    <n v="79"/>
    <s v="Nebraska"/>
    <s v="M"/>
    <s v="Red"/>
    <x v="1"/>
    <x v="17"/>
    <s v="No"/>
    <x v="5"/>
    <x v="1"/>
    <x v="1"/>
    <x v="37"/>
    <x v="0"/>
    <x v="3"/>
    <x v="0"/>
    <n v="79"/>
    <n v="0"/>
  </r>
  <r>
    <n v="3408"/>
    <x v="5"/>
    <x v="1"/>
    <s v="Dress"/>
    <x v="0"/>
    <n v="46"/>
    <s v="Alabama"/>
    <s v="S"/>
    <s v="Purple"/>
    <x v="1"/>
    <x v="5"/>
    <s v="No"/>
    <x v="5"/>
    <x v="1"/>
    <x v="1"/>
    <x v="41"/>
    <x v="1"/>
    <x v="3"/>
    <x v="2"/>
    <n v="46"/>
    <n v="0"/>
  </r>
  <r>
    <n v="3409"/>
    <x v="39"/>
    <x v="1"/>
    <s v="Socks"/>
    <x v="0"/>
    <n v="72"/>
    <s v="Montana"/>
    <s v="L"/>
    <s v="Purple"/>
    <x v="2"/>
    <x v="14"/>
    <s v="No"/>
    <x v="3"/>
    <x v="1"/>
    <x v="1"/>
    <x v="47"/>
    <x v="4"/>
    <x v="2"/>
    <x v="2"/>
    <n v="72"/>
    <n v="0"/>
  </r>
  <r>
    <n v="3410"/>
    <x v="41"/>
    <x v="1"/>
    <s v="Shirt"/>
    <x v="0"/>
    <n v="93"/>
    <s v="Minnesota"/>
    <s v="M"/>
    <s v="Teal"/>
    <x v="2"/>
    <x v="4"/>
    <s v="No"/>
    <x v="2"/>
    <x v="1"/>
    <x v="1"/>
    <x v="35"/>
    <x v="2"/>
    <x v="6"/>
    <x v="1"/>
    <n v="93"/>
    <n v="0"/>
  </r>
  <r>
    <n v="3411"/>
    <x v="2"/>
    <x v="1"/>
    <s v="Sandals"/>
    <x v="1"/>
    <n v="76"/>
    <s v="Ohio"/>
    <s v="L"/>
    <s v="Teal"/>
    <x v="2"/>
    <x v="24"/>
    <s v="No"/>
    <x v="1"/>
    <x v="1"/>
    <x v="1"/>
    <x v="25"/>
    <x v="4"/>
    <x v="4"/>
    <x v="2"/>
    <n v="76"/>
    <n v="0"/>
  </r>
  <r>
    <n v="3412"/>
    <x v="26"/>
    <x v="1"/>
    <s v="Shoes"/>
    <x v="1"/>
    <n v="56"/>
    <s v="New York"/>
    <s v="L"/>
    <s v="Gray"/>
    <x v="0"/>
    <x v="8"/>
    <s v="No"/>
    <x v="4"/>
    <x v="1"/>
    <x v="1"/>
    <x v="24"/>
    <x v="1"/>
    <x v="1"/>
    <x v="2"/>
    <n v="56"/>
    <n v="0"/>
  </r>
  <r>
    <n v="3413"/>
    <x v="12"/>
    <x v="1"/>
    <s v="Sandals"/>
    <x v="1"/>
    <n v="83"/>
    <s v="Indiana"/>
    <s v="M"/>
    <s v="Magenta"/>
    <x v="3"/>
    <x v="22"/>
    <s v="No"/>
    <x v="5"/>
    <x v="1"/>
    <x v="1"/>
    <x v="4"/>
    <x v="0"/>
    <x v="3"/>
    <x v="0"/>
    <n v="83"/>
    <n v="0"/>
  </r>
  <r>
    <n v="3414"/>
    <x v="50"/>
    <x v="1"/>
    <s v="Gloves"/>
    <x v="3"/>
    <n v="90"/>
    <s v="Delaware"/>
    <s v="XL"/>
    <s v="Black"/>
    <x v="0"/>
    <x v="25"/>
    <s v="No"/>
    <x v="0"/>
    <x v="1"/>
    <x v="1"/>
    <x v="20"/>
    <x v="3"/>
    <x v="4"/>
    <x v="2"/>
    <n v="90"/>
    <n v="0"/>
  </r>
  <r>
    <n v="3415"/>
    <x v="7"/>
    <x v="1"/>
    <s v="Boots"/>
    <x v="1"/>
    <n v="94"/>
    <s v="Connecticut"/>
    <s v="M"/>
    <s v="Maroon"/>
    <x v="1"/>
    <x v="8"/>
    <s v="No"/>
    <x v="2"/>
    <x v="1"/>
    <x v="1"/>
    <x v="35"/>
    <x v="4"/>
    <x v="3"/>
    <x v="2"/>
    <n v="94"/>
    <n v="0"/>
  </r>
  <r>
    <n v="3416"/>
    <x v="21"/>
    <x v="1"/>
    <s v="Blouse"/>
    <x v="0"/>
    <n v="68"/>
    <s v="New York"/>
    <s v="M"/>
    <s v="Gold"/>
    <x v="3"/>
    <x v="21"/>
    <s v="No"/>
    <x v="4"/>
    <x v="1"/>
    <x v="1"/>
    <x v="28"/>
    <x v="4"/>
    <x v="2"/>
    <x v="2"/>
    <n v="68"/>
    <n v="0"/>
  </r>
  <r>
    <n v="3417"/>
    <x v="15"/>
    <x v="1"/>
    <s v="Sandals"/>
    <x v="1"/>
    <n v="53"/>
    <s v="Alabama"/>
    <s v="M"/>
    <s v="Purple"/>
    <x v="1"/>
    <x v="4"/>
    <s v="No"/>
    <x v="5"/>
    <x v="1"/>
    <x v="1"/>
    <x v="47"/>
    <x v="4"/>
    <x v="6"/>
    <x v="1"/>
    <n v="53"/>
    <n v="0"/>
  </r>
  <r>
    <n v="3418"/>
    <x v="22"/>
    <x v="1"/>
    <s v="Coat"/>
    <x v="2"/>
    <n v="35"/>
    <s v="Massachusetts"/>
    <s v="M"/>
    <s v="Blue"/>
    <x v="2"/>
    <x v="3"/>
    <s v="No"/>
    <x v="4"/>
    <x v="1"/>
    <x v="1"/>
    <x v="17"/>
    <x v="5"/>
    <x v="0"/>
    <x v="0"/>
    <n v="35"/>
    <n v="0"/>
  </r>
  <r>
    <n v="3419"/>
    <x v="10"/>
    <x v="1"/>
    <s v="Jacket"/>
    <x v="2"/>
    <n v="30"/>
    <s v="South Carolina"/>
    <s v="M"/>
    <s v="Beige"/>
    <x v="2"/>
    <x v="11"/>
    <s v="No"/>
    <x v="1"/>
    <x v="1"/>
    <x v="1"/>
    <x v="31"/>
    <x v="5"/>
    <x v="2"/>
    <x v="0"/>
    <n v="30"/>
    <n v="0"/>
  </r>
  <r>
    <n v="3420"/>
    <x v="51"/>
    <x v="1"/>
    <s v="Jewelry"/>
    <x v="3"/>
    <n v="26"/>
    <s v="West Virginia"/>
    <s v="L"/>
    <s v="Indigo"/>
    <x v="0"/>
    <x v="0"/>
    <s v="No"/>
    <x v="5"/>
    <x v="1"/>
    <x v="1"/>
    <x v="36"/>
    <x v="0"/>
    <x v="4"/>
    <x v="1"/>
    <n v="26"/>
    <n v="0"/>
  </r>
  <r>
    <n v="3421"/>
    <x v="1"/>
    <x v="1"/>
    <s v="Hat"/>
    <x v="3"/>
    <n v="60"/>
    <s v="Kentucky"/>
    <s v="M"/>
    <s v="Purple"/>
    <x v="0"/>
    <x v="23"/>
    <s v="No"/>
    <x v="0"/>
    <x v="1"/>
    <x v="1"/>
    <x v="31"/>
    <x v="3"/>
    <x v="4"/>
    <x v="1"/>
    <n v="60"/>
    <n v="0"/>
  </r>
  <r>
    <n v="3422"/>
    <x v="9"/>
    <x v="1"/>
    <s v="Shoes"/>
    <x v="1"/>
    <n v="30"/>
    <s v="New Jersey"/>
    <s v="M"/>
    <s v="Maroon"/>
    <x v="2"/>
    <x v="3"/>
    <s v="No"/>
    <x v="1"/>
    <x v="1"/>
    <x v="1"/>
    <x v="46"/>
    <x v="3"/>
    <x v="1"/>
    <x v="0"/>
    <n v="30"/>
    <n v="0"/>
  </r>
  <r>
    <n v="3423"/>
    <x v="1"/>
    <x v="1"/>
    <s v="Coat"/>
    <x v="2"/>
    <n v="91"/>
    <s v="New York"/>
    <s v="L"/>
    <s v="Beige"/>
    <x v="0"/>
    <x v="4"/>
    <s v="No"/>
    <x v="2"/>
    <x v="1"/>
    <x v="1"/>
    <x v="44"/>
    <x v="0"/>
    <x v="5"/>
    <x v="1"/>
    <n v="91"/>
    <n v="0"/>
  </r>
  <r>
    <n v="3424"/>
    <x v="23"/>
    <x v="1"/>
    <s v="Boots"/>
    <x v="1"/>
    <n v="71"/>
    <s v="Massachusetts"/>
    <s v="M"/>
    <s v="Brown"/>
    <x v="1"/>
    <x v="22"/>
    <s v="No"/>
    <x v="2"/>
    <x v="1"/>
    <x v="1"/>
    <x v="33"/>
    <x v="3"/>
    <x v="4"/>
    <x v="2"/>
    <n v="71"/>
    <n v="0"/>
  </r>
  <r>
    <n v="3425"/>
    <x v="23"/>
    <x v="1"/>
    <s v="Scarf"/>
    <x v="3"/>
    <n v="64"/>
    <s v="Florida"/>
    <s v="L"/>
    <s v="Green"/>
    <x v="2"/>
    <x v="15"/>
    <s v="No"/>
    <x v="4"/>
    <x v="1"/>
    <x v="1"/>
    <x v="2"/>
    <x v="2"/>
    <x v="5"/>
    <x v="2"/>
    <n v="64"/>
    <n v="0"/>
  </r>
  <r>
    <n v="3426"/>
    <x v="21"/>
    <x v="1"/>
    <s v="Hat"/>
    <x v="3"/>
    <n v="54"/>
    <s v="Michigan"/>
    <s v="M"/>
    <s v="Blue"/>
    <x v="2"/>
    <x v="24"/>
    <s v="No"/>
    <x v="2"/>
    <x v="1"/>
    <x v="1"/>
    <x v="35"/>
    <x v="5"/>
    <x v="4"/>
    <x v="2"/>
    <n v="54"/>
    <n v="0"/>
  </r>
  <r>
    <n v="3427"/>
    <x v="36"/>
    <x v="1"/>
    <s v="Socks"/>
    <x v="0"/>
    <n v="35"/>
    <s v="Oregon"/>
    <s v="XL"/>
    <s v="Magenta"/>
    <x v="3"/>
    <x v="6"/>
    <s v="No"/>
    <x v="4"/>
    <x v="1"/>
    <x v="1"/>
    <x v="4"/>
    <x v="2"/>
    <x v="2"/>
    <x v="2"/>
    <n v="35"/>
    <n v="0"/>
  </r>
  <r>
    <n v="3428"/>
    <x v="31"/>
    <x v="1"/>
    <s v="T-shirt"/>
    <x v="0"/>
    <n v="38"/>
    <s v="Michigan"/>
    <s v="XL"/>
    <s v="Turquoise"/>
    <x v="0"/>
    <x v="25"/>
    <s v="No"/>
    <x v="5"/>
    <x v="1"/>
    <x v="1"/>
    <x v="12"/>
    <x v="1"/>
    <x v="2"/>
    <x v="2"/>
    <n v="38"/>
    <n v="0"/>
  </r>
  <r>
    <n v="3429"/>
    <x v="45"/>
    <x v="1"/>
    <s v="Jewelry"/>
    <x v="3"/>
    <n v="69"/>
    <s v="Washington"/>
    <s v="M"/>
    <s v="Gray"/>
    <x v="3"/>
    <x v="25"/>
    <s v="No"/>
    <x v="2"/>
    <x v="1"/>
    <x v="1"/>
    <x v="41"/>
    <x v="0"/>
    <x v="5"/>
    <x v="2"/>
    <n v="69"/>
    <n v="0"/>
  </r>
  <r>
    <n v="3430"/>
    <x v="7"/>
    <x v="1"/>
    <s v="Skirt"/>
    <x v="0"/>
    <n v="96"/>
    <s v="Alaska"/>
    <s v="S"/>
    <s v="Purple"/>
    <x v="0"/>
    <x v="12"/>
    <s v="No"/>
    <x v="0"/>
    <x v="1"/>
    <x v="1"/>
    <x v="11"/>
    <x v="5"/>
    <x v="1"/>
    <x v="2"/>
    <n v="96"/>
    <n v="0"/>
  </r>
  <r>
    <n v="3431"/>
    <x v="29"/>
    <x v="1"/>
    <s v="Socks"/>
    <x v="0"/>
    <n v="73"/>
    <s v="Montana"/>
    <s v="M"/>
    <s v="Lavender"/>
    <x v="0"/>
    <x v="19"/>
    <s v="No"/>
    <x v="2"/>
    <x v="1"/>
    <x v="1"/>
    <x v="14"/>
    <x v="4"/>
    <x v="6"/>
    <x v="0"/>
    <n v="73"/>
    <n v="0"/>
  </r>
  <r>
    <n v="3432"/>
    <x v="5"/>
    <x v="1"/>
    <s v="Belt"/>
    <x v="3"/>
    <n v="49"/>
    <s v="New Mexico"/>
    <s v="S"/>
    <s v="Green"/>
    <x v="2"/>
    <x v="19"/>
    <s v="No"/>
    <x v="0"/>
    <x v="1"/>
    <x v="1"/>
    <x v="41"/>
    <x v="0"/>
    <x v="2"/>
    <x v="2"/>
    <n v="49"/>
    <n v="0"/>
  </r>
  <r>
    <n v="3433"/>
    <x v="24"/>
    <x v="1"/>
    <s v="Boots"/>
    <x v="1"/>
    <n v="44"/>
    <s v="Connecticut"/>
    <s v="M"/>
    <s v="Gray"/>
    <x v="2"/>
    <x v="6"/>
    <s v="No"/>
    <x v="4"/>
    <x v="1"/>
    <x v="1"/>
    <x v="15"/>
    <x v="3"/>
    <x v="6"/>
    <x v="2"/>
    <n v="44"/>
    <n v="0"/>
  </r>
  <r>
    <n v="3434"/>
    <x v="46"/>
    <x v="1"/>
    <s v="Socks"/>
    <x v="0"/>
    <n v="93"/>
    <s v="Alaska"/>
    <s v="M"/>
    <s v="Yellow"/>
    <x v="1"/>
    <x v="9"/>
    <s v="No"/>
    <x v="1"/>
    <x v="1"/>
    <x v="1"/>
    <x v="40"/>
    <x v="3"/>
    <x v="2"/>
    <x v="0"/>
    <n v="93"/>
    <n v="0"/>
  </r>
  <r>
    <n v="3435"/>
    <x v="18"/>
    <x v="1"/>
    <s v="Pants"/>
    <x v="0"/>
    <n v="72"/>
    <s v="Ohio"/>
    <s v="S"/>
    <s v="Orange"/>
    <x v="2"/>
    <x v="13"/>
    <s v="No"/>
    <x v="4"/>
    <x v="1"/>
    <x v="1"/>
    <x v="49"/>
    <x v="0"/>
    <x v="0"/>
    <x v="2"/>
    <n v="72"/>
    <n v="0"/>
  </r>
  <r>
    <n v="3436"/>
    <x v="33"/>
    <x v="1"/>
    <s v="Socks"/>
    <x v="0"/>
    <n v="91"/>
    <s v="Montana"/>
    <s v="M"/>
    <s v="Beige"/>
    <x v="2"/>
    <x v="2"/>
    <s v="No"/>
    <x v="4"/>
    <x v="1"/>
    <x v="1"/>
    <x v="16"/>
    <x v="5"/>
    <x v="4"/>
    <x v="0"/>
    <n v="91"/>
    <n v="0"/>
  </r>
  <r>
    <n v="3437"/>
    <x v="9"/>
    <x v="1"/>
    <s v="Belt"/>
    <x v="3"/>
    <n v="83"/>
    <s v="Nebraska"/>
    <s v="L"/>
    <s v="Peach"/>
    <x v="0"/>
    <x v="11"/>
    <s v="No"/>
    <x v="4"/>
    <x v="1"/>
    <x v="1"/>
    <x v="23"/>
    <x v="4"/>
    <x v="5"/>
    <x v="0"/>
    <n v="83"/>
    <n v="0"/>
  </r>
  <r>
    <n v="3438"/>
    <x v="40"/>
    <x v="1"/>
    <s v="Jacket"/>
    <x v="2"/>
    <n v="62"/>
    <s v="Oklahoma"/>
    <s v="S"/>
    <s v="Green"/>
    <x v="0"/>
    <x v="1"/>
    <s v="No"/>
    <x v="4"/>
    <x v="1"/>
    <x v="1"/>
    <x v="16"/>
    <x v="3"/>
    <x v="2"/>
    <x v="1"/>
    <n v="62"/>
    <n v="0"/>
  </r>
  <r>
    <n v="3439"/>
    <x v="8"/>
    <x v="1"/>
    <s v="Shirt"/>
    <x v="0"/>
    <n v="71"/>
    <s v="Kentucky"/>
    <s v="M"/>
    <s v="Violet"/>
    <x v="3"/>
    <x v="21"/>
    <s v="No"/>
    <x v="5"/>
    <x v="1"/>
    <x v="1"/>
    <x v="42"/>
    <x v="2"/>
    <x v="5"/>
    <x v="2"/>
    <n v="71"/>
    <n v="0"/>
  </r>
  <r>
    <n v="3440"/>
    <x v="49"/>
    <x v="1"/>
    <s v="Gloves"/>
    <x v="3"/>
    <n v="93"/>
    <s v="Idaho"/>
    <s v="M"/>
    <s v="Gray"/>
    <x v="2"/>
    <x v="9"/>
    <s v="No"/>
    <x v="0"/>
    <x v="1"/>
    <x v="1"/>
    <x v="29"/>
    <x v="0"/>
    <x v="3"/>
    <x v="2"/>
    <n v="93"/>
    <n v="0"/>
  </r>
  <r>
    <n v="3441"/>
    <x v="4"/>
    <x v="1"/>
    <s v="Handbag"/>
    <x v="3"/>
    <n v="63"/>
    <s v="Maryland"/>
    <s v="L"/>
    <s v="Magenta"/>
    <x v="3"/>
    <x v="24"/>
    <s v="No"/>
    <x v="4"/>
    <x v="1"/>
    <x v="1"/>
    <x v="1"/>
    <x v="3"/>
    <x v="1"/>
    <x v="2"/>
    <n v="63"/>
    <n v="0"/>
  </r>
  <r>
    <n v="3442"/>
    <x v="14"/>
    <x v="1"/>
    <s v="Sweater"/>
    <x v="0"/>
    <n v="96"/>
    <s v="Tennessee"/>
    <s v="XL"/>
    <s v="Charcoal"/>
    <x v="3"/>
    <x v="7"/>
    <s v="No"/>
    <x v="3"/>
    <x v="1"/>
    <x v="1"/>
    <x v="28"/>
    <x v="2"/>
    <x v="2"/>
    <x v="0"/>
    <n v="96"/>
    <n v="0"/>
  </r>
  <r>
    <n v="3443"/>
    <x v="48"/>
    <x v="1"/>
    <s v="Skirt"/>
    <x v="0"/>
    <n v="78"/>
    <s v="Michigan"/>
    <s v="M"/>
    <s v="Violet"/>
    <x v="1"/>
    <x v="24"/>
    <s v="No"/>
    <x v="2"/>
    <x v="1"/>
    <x v="1"/>
    <x v="45"/>
    <x v="3"/>
    <x v="1"/>
    <x v="2"/>
    <n v="78"/>
    <n v="0"/>
  </r>
  <r>
    <n v="3444"/>
    <x v="36"/>
    <x v="1"/>
    <s v="Dress"/>
    <x v="0"/>
    <n v="24"/>
    <s v="Tennessee"/>
    <s v="L"/>
    <s v="Silver"/>
    <x v="2"/>
    <x v="16"/>
    <s v="No"/>
    <x v="1"/>
    <x v="1"/>
    <x v="1"/>
    <x v="40"/>
    <x v="1"/>
    <x v="4"/>
    <x v="2"/>
    <n v="24"/>
    <n v="0"/>
  </r>
  <r>
    <n v="3445"/>
    <x v="10"/>
    <x v="1"/>
    <s v="Pants"/>
    <x v="0"/>
    <n v="63"/>
    <s v="Rhode Island"/>
    <s v="S"/>
    <s v="Green"/>
    <x v="2"/>
    <x v="22"/>
    <s v="No"/>
    <x v="4"/>
    <x v="1"/>
    <x v="1"/>
    <x v="45"/>
    <x v="4"/>
    <x v="4"/>
    <x v="0"/>
    <n v="63"/>
    <n v="0"/>
  </r>
  <r>
    <n v="3446"/>
    <x v="32"/>
    <x v="1"/>
    <s v="Hat"/>
    <x v="3"/>
    <n v="58"/>
    <s v="Florida"/>
    <s v="M"/>
    <s v="Magenta"/>
    <x v="3"/>
    <x v="8"/>
    <s v="No"/>
    <x v="3"/>
    <x v="1"/>
    <x v="1"/>
    <x v="35"/>
    <x v="5"/>
    <x v="2"/>
    <x v="2"/>
    <n v="58"/>
    <n v="0"/>
  </r>
  <r>
    <n v="3447"/>
    <x v="47"/>
    <x v="1"/>
    <s v="Boots"/>
    <x v="1"/>
    <n v="55"/>
    <s v="Louisiana"/>
    <s v="S"/>
    <s v="Purple"/>
    <x v="1"/>
    <x v="16"/>
    <s v="No"/>
    <x v="4"/>
    <x v="1"/>
    <x v="1"/>
    <x v="41"/>
    <x v="1"/>
    <x v="1"/>
    <x v="0"/>
    <n v="55"/>
    <n v="0"/>
  </r>
  <r>
    <n v="3448"/>
    <x v="46"/>
    <x v="1"/>
    <s v="Sandals"/>
    <x v="1"/>
    <n v="58"/>
    <s v="Arkansas"/>
    <s v="M"/>
    <s v="Blue"/>
    <x v="3"/>
    <x v="24"/>
    <s v="No"/>
    <x v="0"/>
    <x v="1"/>
    <x v="1"/>
    <x v="35"/>
    <x v="4"/>
    <x v="4"/>
    <x v="0"/>
    <n v="58"/>
    <n v="0"/>
  </r>
  <r>
    <n v="3449"/>
    <x v="20"/>
    <x v="1"/>
    <s v="Coat"/>
    <x v="2"/>
    <n v="28"/>
    <s v="Kentucky"/>
    <s v="S"/>
    <s v="Yellow"/>
    <x v="0"/>
    <x v="7"/>
    <s v="No"/>
    <x v="0"/>
    <x v="1"/>
    <x v="1"/>
    <x v="18"/>
    <x v="4"/>
    <x v="0"/>
    <x v="1"/>
    <n v="28"/>
    <n v="0"/>
  </r>
  <r>
    <n v="3450"/>
    <x v="39"/>
    <x v="1"/>
    <s v="Blouse"/>
    <x v="0"/>
    <n v="37"/>
    <s v="Kansas"/>
    <s v="M"/>
    <s v="Brown"/>
    <x v="1"/>
    <x v="9"/>
    <s v="No"/>
    <x v="3"/>
    <x v="1"/>
    <x v="1"/>
    <x v="31"/>
    <x v="1"/>
    <x v="5"/>
    <x v="2"/>
    <n v="37"/>
    <n v="0"/>
  </r>
  <r>
    <n v="3451"/>
    <x v="30"/>
    <x v="1"/>
    <s v="Shorts"/>
    <x v="0"/>
    <n v="78"/>
    <s v="Vermont"/>
    <s v="M"/>
    <s v="Pink"/>
    <x v="1"/>
    <x v="15"/>
    <s v="No"/>
    <x v="5"/>
    <x v="1"/>
    <x v="1"/>
    <x v="4"/>
    <x v="3"/>
    <x v="5"/>
    <x v="1"/>
    <n v="78"/>
    <n v="0"/>
  </r>
  <r>
    <n v="3452"/>
    <x v="45"/>
    <x v="1"/>
    <s v="Blouse"/>
    <x v="0"/>
    <n v="73"/>
    <s v="Nevada"/>
    <s v="XL"/>
    <s v="Silver"/>
    <x v="3"/>
    <x v="21"/>
    <s v="No"/>
    <x v="1"/>
    <x v="1"/>
    <x v="1"/>
    <x v="21"/>
    <x v="2"/>
    <x v="2"/>
    <x v="2"/>
    <n v="73"/>
    <n v="0"/>
  </r>
  <r>
    <n v="3453"/>
    <x v="8"/>
    <x v="1"/>
    <s v="Jacket"/>
    <x v="2"/>
    <n v="20"/>
    <s v="Oklahoma"/>
    <s v="M"/>
    <s v="Indigo"/>
    <x v="1"/>
    <x v="18"/>
    <s v="No"/>
    <x v="2"/>
    <x v="1"/>
    <x v="1"/>
    <x v="35"/>
    <x v="0"/>
    <x v="0"/>
    <x v="2"/>
    <n v="20"/>
    <n v="0"/>
  </r>
  <r>
    <n v="3454"/>
    <x v="18"/>
    <x v="1"/>
    <s v="Shirt"/>
    <x v="0"/>
    <n v="60"/>
    <s v="Alabama"/>
    <s v="L"/>
    <s v="Pink"/>
    <x v="0"/>
    <x v="24"/>
    <s v="No"/>
    <x v="3"/>
    <x v="1"/>
    <x v="1"/>
    <x v="26"/>
    <x v="0"/>
    <x v="4"/>
    <x v="2"/>
    <n v="60"/>
    <n v="0"/>
  </r>
  <r>
    <n v="3455"/>
    <x v="0"/>
    <x v="1"/>
    <s v="Handbag"/>
    <x v="3"/>
    <n v="71"/>
    <s v="Louisiana"/>
    <s v="S"/>
    <s v="Lavender"/>
    <x v="3"/>
    <x v="12"/>
    <s v="No"/>
    <x v="5"/>
    <x v="1"/>
    <x v="1"/>
    <x v="28"/>
    <x v="3"/>
    <x v="4"/>
    <x v="0"/>
    <n v="71"/>
    <n v="0"/>
  </r>
  <r>
    <n v="3456"/>
    <x v="34"/>
    <x v="1"/>
    <s v="T-shirt"/>
    <x v="0"/>
    <n v="89"/>
    <s v="Ohio"/>
    <s v="M"/>
    <s v="Orange"/>
    <x v="3"/>
    <x v="10"/>
    <s v="No"/>
    <x v="3"/>
    <x v="1"/>
    <x v="1"/>
    <x v="21"/>
    <x v="0"/>
    <x v="2"/>
    <x v="2"/>
    <n v="89"/>
    <n v="0"/>
  </r>
  <r>
    <n v="3457"/>
    <x v="32"/>
    <x v="1"/>
    <s v="Hoodie"/>
    <x v="0"/>
    <n v="53"/>
    <s v="Texas"/>
    <s v="M"/>
    <s v="Red"/>
    <x v="3"/>
    <x v="12"/>
    <s v="No"/>
    <x v="0"/>
    <x v="1"/>
    <x v="1"/>
    <x v="33"/>
    <x v="0"/>
    <x v="5"/>
    <x v="2"/>
    <n v="53"/>
    <n v="0"/>
  </r>
  <r>
    <n v="3458"/>
    <x v="14"/>
    <x v="1"/>
    <s v="Jewelry"/>
    <x v="3"/>
    <n v="87"/>
    <s v="Maryland"/>
    <s v="M"/>
    <s v="Gray"/>
    <x v="2"/>
    <x v="21"/>
    <s v="No"/>
    <x v="0"/>
    <x v="1"/>
    <x v="1"/>
    <x v="32"/>
    <x v="1"/>
    <x v="0"/>
    <x v="0"/>
    <n v="87"/>
    <n v="0"/>
  </r>
  <r>
    <n v="3459"/>
    <x v="33"/>
    <x v="1"/>
    <s v="Jewelry"/>
    <x v="3"/>
    <n v="37"/>
    <s v="West Virginia"/>
    <s v="L"/>
    <s v="Violet"/>
    <x v="1"/>
    <x v="23"/>
    <s v="No"/>
    <x v="3"/>
    <x v="1"/>
    <x v="1"/>
    <x v="37"/>
    <x v="0"/>
    <x v="3"/>
    <x v="0"/>
    <n v="37"/>
    <n v="0"/>
  </r>
  <r>
    <n v="3460"/>
    <x v="33"/>
    <x v="1"/>
    <s v="Hoodie"/>
    <x v="0"/>
    <n v="37"/>
    <s v="Ohio"/>
    <s v="L"/>
    <s v="Green"/>
    <x v="3"/>
    <x v="22"/>
    <s v="No"/>
    <x v="0"/>
    <x v="1"/>
    <x v="1"/>
    <x v="33"/>
    <x v="3"/>
    <x v="2"/>
    <x v="0"/>
    <n v="37"/>
    <n v="0"/>
  </r>
  <r>
    <n v="3461"/>
    <x v="38"/>
    <x v="1"/>
    <s v="Scarf"/>
    <x v="3"/>
    <n v="78"/>
    <s v="Indiana"/>
    <s v="M"/>
    <s v="Gold"/>
    <x v="1"/>
    <x v="0"/>
    <s v="No"/>
    <x v="0"/>
    <x v="1"/>
    <x v="1"/>
    <x v="36"/>
    <x v="4"/>
    <x v="4"/>
    <x v="2"/>
    <n v="78"/>
    <n v="0"/>
  </r>
  <r>
    <n v="3462"/>
    <x v="47"/>
    <x v="1"/>
    <s v="Shoes"/>
    <x v="1"/>
    <n v="23"/>
    <s v="Wyoming"/>
    <s v="S"/>
    <s v="Maroon"/>
    <x v="1"/>
    <x v="14"/>
    <s v="No"/>
    <x v="3"/>
    <x v="1"/>
    <x v="1"/>
    <x v="39"/>
    <x v="1"/>
    <x v="3"/>
    <x v="0"/>
    <n v="23"/>
    <n v="0"/>
  </r>
  <r>
    <n v="3463"/>
    <x v="42"/>
    <x v="1"/>
    <s v="Jeans"/>
    <x v="0"/>
    <n v="73"/>
    <s v="Michigan"/>
    <s v="L"/>
    <s v="Olive"/>
    <x v="1"/>
    <x v="9"/>
    <s v="No"/>
    <x v="3"/>
    <x v="1"/>
    <x v="1"/>
    <x v="11"/>
    <x v="2"/>
    <x v="6"/>
    <x v="2"/>
    <n v="73"/>
    <n v="0"/>
  </r>
  <r>
    <n v="3464"/>
    <x v="7"/>
    <x v="1"/>
    <s v="Jewelry"/>
    <x v="3"/>
    <n v="27"/>
    <s v="Maine"/>
    <s v="M"/>
    <s v="Yellow"/>
    <x v="3"/>
    <x v="11"/>
    <s v="No"/>
    <x v="4"/>
    <x v="1"/>
    <x v="1"/>
    <x v="24"/>
    <x v="3"/>
    <x v="0"/>
    <x v="2"/>
    <n v="27"/>
    <n v="0"/>
  </r>
  <r>
    <n v="3465"/>
    <x v="24"/>
    <x v="1"/>
    <s v="Coat"/>
    <x v="2"/>
    <n v="59"/>
    <s v="Utah"/>
    <s v="S"/>
    <s v="Peach"/>
    <x v="0"/>
    <x v="2"/>
    <s v="No"/>
    <x v="2"/>
    <x v="1"/>
    <x v="1"/>
    <x v="45"/>
    <x v="3"/>
    <x v="2"/>
    <x v="2"/>
    <n v="59"/>
    <n v="0"/>
  </r>
  <r>
    <n v="3466"/>
    <x v="1"/>
    <x v="1"/>
    <s v="Backpack"/>
    <x v="3"/>
    <n v="53"/>
    <s v="Iowa"/>
    <s v="M"/>
    <s v="Gold"/>
    <x v="1"/>
    <x v="23"/>
    <s v="No"/>
    <x v="3"/>
    <x v="1"/>
    <x v="1"/>
    <x v="4"/>
    <x v="5"/>
    <x v="1"/>
    <x v="1"/>
    <n v="53"/>
    <n v="0"/>
  </r>
  <r>
    <n v="3467"/>
    <x v="34"/>
    <x v="1"/>
    <s v="Socks"/>
    <x v="0"/>
    <n v="42"/>
    <s v="Maryland"/>
    <s v="S"/>
    <s v="Purple"/>
    <x v="2"/>
    <x v="12"/>
    <s v="No"/>
    <x v="3"/>
    <x v="1"/>
    <x v="1"/>
    <x v="34"/>
    <x v="4"/>
    <x v="2"/>
    <x v="2"/>
    <n v="42"/>
    <n v="0"/>
  </r>
  <r>
    <n v="3468"/>
    <x v="20"/>
    <x v="1"/>
    <s v="Scarf"/>
    <x v="3"/>
    <n v="45"/>
    <s v="Texas"/>
    <s v="M"/>
    <s v="Charcoal"/>
    <x v="3"/>
    <x v="16"/>
    <s v="No"/>
    <x v="2"/>
    <x v="1"/>
    <x v="1"/>
    <x v="36"/>
    <x v="2"/>
    <x v="2"/>
    <x v="1"/>
    <n v="45"/>
    <n v="0"/>
  </r>
  <r>
    <n v="3469"/>
    <x v="24"/>
    <x v="1"/>
    <s v="Sunglasses"/>
    <x v="3"/>
    <n v="89"/>
    <s v="Ohio"/>
    <s v="S"/>
    <s v="Indigo"/>
    <x v="0"/>
    <x v="1"/>
    <s v="No"/>
    <x v="3"/>
    <x v="1"/>
    <x v="1"/>
    <x v="13"/>
    <x v="5"/>
    <x v="3"/>
    <x v="2"/>
    <n v="89"/>
    <n v="0"/>
  </r>
  <r>
    <n v="3470"/>
    <x v="24"/>
    <x v="1"/>
    <s v="Socks"/>
    <x v="0"/>
    <n v="85"/>
    <s v="North Dakota"/>
    <s v="L"/>
    <s v="Magenta"/>
    <x v="3"/>
    <x v="13"/>
    <s v="No"/>
    <x v="5"/>
    <x v="1"/>
    <x v="1"/>
    <x v="45"/>
    <x v="1"/>
    <x v="2"/>
    <x v="2"/>
    <n v="85"/>
    <n v="0"/>
  </r>
  <r>
    <n v="3471"/>
    <x v="1"/>
    <x v="1"/>
    <s v="Coat"/>
    <x v="2"/>
    <n v="69"/>
    <s v="West Virginia"/>
    <s v="S"/>
    <s v="Olive"/>
    <x v="2"/>
    <x v="9"/>
    <s v="No"/>
    <x v="1"/>
    <x v="1"/>
    <x v="1"/>
    <x v="4"/>
    <x v="1"/>
    <x v="4"/>
    <x v="1"/>
    <n v="69"/>
    <n v="0"/>
  </r>
  <r>
    <n v="3472"/>
    <x v="49"/>
    <x v="1"/>
    <s v="Sandals"/>
    <x v="1"/>
    <n v="66"/>
    <s v="North Carolina"/>
    <s v="S"/>
    <s v="Blue"/>
    <x v="1"/>
    <x v="0"/>
    <s v="No"/>
    <x v="5"/>
    <x v="1"/>
    <x v="1"/>
    <x v="4"/>
    <x v="1"/>
    <x v="4"/>
    <x v="2"/>
    <n v="66"/>
    <n v="0"/>
  </r>
  <r>
    <n v="3473"/>
    <x v="18"/>
    <x v="1"/>
    <s v="Blouse"/>
    <x v="0"/>
    <n v="42"/>
    <s v="Georgia"/>
    <s v="S"/>
    <s v="White"/>
    <x v="2"/>
    <x v="17"/>
    <s v="No"/>
    <x v="1"/>
    <x v="1"/>
    <x v="1"/>
    <x v="28"/>
    <x v="5"/>
    <x v="1"/>
    <x v="2"/>
    <n v="42"/>
    <n v="0"/>
  </r>
  <r>
    <n v="3474"/>
    <x v="6"/>
    <x v="1"/>
    <s v="Dress"/>
    <x v="0"/>
    <n v="40"/>
    <s v="Kansas"/>
    <s v="M"/>
    <s v="Cyan"/>
    <x v="1"/>
    <x v="25"/>
    <s v="No"/>
    <x v="0"/>
    <x v="1"/>
    <x v="1"/>
    <x v="47"/>
    <x v="1"/>
    <x v="1"/>
    <x v="0"/>
    <n v="40"/>
    <n v="0"/>
  </r>
  <r>
    <n v="3475"/>
    <x v="38"/>
    <x v="1"/>
    <s v="Pants"/>
    <x v="0"/>
    <n v="82"/>
    <s v="Maine"/>
    <s v="M"/>
    <s v="Cyan"/>
    <x v="0"/>
    <x v="14"/>
    <s v="No"/>
    <x v="5"/>
    <x v="1"/>
    <x v="1"/>
    <x v="27"/>
    <x v="0"/>
    <x v="5"/>
    <x v="2"/>
    <n v="82"/>
    <n v="0"/>
  </r>
  <r>
    <n v="3476"/>
    <x v="39"/>
    <x v="1"/>
    <s v="Sneakers"/>
    <x v="1"/>
    <n v="88"/>
    <s v="South Carolina"/>
    <s v="M"/>
    <s v="Orange"/>
    <x v="1"/>
    <x v="14"/>
    <s v="No"/>
    <x v="0"/>
    <x v="1"/>
    <x v="1"/>
    <x v="44"/>
    <x v="1"/>
    <x v="3"/>
    <x v="2"/>
    <n v="88"/>
    <n v="0"/>
  </r>
  <r>
    <n v="3477"/>
    <x v="33"/>
    <x v="1"/>
    <s v="Boots"/>
    <x v="1"/>
    <n v="99"/>
    <s v="South Carolina"/>
    <s v="XL"/>
    <s v="Orange"/>
    <x v="2"/>
    <x v="4"/>
    <s v="No"/>
    <x v="1"/>
    <x v="1"/>
    <x v="1"/>
    <x v="47"/>
    <x v="1"/>
    <x v="1"/>
    <x v="0"/>
    <n v="99"/>
    <n v="0"/>
  </r>
  <r>
    <n v="3478"/>
    <x v="10"/>
    <x v="1"/>
    <s v="Handbag"/>
    <x v="3"/>
    <n v="85"/>
    <s v="Kentucky"/>
    <s v="S"/>
    <s v="Teal"/>
    <x v="1"/>
    <x v="22"/>
    <s v="No"/>
    <x v="5"/>
    <x v="1"/>
    <x v="1"/>
    <x v="25"/>
    <x v="5"/>
    <x v="4"/>
    <x v="0"/>
    <n v="85"/>
    <n v="0"/>
  </r>
  <r>
    <n v="3479"/>
    <x v="24"/>
    <x v="1"/>
    <s v="Handbag"/>
    <x v="3"/>
    <n v="57"/>
    <s v="Arizona"/>
    <s v="M"/>
    <s v="Magenta"/>
    <x v="3"/>
    <x v="12"/>
    <s v="No"/>
    <x v="5"/>
    <x v="1"/>
    <x v="1"/>
    <x v="38"/>
    <x v="3"/>
    <x v="3"/>
    <x v="2"/>
    <n v="57"/>
    <n v="0"/>
  </r>
  <r>
    <n v="3480"/>
    <x v="5"/>
    <x v="1"/>
    <s v="Sweater"/>
    <x v="0"/>
    <n v="56"/>
    <s v="New York"/>
    <s v="S"/>
    <s v="Orange"/>
    <x v="2"/>
    <x v="8"/>
    <s v="No"/>
    <x v="3"/>
    <x v="1"/>
    <x v="1"/>
    <x v="23"/>
    <x v="1"/>
    <x v="5"/>
    <x v="2"/>
    <n v="56"/>
    <n v="0"/>
  </r>
  <r>
    <n v="3481"/>
    <x v="3"/>
    <x v="1"/>
    <s v="Sandals"/>
    <x v="1"/>
    <n v="79"/>
    <s v="New Hampshire"/>
    <s v="L"/>
    <s v="Peach"/>
    <x v="0"/>
    <x v="1"/>
    <s v="No"/>
    <x v="1"/>
    <x v="1"/>
    <x v="1"/>
    <x v="24"/>
    <x v="3"/>
    <x v="5"/>
    <x v="1"/>
    <n v="79"/>
    <n v="0"/>
  </r>
  <r>
    <n v="3482"/>
    <x v="16"/>
    <x v="1"/>
    <s v="Socks"/>
    <x v="0"/>
    <n v="67"/>
    <s v="Ohio"/>
    <s v="S"/>
    <s v="Maroon"/>
    <x v="2"/>
    <x v="23"/>
    <s v="No"/>
    <x v="5"/>
    <x v="1"/>
    <x v="1"/>
    <x v="23"/>
    <x v="5"/>
    <x v="4"/>
    <x v="0"/>
    <n v="67"/>
    <n v="0"/>
  </r>
  <r>
    <n v="3483"/>
    <x v="17"/>
    <x v="1"/>
    <s v="Gloves"/>
    <x v="3"/>
    <n v="61"/>
    <s v="Hawaii"/>
    <s v="M"/>
    <s v="Gold"/>
    <x v="0"/>
    <x v="20"/>
    <s v="No"/>
    <x v="2"/>
    <x v="1"/>
    <x v="1"/>
    <x v="31"/>
    <x v="5"/>
    <x v="1"/>
    <x v="0"/>
    <n v="61"/>
    <n v="0"/>
  </r>
  <r>
    <n v="3484"/>
    <x v="1"/>
    <x v="1"/>
    <s v="Hoodie"/>
    <x v="0"/>
    <n v="37"/>
    <s v="Texas"/>
    <s v="L"/>
    <s v="White"/>
    <x v="0"/>
    <x v="20"/>
    <s v="No"/>
    <x v="0"/>
    <x v="1"/>
    <x v="1"/>
    <x v="33"/>
    <x v="2"/>
    <x v="6"/>
    <x v="1"/>
    <n v="37"/>
    <n v="0"/>
  </r>
  <r>
    <n v="3485"/>
    <x v="42"/>
    <x v="1"/>
    <s v="Dress"/>
    <x v="0"/>
    <n v="75"/>
    <s v="Illinois"/>
    <s v="L"/>
    <s v="Gray"/>
    <x v="3"/>
    <x v="19"/>
    <s v="No"/>
    <x v="1"/>
    <x v="1"/>
    <x v="1"/>
    <x v="21"/>
    <x v="2"/>
    <x v="4"/>
    <x v="2"/>
    <n v="75"/>
    <n v="0"/>
  </r>
  <r>
    <n v="3486"/>
    <x v="2"/>
    <x v="1"/>
    <s v="Shirt"/>
    <x v="0"/>
    <n v="21"/>
    <s v="Massachusetts"/>
    <s v="XL"/>
    <s v="Brown"/>
    <x v="0"/>
    <x v="23"/>
    <s v="No"/>
    <x v="3"/>
    <x v="1"/>
    <x v="1"/>
    <x v="2"/>
    <x v="5"/>
    <x v="0"/>
    <x v="2"/>
    <n v="21"/>
    <n v="0"/>
  </r>
  <r>
    <n v="3487"/>
    <x v="47"/>
    <x v="1"/>
    <s v="Shorts"/>
    <x v="0"/>
    <n v="89"/>
    <s v="North Carolina"/>
    <s v="L"/>
    <s v="Charcoal"/>
    <x v="0"/>
    <x v="8"/>
    <s v="No"/>
    <x v="3"/>
    <x v="1"/>
    <x v="1"/>
    <x v="49"/>
    <x v="3"/>
    <x v="1"/>
    <x v="0"/>
    <n v="89"/>
    <n v="0"/>
  </r>
  <r>
    <n v="3488"/>
    <x v="15"/>
    <x v="1"/>
    <s v="Sandals"/>
    <x v="1"/>
    <n v="24"/>
    <s v="West Virginia"/>
    <s v="L"/>
    <s v="Beige"/>
    <x v="3"/>
    <x v="3"/>
    <s v="No"/>
    <x v="5"/>
    <x v="1"/>
    <x v="1"/>
    <x v="30"/>
    <x v="4"/>
    <x v="2"/>
    <x v="1"/>
    <n v="24"/>
    <n v="0"/>
  </r>
  <r>
    <n v="3489"/>
    <x v="46"/>
    <x v="1"/>
    <s v="Sweater"/>
    <x v="0"/>
    <n v="27"/>
    <s v="Delaware"/>
    <s v="XL"/>
    <s v="Teal"/>
    <x v="1"/>
    <x v="8"/>
    <s v="No"/>
    <x v="5"/>
    <x v="1"/>
    <x v="1"/>
    <x v="22"/>
    <x v="1"/>
    <x v="3"/>
    <x v="0"/>
    <n v="27"/>
    <n v="0"/>
  </r>
  <r>
    <n v="3490"/>
    <x v="39"/>
    <x v="1"/>
    <s v="Dress"/>
    <x v="0"/>
    <n v="26"/>
    <s v="Idaho"/>
    <s v="L"/>
    <s v="Black"/>
    <x v="2"/>
    <x v="12"/>
    <s v="No"/>
    <x v="4"/>
    <x v="1"/>
    <x v="1"/>
    <x v="18"/>
    <x v="3"/>
    <x v="6"/>
    <x v="2"/>
    <n v="26"/>
    <n v="0"/>
  </r>
  <r>
    <n v="3491"/>
    <x v="46"/>
    <x v="1"/>
    <s v="Boots"/>
    <x v="1"/>
    <n v="82"/>
    <s v="Oregon"/>
    <s v="M"/>
    <s v="Violet"/>
    <x v="1"/>
    <x v="15"/>
    <s v="No"/>
    <x v="5"/>
    <x v="1"/>
    <x v="1"/>
    <x v="34"/>
    <x v="2"/>
    <x v="3"/>
    <x v="0"/>
    <n v="82"/>
    <n v="0"/>
  </r>
  <r>
    <n v="3492"/>
    <x v="40"/>
    <x v="1"/>
    <s v="Pants"/>
    <x v="0"/>
    <n v="28"/>
    <s v="Maine"/>
    <s v="M"/>
    <s v="Orange"/>
    <x v="0"/>
    <x v="24"/>
    <s v="No"/>
    <x v="0"/>
    <x v="1"/>
    <x v="1"/>
    <x v="28"/>
    <x v="1"/>
    <x v="5"/>
    <x v="1"/>
    <n v="28"/>
    <n v="0"/>
  </r>
  <r>
    <n v="3493"/>
    <x v="39"/>
    <x v="1"/>
    <s v="Gloves"/>
    <x v="3"/>
    <n v="65"/>
    <s v="South Dakota"/>
    <s v="M"/>
    <s v="Turquoise"/>
    <x v="3"/>
    <x v="12"/>
    <s v="No"/>
    <x v="3"/>
    <x v="1"/>
    <x v="1"/>
    <x v="26"/>
    <x v="4"/>
    <x v="2"/>
    <x v="2"/>
    <n v="65"/>
    <n v="0"/>
  </r>
  <r>
    <n v="3494"/>
    <x v="39"/>
    <x v="1"/>
    <s v="Pants"/>
    <x v="0"/>
    <n v="82"/>
    <s v="New Mexico"/>
    <s v="XL"/>
    <s v="Black"/>
    <x v="0"/>
    <x v="10"/>
    <s v="No"/>
    <x v="5"/>
    <x v="1"/>
    <x v="1"/>
    <x v="31"/>
    <x v="2"/>
    <x v="1"/>
    <x v="2"/>
    <n v="82"/>
    <n v="0"/>
  </r>
  <r>
    <n v="3495"/>
    <x v="46"/>
    <x v="1"/>
    <s v="Scarf"/>
    <x v="3"/>
    <n v="38"/>
    <s v="Washington"/>
    <s v="M"/>
    <s v="Silver"/>
    <x v="0"/>
    <x v="1"/>
    <s v="No"/>
    <x v="1"/>
    <x v="1"/>
    <x v="1"/>
    <x v="23"/>
    <x v="3"/>
    <x v="3"/>
    <x v="0"/>
    <n v="38"/>
    <n v="0"/>
  </r>
  <r>
    <n v="3496"/>
    <x v="41"/>
    <x v="1"/>
    <s v="Shorts"/>
    <x v="0"/>
    <n v="33"/>
    <s v="Georgia"/>
    <s v="XL"/>
    <s v="Gray"/>
    <x v="1"/>
    <x v="11"/>
    <s v="No"/>
    <x v="1"/>
    <x v="1"/>
    <x v="1"/>
    <x v="0"/>
    <x v="1"/>
    <x v="1"/>
    <x v="1"/>
    <n v="33"/>
    <n v="0"/>
  </r>
  <r>
    <n v="3497"/>
    <x v="31"/>
    <x v="1"/>
    <s v="Shoes"/>
    <x v="1"/>
    <n v="38"/>
    <s v="Idaho"/>
    <s v="M"/>
    <s v="Pink"/>
    <x v="2"/>
    <x v="17"/>
    <s v="No"/>
    <x v="1"/>
    <x v="1"/>
    <x v="1"/>
    <x v="17"/>
    <x v="3"/>
    <x v="5"/>
    <x v="2"/>
    <n v="38"/>
    <n v="0"/>
  </r>
  <r>
    <n v="3498"/>
    <x v="25"/>
    <x v="1"/>
    <s v="Handbag"/>
    <x v="3"/>
    <n v="48"/>
    <s v="Colorado"/>
    <s v="M"/>
    <s v="Red"/>
    <x v="1"/>
    <x v="24"/>
    <s v="No"/>
    <x v="5"/>
    <x v="1"/>
    <x v="1"/>
    <x v="20"/>
    <x v="0"/>
    <x v="6"/>
    <x v="2"/>
    <n v="48"/>
    <n v="0"/>
  </r>
  <r>
    <n v="3499"/>
    <x v="36"/>
    <x v="1"/>
    <s v="Sandals"/>
    <x v="1"/>
    <n v="35"/>
    <s v="Kentucky"/>
    <s v="M"/>
    <s v="Lavender"/>
    <x v="2"/>
    <x v="22"/>
    <s v="No"/>
    <x v="3"/>
    <x v="1"/>
    <x v="1"/>
    <x v="1"/>
    <x v="4"/>
    <x v="4"/>
    <x v="2"/>
    <n v="35"/>
    <n v="0"/>
  </r>
  <r>
    <n v="3500"/>
    <x v="40"/>
    <x v="1"/>
    <s v="Socks"/>
    <x v="0"/>
    <n v="29"/>
    <s v="New Jersey"/>
    <s v="L"/>
    <s v="Indigo"/>
    <x v="3"/>
    <x v="21"/>
    <s v="No"/>
    <x v="2"/>
    <x v="1"/>
    <x v="1"/>
    <x v="21"/>
    <x v="3"/>
    <x v="6"/>
    <x v="1"/>
    <n v="29"/>
    <n v="0"/>
  </r>
  <r>
    <n v="3501"/>
    <x v="21"/>
    <x v="1"/>
    <s v="Shirt"/>
    <x v="0"/>
    <n v="48"/>
    <s v="Oregon"/>
    <s v="S"/>
    <s v="Silver"/>
    <x v="3"/>
    <x v="12"/>
    <s v="No"/>
    <x v="2"/>
    <x v="1"/>
    <x v="1"/>
    <x v="25"/>
    <x v="5"/>
    <x v="0"/>
    <x v="2"/>
    <n v="48"/>
    <n v="0"/>
  </r>
  <r>
    <n v="3502"/>
    <x v="10"/>
    <x v="1"/>
    <s v="Shoes"/>
    <x v="1"/>
    <n v="87"/>
    <s v="Nebraska"/>
    <s v="M"/>
    <s v="Silver"/>
    <x v="3"/>
    <x v="6"/>
    <s v="No"/>
    <x v="3"/>
    <x v="1"/>
    <x v="1"/>
    <x v="34"/>
    <x v="4"/>
    <x v="1"/>
    <x v="0"/>
    <n v="87"/>
    <n v="0"/>
  </r>
  <r>
    <n v="3503"/>
    <x v="18"/>
    <x v="1"/>
    <s v="Backpack"/>
    <x v="3"/>
    <n v="62"/>
    <s v="Massachusetts"/>
    <s v="M"/>
    <s v="Green"/>
    <x v="3"/>
    <x v="10"/>
    <s v="No"/>
    <x v="2"/>
    <x v="1"/>
    <x v="1"/>
    <x v="8"/>
    <x v="4"/>
    <x v="3"/>
    <x v="2"/>
    <n v="62"/>
    <n v="0"/>
  </r>
  <r>
    <n v="3504"/>
    <x v="18"/>
    <x v="1"/>
    <s v="Shirt"/>
    <x v="0"/>
    <n v="96"/>
    <s v="Nebraska"/>
    <s v="M"/>
    <s v="Pink"/>
    <x v="1"/>
    <x v="20"/>
    <s v="No"/>
    <x v="1"/>
    <x v="1"/>
    <x v="1"/>
    <x v="30"/>
    <x v="1"/>
    <x v="1"/>
    <x v="2"/>
    <n v="96"/>
    <n v="0"/>
  </r>
  <r>
    <n v="3505"/>
    <x v="13"/>
    <x v="1"/>
    <s v="Handbag"/>
    <x v="3"/>
    <n v="41"/>
    <s v="Hawaii"/>
    <s v="S"/>
    <s v="Violet"/>
    <x v="3"/>
    <x v="17"/>
    <s v="No"/>
    <x v="2"/>
    <x v="1"/>
    <x v="1"/>
    <x v="16"/>
    <x v="0"/>
    <x v="5"/>
    <x v="0"/>
    <n v="41"/>
    <n v="0"/>
  </r>
  <r>
    <n v="3506"/>
    <x v="39"/>
    <x v="1"/>
    <s v="Jewelry"/>
    <x v="3"/>
    <n v="42"/>
    <s v="Indiana"/>
    <s v="L"/>
    <s v="Red"/>
    <x v="0"/>
    <x v="18"/>
    <s v="No"/>
    <x v="4"/>
    <x v="1"/>
    <x v="1"/>
    <x v="19"/>
    <x v="4"/>
    <x v="6"/>
    <x v="2"/>
    <n v="42"/>
    <n v="0"/>
  </r>
  <r>
    <n v="3507"/>
    <x v="20"/>
    <x v="1"/>
    <s v="Shirt"/>
    <x v="0"/>
    <n v="57"/>
    <s v="Illinois"/>
    <s v="L"/>
    <s v="Olive"/>
    <x v="0"/>
    <x v="18"/>
    <s v="No"/>
    <x v="4"/>
    <x v="1"/>
    <x v="1"/>
    <x v="45"/>
    <x v="1"/>
    <x v="0"/>
    <x v="1"/>
    <n v="57"/>
    <n v="0"/>
  </r>
  <r>
    <n v="3508"/>
    <x v="5"/>
    <x v="1"/>
    <s v="Handbag"/>
    <x v="3"/>
    <n v="65"/>
    <s v="Colorado"/>
    <s v="S"/>
    <s v="Purple"/>
    <x v="1"/>
    <x v="19"/>
    <s v="No"/>
    <x v="5"/>
    <x v="1"/>
    <x v="1"/>
    <x v="42"/>
    <x v="2"/>
    <x v="6"/>
    <x v="2"/>
    <n v="65"/>
    <n v="0"/>
  </r>
  <r>
    <n v="3509"/>
    <x v="16"/>
    <x v="1"/>
    <s v="Pants"/>
    <x v="0"/>
    <n v="54"/>
    <s v="Pennsylvania"/>
    <s v="M"/>
    <s v="Gray"/>
    <x v="3"/>
    <x v="10"/>
    <s v="No"/>
    <x v="3"/>
    <x v="1"/>
    <x v="1"/>
    <x v="3"/>
    <x v="4"/>
    <x v="1"/>
    <x v="0"/>
    <n v="54"/>
    <n v="0"/>
  </r>
  <r>
    <n v="3510"/>
    <x v="2"/>
    <x v="1"/>
    <s v="T-shirt"/>
    <x v="0"/>
    <n v="22"/>
    <s v="Ohio"/>
    <s v="L"/>
    <s v="Brown"/>
    <x v="0"/>
    <x v="24"/>
    <s v="No"/>
    <x v="2"/>
    <x v="1"/>
    <x v="1"/>
    <x v="34"/>
    <x v="0"/>
    <x v="4"/>
    <x v="2"/>
    <n v="22"/>
    <n v="0"/>
  </r>
  <r>
    <n v="3511"/>
    <x v="34"/>
    <x v="1"/>
    <s v="Sneakers"/>
    <x v="1"/>
    <n v="96"/>
    <s v="Pennsylvania"/>
    <s v="S"/>
    <s v="Orange"/>
    <x v="3"/>
    <x v="8"/>
    <s v="No"/>
    <x v="4"/>
    <x v="1"/>
    <x v="1"/>
    <x v="0"/>
    <x v="0"/>
    <x v="5"/>
    <x v="2"/>
    <n v="96"/>
    <n v="0"/>
  </r>
  <r>
    <n v="3512"/>
    <x v="28"/>
    <x v="1"/>
    <s v="Jewelry"/>
    <x v="3"/>
    <n v="81"/>
    <s v="Mississippi"/>
    <s v="M"/>
    <s v="Blue"/>
    <x v="2"/>
    <x v="20"/>
    <s v="No"/>
    <x v="4"/>
    <x v="1"/>
    <x v="1"/>
    <x v="33"/>
    <x v="2"/>
    <x v="6"/>
    <x v="0"/>
    <n v="81"/>
    <n v="0"/>
  </r>
  <r>
    <n v="3513"/>
    <x v="24"/>
    <x v="1"/>
    <s v="Shirt"/>
    <x v="0"/>
    <n v="46"/>
    <s v="Kentucky"/>
    <s v="M"/>
    <s v="White"/>
    <x v="3"/>
    <x v="23"/>
    <s v="No"/>
    <x v="1"/>
    <x v="1"/>
    <x v="1"/>
    <x v="4"/>
    <x v="5"/>
    <x v="3"/>
    <x v="2"/>
    <n v="46"/>
    <n v="0"/>
  </r>
  <r>
    <n v="3514"/>
    <x v="11"/>
    <x v="1"/>
    <s v="Blouse"/>
    <x v="0"/>
    <n v="74"/>
    <s v="Alaska"/>
    <s v="XL"/>
    <s v="Charcoal"/>
    <x v="1"/>
    <x v="19"/>
    <s v="No"/>
    <x v="5"/>
    <x v="1"/>
    <x v="1"/>
    <x v="32"/>
    <x v="2"/>
    <x v="0"/>
    <x v="2"/>
    <n v="74"/>
    <n v="0"/>
  </r>
  <r>
    <n v="3515"/>
    <x v="15"/>
    <x v="1"/>
    <s v="Sneakers"/>
    <x v="1"/>
    <n v="50"/>
    <s v="Georgia"/>
    <s v="XL"/>
    <s v="Gray"/>
    <x v="0"/>
    <x v="10"/>
    <s v="No"/>
    <x v="0"/>
    <x v="1"/>
    <x v="1"/>
    <x v="18"/>
    <x v="1"/>
    <x v="5"/>
    <x v="1"/>
    <n v="50"/>
    <n v="0"/>
  </r>
  <r>
    <n v="3516"/>
    <x v="1"/>
    <x v="1"/>
    <s v="Dress"/>
    <x v="0"/>
    <n v="80"/>
    <s v="South Dakota"/>
    <s v="XL"/>
    <s v="Charcoal"/>
    <x v="0"/>
    <x v="17"/>
    <s v="No"/>
    <x v="2"/>
    <x v="1"/>
    <x v="1"/>
    <x v="20"/>
    <x v="5"/>
    <x v="4"/>
    <x v="1"/>
    <n v="80"/>
    <n v="0"/>
  </r>
  <r>
    <n v="3517"/>
    <x v="50"/>
    <x v="1"/>
    <s v="Boots"/>
    <x v="1"/>
    <n v="56"/>
    <s v="South Carolina"/>
    <s v="S"/>
    <s v="White"/>
    <x v="2"/>
    <x v="17"/>
    <s v="No"/>
    <x v="1"/>
    <x v="1"/>
    <x v="1"/>
    <x v="25"/>
    <x v="3"/>
    <x v="4"/>
    <x v="2"/>
    <n v="56"/>
    <n v="0"/>
  </r>
  <r>
    <n v="3518"/>
    <x v="26"/>
    <x v="1"/>
    <s v="Skirt"/>
    <x v="0"/>
    <n v="69"/>
    <s v="Tennessee"/>
    <s v="M"/>
    <s v="Orange"/>
    <x v="0"/>
    <x v="0"/>
    <s v="No"/>
    <x v="2"/>
    <x v="1"/>
    <x v="1"/>
    <x v="11"/>
    <x v="5"/>
    <x v="6"/>
    <x v="2"/>
    <n v="69"/>
    <n v="0"/>
  </r>
  <r>
    <n v="3519"/>
    <x v="2"/>
    <x v="1"/>
    <s v="Shirt"/>
    <x v="0"/>
    <n v="97"/>
    <s v="Colorado"/>
    <s v="M"/>
    <s v="Black"/>
    <x v="1"/>
    <x v="19"/>
    <s v="No"/>
    <x v="3"/>
    <x v="1"/>
    <x v="1"/>
    <x v="48"/>
    <x v="3"/>
    <x v="3"/>
    <x v="2"/>
    <n v="97"/>
    <n v="0"/>
  </r>
  <r>
    <n v="3520"/>
    <x v="18"/>
    <x v="1"/>
    <s v="Shorts"/>
    <x v="0"/>
    <n v="66"/>
    <s v="Wisconsin"/>
    <s v="M"/>
    <s v="White"/>
    <x v="0"/>
    <x v="18"/>
    <s v="No"/>
    <x v="2"/>
    <x v="1"/>
    <x v="1"/>
    <x v="0"/>
    <x v="4"/>
    <x v="0"/>
    <x v="2"/>
    <n v="66"/>
    <n v="0"/>
  </r>
  <r>
    <n v="3521"/>
    <x v="38"/>
    <x v="1"/>
    <s v="Hat"/>
    <x v="3"/>
    <n v="70"/>
    <s v="Georgia"/>
    <s v="S"/>
    <s v="Brown"/>
    <x v="1"/>
    <x v="0"/>
    <s v="No"/>
    <x v="0"/>
    <x v="1"/>
    <x v="1"/>
    <x v="42"/>
    <x v="4"/>
    <x v="5"/>
    <x v="2"/>
    <n v="70"/>
    <n v="0"/>
  </r>
  <r>
    <n v="3522"/>
    <x v="16"/>
    <x v="1"/>
    <s v="Shoes"/>
    <x v="1"/>
    <n v="50"/>
    <s v="Maryland"/>
    <s v="M"/>
    <s v="Pink"/>
    <x v="0"/>
    <x v="18"/>
    <s v="No"/>
    <x v="5"/>
    <x v="1"/>
    <x v="1"/>
    <x v="31"/>
    <x v="0"/>
    <x v="1"/>
    <x v="0"/>
    <n v="50"/>
    <n v="0"/>
  </r>
  <r>
    <n v="3523"/>
    <x v="7"/>
    <x v="1"/>
    <s v="Pants"/>
    <x v="0"/>
    <n v="85"/>
    <s v="New Jersey"/>
    <s v="M"/>
    <s v="Yellow"/>
    <x v="1"/>
    <x v="4"/>
    <s v="No"/>
    <x v="5"/>
    <x v="1"/>
    <x v="1"/>
    <x v="21"/>
    <x v="1"/>
    <x v="3"/>
    <x v="2"/>
    <n v="85"/>
    <n v="0"/>
  </r>
  <r>
    <n v="3524"/>
    <x v="34"/>
    <x v="1"/>
    <s v="Backpack"/>
    <x v="3"/>
    <n v="59"/>
    <s v="Nevada"/>
    <s v="M"/>
    <s v="Cyan"/>
    <x v="2"/>
    <x v="11"/>
    <s v="No"/>
    <x v="3"/>
    <x v="1"/>
    <x v="1"/>
    <x v="48"/>
    <x v="1"/>
    <x v="0"/>
    <x v="2"/>
    <n v="59"/>
    <n v="0"/>
  </r>
  <r>
    <n v="3525"/>
    <x v="28"/>
    <x v="1"/>
    <s v="Pants"/>
    <x v="0"/>
    <n v="74"/>
    <s v="Michigan"/>
    <s v="L"/>
    <s v="Silver"/>
    <x v="2"/>
    <x v="3"/>
    <s v="No"/>
    <x v="1"/>
    <x v="1"/>
    <x v="1"/>
    <x v="48"/>
    <x v="2"/>
    <x v="5"/>
    <x v="0"/>
    <n v="74"/>
    <n v="0"/>
  </r>
  <r>
    <n v="3526"/>
    <x v="4"/>
    <x v="1"/>
    <s v="Sunglasses"/>
    <x v="3"/>
    <n v="38"/>
    <s v="Wyoming"/>
    <s v="L"/>
    <s v="Olive"/>
    <x v="0"/>
    <x v="1"/>
    <s v="No"/>
    <x v="3"/>
    <x v="1"/>
    <x v="1"/>
    <x v="39"/>
    <x v="4"/>
    <x v="2"/>
    <x v="2"/>
    <n v="38"/>
    <n v="0"/>
  </r>
  <r>
    <n v="3527"/>
    <x v="30"/>
    <x v="1"/>
    <s v="Sweater"/>
    <x v="0"/>
    <n v="99"/>
    <s v="Massachusetts"/>
    <s v="M"/>
    <s v="Olive"/>
    <x v="1"/>
    <x v="22"/>
    <s v="No"/>
    <x v="0"/>
    <x v="1"/>
    <x v="1"/>
    <x v="43"/>
    <x v="3"/>
    <x v="6"/>
    <x v="1"/>
    <n v="99"/>
    <n v="0"/>
  </r>
  <r>
    <n v="3528"/>
    <x v="15"/>
    <x v="1"/>
    <s v="Blouse"/>
    <x v="0"/>
    <n v="97"/>
    <s v="Washington"/>
    <s v="S"/>
    <s v="Charcoal"/>
    <x v="1"/>
    <x v="10"/>
    <s v="No"/>
    <x v="1"/>
    <x v="1"/>
    <x v="1"/>
    <x v="43"/>
    <x v="1"/>
    <x v="1"/>
    <x v="1"/>
    <n v="97"/>
    <n v="0"/>
  </r>
  <r>
    <n v="3529"/>
    <x v="21"/>
    <x v="1"/>
    <s v="Scarf"/>
    <x v="3"/>
    <n v="67"/>
    <s v="Maine"/>
    <s v="L"/>
    <s v="Gray"/>
    <x v="2"/>
    <x v="9"/>
    <s v="No"/>
    <x v="1"/>
    <x v="1"/>
    <x v="1"/>
    <x v="42"/>
    <x v="3"/>
    <x v="2"/>
    <x v="2"/>
    <n v="67"/>
    <n v="0"/>
  </r>
  <r>
    <n v="3530"/>
    <x v="0"/>
    <x v="1"/>
    <s v="T-shirt"/>
    <x v="0"/>
    <n v="20"/>
    <s v="Montana"/>
    <s v="S"/>
    <s v="Maroon"/>
    <x v="0"/>
    <x v="20"/>
    <s v="No"/>
    <x v="2"/>
    <x v="1"/>
    <x v="1"/>
    <x v="34"/>
    <x v="4"/>
    <x v="1"/>
    <x v="0"/>
    <n v="20"/>
    <n v="0"/>
  </r>
  <r>
    <n v="3531"/>
    <x v="46"/>
    <x v="1"/>
    <s v="Sunglasses"/>
    <x v="3"/>
    <n v="45"/>
    <s v="Oklahoma"/>
    <s v="L"/>
    <s v="Black"/>
    <x v="1"/>
    <x v="23"/>
    <s v="No"/>
    <x v="0"/>
    <x v="1"/>
    <x v="1"/>
    <x v="10"/>
    <x v="3"/>
    <x v="1"/>
    <x v="0"/>
    <n v="45"/>
    <n v="0"/>
  </r>
  <r>
    <n v="3532"/>
    <x v="22"/>
    <x v="1"/>
    <s v="Shoes"/>
    <x v="1"/>
    <n v="52"/>
    <s v="North Dakota"/>
    <s v="XL"/>
    <s v="Violet"/>
    <x v="0"/>
    <x v="12"/>
    <s v="No"/>
    <x v="4"/>
    <x v="1"/>
    <x v="1"/>
    <x v="2"/>
    <x v="1"/>
    <x v="3"/>
    <x v="0"/>
    <n v="52"/>
    <n v="0"/>
  </r>
  <r>
    <n v="3533"/>
    <x v="12"/>
    <x v="1"/>
    <s v="Pants"/>
    <x v="0"/>
    <n v="68"/>
    <s v="Connecticut"/>
    <s v="L"/>
    <s v="Indigo"/>
    <x v="3"/>
    <x v="12"/>
    <s v="No"/>
    <x v="3"/>
    <x v="1"/>
    <x v="1"/>
    <x v="45"/>
    <x v="2"/>
    <x v="2"/>
    <x v="0"/>
    <n v="68"/>
    <n v="0"/>
  </r>
  <r>
    <n v="3534"/>
    <x v="2"/>
    <x v="1"/>
    <s v="Sneakers"/>
    <x v="1"/>
    <n v="98"/>
    <s v="Texas"/>
    <s v="L"/>
    <s v="Yellow"/>
    <x v="3"/>
    <x v="10"/>
    <s v="No"/>
    <x v="3"/>
    <x v="1"/>
    <x v="1"/>
    <x v="48"/>
    <x v="0"/>
    <x v="0"/>
    <x v="2"/>
    <n v="98"/>
    <n v="0"/>
  </r>
  <r>
    <n v="3535"/>
    <x v="13"/>
    <x v="1"/>
    <s v="Shoes"/>
    <x v="1"/>
    <n v="83"/>
    <s v="Delaware"/>
    <s v="M"/>
    <s v="Gray"/>
    <x v="3"/>
    <x v="4"/>
    <s v="No"/>
    <x v="0"/>
    <x v="1"/>
    <x v="1"/>
    <x v="22"/>
    <x v="1"/>
    <x v="1"/>
    <x v="0"/>
    <n v="83"/>
    <n v="0"/>
  </r>
  <r>
    <n v="3536"/>
    <x v="33"/>
    <x v="1"/>
    <s v="Shorts"/>
    <x v="0"/>
    <n v="51"/>
    <s v="Mississippi"/>
    <s v="M"/>
    <s v="Red"/>
    <x v="2"/>
    <x v="16"/>
    <s v="No"/>
    <x v="0"/>
    <x v="1"/>
    <x v="1"/>
    <x v="41"/>
    <x v="5"/>
    <x v="5"/>
    <x v="0"/>
    <n v="51"/>
    <n v="0"/>
  </r>
  <r>
    <n v="3537"/>
    <x v="0"/>
    <x v="1"/>
    <s v="Handbag"/>
    <x v="3"/>
    <n v="21"/>
    <s v="Minnesota"/>
    <s v="L"/>
    <s v="Peach"/>
    <x v="1"/>
    <x v="9"/>
    <s v="No"/>
    <x v="0"/>
    <x v="1"/>
    <x v="1"/>
    <x v="9"/>
    <x v="0"/>
    <x v="5"/>
    <x v="0"/>
    <n v="21"/>
    <n v="0"/>
  </r>
  <r>
    <n v="3538"/>
    <x v="9"/>
    <x v="1"/>
    <s v="Handbag"/>
    <x v="3"/>
    <n v="92"/>
    <s v="Georgia"/>
    <s v="M"/>
    <s v="Gray"/>
    <x v="1"/>
    <x v="1"/>
    <s v="No"/>
    <x v="3"/>
    <x v="1"/>
    <x v="1"/>
    <x v="19"/>
    <x v="2"/>
    <x v="6"/>
    <x v="0"/>
    <n v="92"/>
    <n v="0"/>
  </r>
  <r>
    <n v="3539"/>
    <x v="19"/>
    <x v="1"/>
    <s v="Shoes"/>
    <x v="1"/>
    <n v="63"/>
    <s v="Iowa"/>
    <s v="S"/>
    <s v="White"/>
    <x v="1"/>
    <x v="9"/>
    <s v="No"/>
    <x v="5"/>
    <x v="1"/>
    <x v="1"/>
    <x v="33"/>
    <x v="0"/>
    <x v="5"/>
    <x v="0"/>
    <n v="63"/>
    <n v="0"/>
  </r>
  <r>
    <n v="3540"/>
    <x v="26"/>
    <x v="1"/>
    <s v="Jewelry"/>
    <x v="3"/>
    <n v="56"/>
    <s v="New York"/>
    <s v="S"/>
    <s v="Green"/>
    <x v="1"/>
    <x v="4"/>
    <s v="No"/>
    <x v="0"/>
    <x v="1"/>
    <x v="1"/>
    <x v="14"/>
    <x v="2"/>
    <x v="4"/>
    <x v="2"/>
    <n v="56"/>
    <n v="0"/>
  </r>
  <r>
    <n v="3541"/>
    <x v="41"/>
    <x v="1"/>
    <s v="Shorts"/>
    <x v="0"/>
    <n v="95"/>
    <s v="Nevada"/>
    <s v="M"/>
    <s v="Magenta"/>
    <x v="1"/>
    <x v="12"/>
    <s v="No"/>
    <x v="1"/>
    <x v="1"/>
    <x v="1"/>
    <x v="36"/>
    <x v="4"/>
    <x v="1"/>
    <x v="1"/>
    <n v="95"/>
    <n v="0"/>
  </r>
  <r>
    <n v="3542"/>
    <x v="35"/>
    <x v="1"/>
    <s v="Blouse"/>
    <x v="0"/>
    <n v="66"/>
    <s v="Virginia"/>
    <s v="M"/>
    <s v="Olive"/>
    <x v="0"/>
    <x v="17"/>
    <s v="No"/>
    <x v="2"/>
    <x v="1"/>
    <x v="1"/>
    <x v="17"/>
    <x v="3"/>
    <x v="2"/>
    <x v="0"/>
    <n v="66"/>
    <n v="0"/>
  </r>
  <r>
    <n v="3543"/>
    <x v="46"/>
    <x v="1"/>
    <s v="Coat"/>
    <x v="2"/>
    <n v="28"/>
    <s v="Idaho"/>
    <s v="S"/>
    <s v="Olive"/>
    <x v="1"/>
    <x v="19"/>
    <s v="No"/>
    <x v="0"/>
    <x v="1"/>
    <x v="1"/>
    <x v="36"/>
    <x v="0"/>
    <x v="1"/>
    <x v="0"/>
    <n v="28"/>
    <n v="0"/>
  </r>
  <r>
    <n v="3544"/>
    <x v="44"/>
    <x v="1"/>
    <s v="Hat"/>
    <x v="3"/>
    <n v="83"/>
    <s v="Colorado"/>
    <s v="M"/>
    <s v="Blue"/>
    <x v="0"/>
    <x v="7"/>
    <s v="No"/>
    <x v="3"/>
    <x v="1"/>
    <x v="1"/>
    <x v="27"/>
    <x v="3"/>
    <x v="6"/>
    <x v="0"/>
    <n v="83"/>
    <n v="0"/>
  </r>
  <r>
    <n v="3545"/>
    <x v="14"/>
    <x v="1"/>
    <s v="Socks"/>
    <x v="0"/>
    <n v="55"/>
    <s v="Wisconsin"/>
    <s v="XL"/>
    <s v="Charcoal"/>
    <x v="3"/>
    <x v="15"/>
    <s v="No"/>
    <x v="4"/>
    <x v="1"/>
    <x v="1"/>
    <x v="38"/>
    <x v="1"/>
    <x v="6"/>
    <x v="0"/>
    <n v="55"/>
    <n v="0"/>
  </r>
  <r>
    <n v="3546"/>
    <x v="39"/>
    <x v="1"/>
    <s v="Sandals"/>
    <x v="1"/>
    <n v="28"/>
    <s v="Connecticut"/>
    <s v="M"/>
    <s v="Yellow"/>
    <x v="1"/>
    <x v="18"/>
    <s v="No"/>
    <x v="4"/>
    <x v="1"/>
    <x v="1"/>
    <x v="17"/>
    <x v="5"/>
    <x v="2"/>
    <x v="2"/>
    <n v="28"/>
    <n v="0"/>
  </r>
  <r>
    <n v="3547"/>
    <x v="52"/>
    <x v="1"/>
    <s v="Scarf"/>
    <x v="3"/>
    <n v="79"/>
    <s v="Kansas"/>
    <s v="M"/>
    <s v="Violet"/>
    <x v="2"/>
    <x v="15"/>
    <s v="No"/>
    <x v="1"/>
    <x v="1"/>
    <x v="1"/>
    <x v="10"/>
    <x v="4"/>
    <x v="4"/>
    <x v="0"/>
    <n v="79"/>
    <n v="0"/>
  </r>
  <r>
    <n v="3548"/>
    <x v="16"/>
    <x v="1"/>
    <s v="Scarf"/>
    <x v="3"/>
    <n v="31"/>
    <s v="Pennsylvania"/>
    <s v="L"/>
    <s v="Magenta"/>
    <x v="2"/>
    <x v="22"/>
    <s v="No"/>
    <x v="3"/>
    <x v="1"/>
    <x v="1"/>
    <x v="2"/>
    <x v="2"/>
    <x v="2"/>
    <x v="0"/>
    <n v="31"/>
    <n v="0"/>
  </r>
  <r>
    <n v="3549"/>
    <x v="6"/>
    <x v="1"/>
    <s v="Blouse"/>
    <x v="0"/>
    <n v="37"/>
    <s v="Utah"/>
    <s v="M"/>
    <s v="Red"/>
    <x v="3"/>
    <x v="21"/>
    <s v="No"/>
    <x v="3"/>
    <x v="1"/>
    <x v="1"/>
    <x v="39"/>
    <x v="5"/>
    <x v="0"/>
    <x v="0"/>
    <n v="37"/>
    <n v="0"/>
  </r>
  <r>
    <n v="3550"/>
    <x v="42"/>
    <x v="1"/>
    <s v="T-shirt"/>
    <x v="0"/>
    <n v="34"/>
    <s v="Oregon"/>
    <s v="M"/>
    <s v="Cyan"/>
    <x v="2"/>
    <x v="23"/>
    <s v="No"/>
    <x v="4"/>
    <x v="1"/>
    <x v="1"/>
    <x v="47"/>
    <x v="4"/>
    <x v="0"/>
    <x v="2"/>
    <n v="34"/>
    <n v="0"/>
  </r>
  <r>
    <n v="3551"/>
    <x v="6"/>
    <x v="1"/>
    <s v="Shoes"/>
    <x v="1"/>
    <n v="74"/>
    <s v="West Virginia"/>
    <s v="S"/>
    <s v="Orange"/>
    <x v="0"/>
    <x v="6"/>
    <s v="No"/>
    <x v="3"/>
    <x v="1"/>
    <x v="1"/>
    <x v="18"/>
    <x v="1"/>
    <x v="1"/>
    <x v="0"/>
    <n v="74"/>
    <n v="0"/>
  </r>
  <r>
    <n v="3552"/>
    <x v="17"/>
    <x v="1"/>
    <s v="Gloves"/>
    <x v="3"/>
    <n v="31"/>
    <s v="Montana"/>
    <s v="L"/>
    <s v="Black"/>
    <x v="1"/>
    <x v="5"/>
    <s v="No"/>
    <x v="5"/>
    <x v="1"/>
    <x v="1"/>
    <x v="41"/>
    <x v="0"/>
    <x v="1"/>
    <x v="0"/>
    <n v="31"/>
    <n v="0"/>
  </r>
  <r>
    <n v="3553"/>
    <x v="40"/>
    <x v="1"/>
    <s v="Sunglasses"/>
    <x v="3"/>
    <n v="66"/>
    <s v="Kentucky"/>
    <s v="M"/>
    <s v="Blue"/>
    <x v="0"/>
    <x v="3"/>
    <s v="No"/>
    <x v="2"/>
    <x v="1"/>
    <x v="1"/>
    <x v="35"/>
    <x v="3"/>
    <x v="3"/>
    <x v="1"/>
    <n v="66"/>
    <n v="0"/>
  </r>
  <r>
    <n v="3554"/>
    <x v="46"/>
    <x v="1"/>
    <s v="Shoes"/>
    <x v="1"/>
    <n v="99"/>
    <s v="Minnesota"/>
    <s v="M"/>
    <s v="Charcoal"/>
    <x v="1"/>
    <x v="8"/>
    <s v="No"/>
    <x v="1"/>
    <x v="1"/>
    <x v="1"/>
    <x v="18"/>
    <x v="4"/>
    <x v="1"/>
    <x v="0"/>
    <n v="99"/>
    <n v="0"/>
  </r>
  <r>
    <n v="3555"/>
    <x v="31"/>
    <x v="1"/>
    <s v="Dress"/>
    <x v="0"/>
    <n v="55"/>
    <s v="Louisiana"/>
    <s v="M"/>
    <s v="Indigo"/>
    <x v="1"/>
    <x v="16"/>
    <s v="No"/>
    <x v="1"/>
    <x v="1"/>
    <x v="1"/>
    <x v="36"/>
    <x v="2"/>
    <x v="0"/>
    <x v="2"/>
    <n v="55"/>
    <n v="0"/>
  </r>
  <r>
    <n v="3556"/>
    <x v="15"/>
    <x v="1"/>
    <s v="Blouse"/>
    <x v="0"/>
    <n v="23"/>
    <s v="Delaware"/>
    <s v="L"/>
    <s v="Silver"/>
    <x v="1"/>
    <x v="12"/>
    <s v="No"/>
    <x v="2"/>
    <x v="1"/>
    <x v="1"/>
    <x v="24"/>
    <x v="1"/>
    <x v="3"/>
    <x v="1"/>
    <n v="23"/>
    <n v="0"/>
  </r>
  <r>
    <n v="3557"/>
    <x v="27"/>
    <x v="1"/>
    <s v="Sweater"/>
    <x v="0"/>
    <n v="88"/>
    <s v="Arizona"/>
    <s v="M"/>
    <s v="Brown"/>
    <x v="3"/>
    <x v="19"/>
    <s v="No"/>
    <x v="0"/>
    <x v="1"/>
    <x v="1"/>
    <x v="34"/>
    <x v="1"/>
    <x v="4"/>
    <x v="0"/>
    <n v="88"/>
    <n v="0"/>
  </r>
  <r>
    <n v="3558"/>
    <x v="16"/>
    <x v="1"/>
    <s v="Jacket"/>
    <x v="2"/>
    <n v="26"/>
    <s v="Nevada"/>
    <s v="M"/>
    <s v="Peach"/>
    <x v="2"/>
    <x v="8"/>
    <s v="No"/>
    <x v="2"/>
    <x v="1"/>
    <x v="1"/>
    <x v="43"/>
    <x v="3"/>
    <x v="6"/>
    <x v="0"/>
    <n v="26"/>
    <n v="0"/>
  </r>
  <r>
    <n v="3559"/>
    <x v="33"/>
    <x v="1"/>
    <s v="Backpack"/>
    <x v="3"/>
    <n v="94"/>
    <s v="Alaska"/>
    <s v="L"/>
    <s v="Magenta"/>
    <x v="2"/>
    <x v="6"/>
    <s v="No"/>
    <x v="3"/>
    <x v="1"/>
    <x v="1"/>
    <x v="44"/>
    <x v="0"/>
    <x v="3"/>
    <x v="0"/>
    <n v="94"/>
    <n v="0"/>
  </r>
  <r>
    <n v="3560"/>
    <x v="20"/>
    <x v="1"/>
    <s v="Shorts"/>
    <x v="0"/>
    <n v="25"/>
    <s v="Utah"/>
    <s v="M"/>
    <s v="Beige"/>
    <x v="3"/>
    <x v="21"/>
    <s v="No"/>
    <x v="2"/>
    <x v="1"/>
    <x v="1"/>
    <x v="21"/>
    <x v="0"/>
    <x v="6"/>
    <x v="1"/>
    <n v="25"/>
    <n v="0"/>
  </r>
  <r>
    <n v="3561"/>
    <x v="20"/>
    <x v="1"/>
    <s v="Socks"/>
    <x v="0"/>
    <n v="96"/>
    <s v="Kansas"/>
    <s v="XL"/>
    <s v="Violet"/>
    <x v="3"/>
    <x v="1"/>
    <s v="No"/>
    <x v="0"/>
    <x v="1"/>
    <x v="1"/>
    <x v="36"/>
    <x v="2"/>
    <x v="2"/>
    <x v="1"/>
    <n v="96"/>
    <n v="0"/>
  </r>
  <r>
    <n v="3562"/>
    <x v="6"/>
    <x v="1"/>
    <s v="Sneakers"/>
    <x v="1"/>
    <n v="29"/>
    <s v="North Carolina"/>
    <s v="L"/>
    <s v="Black"/>
    <x v="1"/>
    <x v="23"/>
    <s v="No"/>
    <x v="3"/>
    <x v="1"/>
    <x v="1"/>
    <x v="30"/>
    <x v="2"/>
    <x v="0"/>
    <x v="0"/>
    <n v="29"/>
    <n v="0"/>
  </r>
  <r>
    <n v="3563"/>
    <x v="36"/>
    <x v="1"/>
    <s v="Sneakers"/>
    <x v="1"/>
    <n v="36"/>
    <s v="Maryland"/>
    <s v="M"/>
    <s v="Cyan"/>
    <x v="0"/>
    <x v="23"/>
    <s v="No"/>
    <x v="1"/>
    <x v="1"/>
    <x v="1"/>
    <x v="22"/>
    <x v="4"/>
    <x v="1"/>
    <x v="2"/>
    <n v="36"/>
    <n v="0"/>
  </r>
  <r>
    <n v="3564"/>
    <x v="49"/>
    <x v="1"/>
    <s v="Blouse"/>
    <x v="0"/>
    <n v="90"/>
    <s v="Maine"/>
    <s v="M"/>
    <s v="Green"/>
    <x v="2"/>
    <x v="8"/>
    <s v="No"/>
    <x v="3"/>
    <x v="1"/>
    <x v="1"/>
    <x v="6"/>
    <x v="2"/>
    <x v="6"/>
    <x v="2"/>
    <n v="90"/>
    <n v="0"/>
  </r>
  <r>
    <n v="3565"/>
    <x v="52"/>
    <x v="1"/>
    <s v="Gloves"/>
    <x v="3"/>
    <n v="38"/>
    <s v="Illinois"/>
    <s v="S"/>
    <s v="Brown"/>
    <x v="2"/>
    <x v="14"/>
    <s v="No"/>
    <x v="1"/>
    <x v="1"/>
    <x v="1"/>
    <x v="19"/>
    <x v="0"/>
    <x v="2"/>
    <x v="0"/>
    <n v="38"/>
    <n v="0"/>
  </r>
  <r>
    <n v="3566"/>
    <x v="34"/>
    <x v="1"/>
    <s v="Handbag"/>
    <x v="3"/>
    <n v="52"/>
    <s v="Pennsylvania"/>
    <s v="S"/>
    <s v="Gray"/>
    <x v="1"/>
    <x v="19"/>
    <s v="No"/>
    <x v="5"/>
    <x v="1"/>
    <x v="1"/>
    <x v="31"/>
    <x v="3"/>
    <x v="5"/>
    <x v="2"/>
    <n v="52"/>
    <n v="0"/>
  </r>
  <r>
    <n v="3567"/>
    <x v="48"/>
    <x v="1"/>
    <s v="Jeans"/>
    <x v="0"/>
    <n v="88"/>
    <s v="Alaska"/>
    <s v="S"/>
    <s v="Orange"/>
    <x v="1"/>
    <x v="0"/>
    <s v="No"/>
    <x v="2"/>
    <x v="1"/>
    <x v="1"/>
    <x v="0"/>
    <x v="0"/>
    <x v="5"/>
    <x v="2"/>
    <n v="88"/>
    <n v="0"/>
  </r>
  <r>
    <n v="3568"/>
    <x v="45"/>
    <x v="1"/>
    <s v="Scarf"/>
    <x v="3"/>
    <n v="56"/>
    <s v="New Mexico"/>
    <s v="S"/>
    <s v="Silver"/>
    <x v="2"/>
    <x v="17"/>
    <s v="No"/>
    <x v="2"/>
    <x v="1"/>
    <x v="1"/>
    <x v="8"/>
    <x v="2"/>
    <x v="5"/>
    <x v="2"/>
    <n v="56"/>
    <n v="0"/>
  </r>
  <r>
    <n v="3569"/>
    <x v="26"/>
    <x v="1"/>
    <s v="Sandals"/>
    <x v="1"/>
    <n v="71"/>
    <s v="Arkansas"/>
    <s v="M"/>
    <s v="Purple"/>
    <x v="1"/>
    <x v="6"/>
    <s v="No"/>
    <x v="2"/>
    <x v="1"/>
    <x v="1"/>
    <x v="0"/>
    <x v="3"/>
    <x v="3"/>
    <x v="2"/>
    <n v="71"/>
    <n v="0"/>
  </r>
  <r>
    <n v="3570"/>
    <x v="25"/>
    <x v="1"/>
    <s v="Sandals"/>
    <x v="1"/>
    <n v="94"/>
    <s v="Alaska"/>
    <s v="M"/>
    <s v="Olive"/>
    <x v="3"/>
    <x v="13"/>
    <s v="No"/>
    <x v="0"/>
    <x v="1"/>
    <x v="1"/>
    <x v="44"/>
    <x v="4"/>
    <x v="0"/>
    <x v="2"/>
    <n v="94"/>
    <n v="0"/>
  </r>
  <r>
    <n v="3571"/>
    <x v="51"/>
    <x v="1"/>
    <s v="Dress"/>
    <x v="0"/>
    <n v="97"/>
    <s v="Louisiana"/>
    <s v="XL"/>
    <s v="Teal"/>
    <x v="0"/>
    <x v="10"/>
    <s v="No"/>
    <x v="3"/>
    <x v="1"/>
    <x v="1"/>
    <x v="18"/>
    <x v="5"/>
    <x v="2"/>
    <x v="1"/>
    <n v="97"/>
    <n v="0"/>
  </r>
  <r>
    <n v="3572"/>
    <x v="27"/>
    <x v="1"/>
    <s v="Skirt"/>
    <x v="0"/>
    <n v="27"/>
    <s v="North Dakota"/>
    <s v="M"/>
    <s v="White"/>
    <x v="2"/>
    <x v="4"/>
    <s v="No"/>
    <x v="3"/>
    <x v="1"/>
    <x v="1"/>
    <x v="28"/>
    <x v="4"/>
    <x v="6"/>
    <x v="0"/>
    <n v="27"/>
    <n v="0"/>
  </r>
  <r>
    <n v="3573"/>
    <x v="51"/>
    <x v="1"/>
    <s v="Shorts"/>
    <x v="0"/>
    <n v="28"/>
    <s v="Rhode Island"/>
    <s v="M"/>
    <s v="Black"/>
    <x v="1"/>
    <x v="16"/>
    <s v="No"/>
    <x v="3"/>
    <x v="1"/>
    <x v="1"/>
    <x v="29"/>
    <x v="2"/>
    <x v="5"/>
    <x v="1"/>
    <n v="28"/>
    <n v="0"/>
  </r>
  <r>
    <n v="3574"/>
    <x v="49"/>
    <x v="1"/>
    <s v="Jeans"/>
    <x v="0"/>
    <n v="67"/>
    <s v="Connecticut"/>
    <s v="L"/>
    <s v="Maroon"/>
    <x v="3"/>
    <x v="8"/>
    <s v="No"/>
    <x v="1"/>
    <x v="1"/>
    <x v="1"/>
    <x v="46"/>
    <x v="3"/>
    <x v="5"/>
    <x v="2"/>
    <n v="67"/>
    <n v="0"/>
  </r>
  <r>
    <n v="3575"/>
    <x v="26"/>
    <x v="1"/>
    <s v="Socks"/>
    <x v="0"/>
    <n v="70"/>
    <s v="New York"/>
    <s v="M"/>
    <s v="Cyan"/>
    <x v="3"/>
    <x v="8"/>
    <s v="No"/>
    <x v="0"/>
    <x v="1"/>
    <x v="1"/>
    <x v="30"/>
    <x v="4"/>
    <x v="3"/>
    <x v="2"/>
    <n v="70"/>
    <n v="0"/>
  </r>
  <r>
    <n v="3576"/>
    <x v="12"/>
    <x v="1"/>
    <s v="Coat"/>
    <x v="2"/>
    <n v="95"/>
    <s v="Kentucky"/>
    <s v="M"/>
    <s v="Violet"/>
    <x v="3"/>
    <x v="18"/>
    <s v="No"/>
    <x v="0"/>
    <x v="1"/>
    <x v="1"/>
    <x v="3"/>
    <x v="0"/>
    <x v="4"/>
    <x v="0"/>
    <n v="95"/>
    <n v="0"/>
  </r>
  <r>
    <n v="3577"/>
    <x v="26"/>
    <x v="1"/>
    <s v="Boots"/>
    <x v="1"/>
    <n v="24"/>
    <s v="Maine"/>
    <s v="L"/>
    <s v="Yellow"/>
    <x v="1"/>
    <x v="21"/>
    <s v="No"/>
    <x v="0"/>
    <x v="1"/>
    <x v="1"/>
    <x v="45"/>
    <x v="0"/>
    <x v="4"/>
    <x v="2"/>
    <n v="24"/>
    <n v="0"/>
  </r>
  <r>
    <n v="3578"/>
    <x v="17"/>
    <x v="1"/>
    <s v="Belt"/>
    <x v="3"/>
    <n v="35"/>
    <s v="Missouri"/>
    <s v="S"/>
    <s v="Yellow"/>
    <x v="0"/>
    <x v="5"/>
    <s v="No"/>
    <x v="3"/>
    <x v="1"/>
    <x v="1"/>
    <x v="21"/>
    <x v="4"/>
    <x v="1"/>
    <x v="0"/>
    <n v="35"/>
    <n v="0"/>
  </r>
  <r>
    <n v="3579"/>
    <x v="5"/>
    <x v="1"/>
    <s v="Shoes"/>
    <x v="1"/>
    <n v="22"/>
    <s v="Georgia"/>
    <s v="L"/>
    <s v="Olive"/>
    <x v="0"/>
    <x v="5"/>
    <s v="No"/>
    <x v="3"/>
    <x v="1"/>
    <x v="1"/>
    <x v="17"/>
    <x v="4"/>
    <x v="3"/>
    <x v="2"/>
    <n v="22"/>
    <n v="0"/>
  </r>
  <r>
    <n v="3580"/>
    <x v="50"/>
    <x v="1"/>
    <s v="Scarf"/>
    <x v="3"/>
    <n v="66"/>
    <s v="Arizona"/>
    <s v="L"/>
    <s v="Olive"/>
    <x v="3"/>
    <x v="6"/>
    <s v="No"/>
    <x v="3"/>
    <x v="1"/>
    <x v="1"/>
    <x v="5"/>
    <x v="2"/>
    <x v="6"/>
    <x v="2"/>
    <n v="66"/>
    <n v="0"/>
  </r>
  <r>
    <n v="3581"/>
    <x v="47"/>
    <x v="1"/>
    <s v="Blouse"/>
    <x v="0"/>
    <n v="83"/>
    <s v="New Hampshire"/>
    <s v="M"/>
    <s v="Magenta"/>
    <x v="2"/>
    <x v="4"/>
    <s v="No"/>
    <x v="4"/>
    <x v="1"/>
    <x v="1"/>
    <x v="35"/>
    <x v="1"/>
    <x v="4"/>
    <x v="0"/>
    <n v="83"/>
    <n v="0"/>
  </r>
  <r>
    <n v="3582"/>
    <x v="8"/>
    <x v="1"/>
    <s v="Dress"/>
    <x v="0"/>
    <n v="95"/>
    <s v="Georgia"/>
    <s v="M"/>
    <s v="Orange"/>
    <x v="3"/>
    <x v="8"/>
    <s v="No"/>
    <x v="2"/>
    <x v="1"/>
    <x v="1"/>
    <x v="16"/>
    <x v="2"/>
    <x v="1"/>
    <x v="2"/>
    <n v="95"/>
    <n v="0"/>
  </r>
  <r>
    <n v="3583"/>
    <x v="51"/>
    <x v="1"/>
    <s v="Shorts"/>
    <x v="0"/>
    <n v="41"/>
    <s v="California"/>
    <s v="S"/>
    <s v="Beige"/>
    <x v="2"/>
    <x v="23"/>
    <s v="No"/>
    <x v="4"/>
    <x v="1"/>
    <x v="1"/>
    <x v="28"/>
    <x v="3"/>
    <x v="2"/>
    <x v="1"/>
    <n v="41"/>
    <n v="0"/>
  </r>
  <r>
    <n v="3584"/>
    <x v="16"/>
    <x v="1"/>
    <s v="Blouse"/>
    <x v="0"/>
    <n v="77"/>
    <s v="Arizona"/>
    <s v="L"/>
    <s v="Brown"/>
    <x v="2"/>
    <x v="2"/>
    <s v="No"/>
    <x v="5"/>
    <x v="1"/>
    <x v="1"/>
    <x v="12"/>
    <x v="2"/>
    <x v="6"/>
    <x v="0"/>
    <n v="77"/>
    <n v="0"/>
  </r>
  <r>
    <n v="3585"/>
    <x v="31"/>
    <x v="1"/>
    <s v="Sneakers"/>
    <x v="1"/>
    <n v="52"/>
    <s v="Florida"/>
    <s v="L"/>
    <s v="Indigo"/>
    <x v="3"/>
    <x v="6"/>
    <s v="No"/>
    <x v="0"/>
    <x v="1"/>
    <x v="1"/>
    <x v="26"/>
    <x v="5"/>
    <x v="5"/>
    <x v="2"/>
    <n v="52"/>
    <n v="0"/>
  </r>
  <r>
    <n v="3586"/>
    <x v="31"/>
    <x v="1"/>
    <s v="Gloves"/>
    <x v="3"/>
    <n v="41"/>
    <s v="New York"/>
    <s v="XL"/>
    <s v="Gray"/>
    <x v="0"/>
    <x v="7"/>
    <s v="No"/>
    <x v="3"/>
    <x v="1"/>
    <x v="1"/>
    <x v="7"/>
    <x v="0"/>
    <x v="4"/>
    <x v="2"/>
    <n v="41"/>
    <n v="0"/>
  </r>
  <r>
    <n v="3587"/>
    <x v="23"/>
    <x v="1"/>
    <s v="Hoodie"/>
    <x v="0"/>
    <n v="28"/>
    <s v="Idaho"/>
    <s v="M"/>
    <s v="Yellow"/>
    <x v="0"/>
    <x v="12"/>
    <s v="No"/>
    <x v="5"/>
    <x v="1"/>
    <x v="1"/>
    <x v="45"/>
    <x v="3"/>
    <x v="4"/>
    <x v="2"/>
    <n v="28"/>
    <n v="0"/>
  </r>
  <r>
    <n v="3588"/>
    <x v="23"/>
    <x v="1"/>
    <s v="Sweater"/>
    <x v="0"/>
    <n v="90"/>
    <s v="Virginia"/>
    <s v="S"/>
    <s v="Violet"/>
    <x v="2"/>
    <x v="14"/>
    <s v="No"/>
    <x v="3"/>
    <x v="1"/>
    <x v="1"/>
    <x v="42"/>
    <x v="5"/>
    <x v="2"/>
    <x v="2"/>
    <n v="90"/>
    <n v="0"/>
  </r>
  <r>
    <n v="3589"/>
    <x v="51"/>
    <x v="1"/>
    <s v="Sunglasses"/>
    <x v="3"/>
    <n v="55"/>
    <s v="Michigan"/>
    <s v="M"/>
    <s v="Magenta"/>
    <x v="1"/>
    <x v="1"/>
    <s v="No"/>
    <x v="4"/>
    <x v="1"/>
    <x v="1"/>
    <x v="19"/>
    <x v="1"/>
    <x v="2"/>
    <x v="1"/>
    <n v="55"/>
    <n v="0"/>
  </r>
  <r>
    <n v="3590"/>
    <x v="18"/>
    <x v="1"/>
    <s v="Belt"/>
    <x v="3"/>
    <n v="73"/>
    <s v="New Hampshire"/>
    <s v="M"/>
    <s v="Blue"/>
    <x v="1"/>
    <x v="6"/>
    <s v="No"/>
    <x v="2"/>
    <x v="1"/>
    <x v="1"/>
    <x v="25"/>
    <x v="1"/>
    <x v="6"/>
    <x v="2"/>
    <n v="73"/>
    <n v="0"/>
  </r>
  <r>
    <n v="3591"/>
    <x v="7"/>
    <x v="1"/>
    <s v="Dress"/>
    <x v="0"/>
    <n v="87"/>
    <s v="South Dakota"/>
    <s v="M"/>
    <s v="Gray"/>
    <x v="3"/>
    <x v="3"/>
    <s v="No"/>
    <x v="4"/>
    <x v="1"/>
    <x v="1"/>
    <x v="5"/>
    <x v="0"/>
    <x v="6"/>
    <x v="2"/>
    <n v="87"/>
    <n v="0"/>
  </r>
  <r>
    <n v="3592"/>
    <x v="39"/>
    <x v="1"/>
    <s v="Jacket"/>
    <x v="2"/>
    <n v="89"/>
    <s v="South Dakota"/>
    <s v="M"/>
    <s v="Gold"/>
    <x v="0"/>
    <x v="4"/>
    <s v="No"/>
    <x v="4"/>
    <x v="1"/>
    <x v="1"/>
    <x v="25"/>
    <x v="4"/>
    <x v="3"/>
    <x v="2"/>
    <n v="89"/>
    <n v="0"/>
  </r>
  <r>
    <n v="3593"/>
    <x v="12"/>
    <x v="1"/>
    <s v="Boots"/>
    <x v="1"/>
    <n v="82"/>
    <s v="New Jersey"/>
    <s v="L"/>
    <s v="Lavender"/>
    <x v="1"/>
    <x v="14"/>
    <s v="No"/>
    <x v="4"/>
    <x v="1"/>
    <x v="1"/>
    <x v="27"/>
    <x v="0"/>
    <x v="0"/>
    <x v="0"/>
    <n v="82"/>
    <n v="0"/>
  </r>
  <r>
    <n v="3594"/>
    <x v="6"/>
    <x v="1"/>
    <s v="Sandals"/>
    <x v="1"/>
    <n v="80"/>
    <s v="Wyoming"/>
    <s v="M"/>
    <s v="Black"/>
    <x v="1"/>
    <x v="12"/>
    <s v="No"/>
    <x v="2"/>
    <x v="1"/>
    <x v="1"/>
    <x v="37"/>
    <x v="3"/>
    <x v="5"/>
    <x v="0"/>
    <n v="80"/>
    <n v="0"/>
  </r>
  <r>
    <n v="3595"/>
    <x v="1"/>
    <x v="1"/>
    <s v="Scarf"/>
    <x v="3"/>
    <n v="87"/>
    <s v="Alabama"/>
    <s v="L"/>
    <s v="Charcoal"/>
    <x v="2"/>
    <x v="5"/>
    <s v="No"/>
    <x v="4"/>
    <x v="1"/>
    <x v="1"/>
    <x v="32"/>
    <x v="0"/>
    <x v="3"/>
    <x v="1"/>
    <n v="87"/>
    <n v="0"/>
  </r>
  <r>
    <n v="3596"/>
    <x v="3"/>
    <x v="1"/>
    <s v="Blouse"/>
    <x v="0"/>
    <n v="41"/>
    <s v="South Dakota"/>
    <s v="M"/>
    <s v="Violet"/>
    <x v="1"/>
    <x v="0"/>
    <s v="No"/>
    <x v="5"/>
    <x v="1"/>
    <x v="1"/>
    <x v="0"/>
    <x v="3"/>
    <x v="2"/>
    <x v="1"/>
    <n v="41"/>
    <n v="0"/>
  </r>
  <r>
    <n v="3597"/>
    <x v="48"/>
    <x v="1"/>
    <s v="Hoodie"/>
    <x v="0"/>
    <n v="83"/>
    <s v="South Carolina"/>
    <s v="M"/>
    <s v="Charcoal"/>
    <x v="1"/>
    <x v="24"/>
    <s v="No"/>
    <x v="3"/>
    <x v="1"/>
    <x v="1"/>
    <x v="12"/>
    <x v="1"/>
    <x v="0"/>
    <x v="2"/>
    <n v="83"/>
    <n v="0"/>
  </r>
  <r>
    <n v="3598"/>
    <x v="26"/>
    <x v="1"/>
    <s v="Sunglasses"/>
    <x v="3"/>
    <n v="71"/>
    <s v="New Mexico"/>
    <s v="M"/>
    <s v="Maroon"/>
    <x v="2"/>
    <x v="0"/>
    <s v="No"/>
    <x v="3"/>
    <x v="1"/>
    <x v="1"/>
    <x v="27"/>
    <x v="4"/>
    <x v="3"/>
    <x v="2"/>
    <n v="71"/>
    <n v="0"/>
  </r>
  <r>
    <n v="3599"/>
    <x v="51"/>
    <x v="1"/>
    <s v="Hoodie"/>
    <x v="0"/>
    <n v="76"/>
    <s v="Connecticut"/>
    <s v="XL"/>
    <s v="Purple"/>
    <x v="1"/>
    <x v="12"/>
    <s v="No"/>
    <x v="5"/>
    <x v="1"/>
    <x v="1"/>
    <x v="5"/>
    <x v="4"/>
    <x v="4"/>
    <x v="1"/>
    <n v="76"/>
    <n v="0"/>
  </r>
  <r>
    <n v="3600"/>
    <x v="43"/>
    <x v="1"/>
    <s v="Scarf"/>
    <x v="3"/>
    <n v="34"/>
    <s v="Kansas"/>
    <s v="S"/>
    <s v="Peach"/>
    <x v="1"/>
    <x v="12"/>
    <s v="No"/>
    <x v="0"/>
    <x v="1"/>
    <x v="1"/>
    <x v="7"/>
    <x v="1"/>
    <x v="1"/>
    <x v="2"/>
    <n v="34"/>
    <n v="0"/>
  </r>
  <r>
    <n v="3601"/>
    <x v="29"/>
    <x v="1"/>
    <s v="Dress"/>
    <x v="0"/>
    <n v="81"/>
    <s v="South Carolina"/>
    <s v="XL"/>
    <s v="Olive"/>
    <x v="1"/>
    <x v="2"/>
    <s v="No"/>
    <x v="1"/>
    <x v="1"/>
    <x v="1"/>
    <x v="29"/>
    <x v="1"/>
    <x v="4"/>
    <x v="0"/>
    <n v="81"/>
    <n v="0"/>
  </r>
  <r>
    <n v="3602"/>
    <x v="50"/>
    <x v="1"/>
    <s v="T-shirt"/>
    <x v="0"/>
    <n v="47"/>
    <s v="North Carolina"/>
    <s v="M"/>
    <s v="Indigo"/>
    <x v="2"/>
    <x v="21"/>
    <s v="No"/>
    <x v="2"/>
    <x v="1"/>
    <x v="1"/>
    <x v="35"/>
    <x v="3"/>
    <x v="5"/>
    <x v="2"/>
    <n v="47"/>
    <n v="0"/>
  </r>
  <r>
    <n v="3603"/>
    <x v="44"/>
    <x v="1"/>
    <s v="Skirt"/>
    <x v="0"/>
    <n v="36"/>
    <s v="Wyoming"/>
    <s v="S"/>
    <s v="Magenta"/>
    <x v="2"/>
    <x v="13"/>
    <s v="No"/>
    <x v="5"/>
    <x v="1"/>
    <x v="1"/>
    <x v="19"/>
    <x v="5"/>
    <x v="3"/>
    <x v="0"/>
    <n v="36"/>
    <n v="0"/>
  </r>
  <r>
    <n v="3604"/>
    <x v="4"/>
    <x v="1"/>
    <s v="Jeans"/>
    <x v="0"/>
    <n v="51"/>
    <s v="Louisiana"/>
    <s v="M"/>
    <s v="Gold"/>
    <x v="1"/>
    <x v="2"/>
    <s v="No"/>
    <x v="1"/>
    <x v="1"/>
    <x v="1"/>
    <x v="36"/>
    <x v="1"/>
    <x v="1"/>
    <x v="2"/>
    <n v="51"/>
    <n v="0"/>
  </r>
  <r>
    <n v="3605"/>
    <x v="6"/>
    <x v="1"/>
    <s v="Hoodie"/>
    <x v="0"/>
    <n v="86"/>
    <s v="Louisiana"/>
    <s v="M"/>
    <s v="Orange"/>
    <x v="3"/>
    <x v="13"/>
    <s v="No"/>
    <x v="3"/>
    <x v="1"/>
    <x v="1"/>
    <x v="14"/>
    <x v="5"/>
    <x v="2"/>
    <x v="0"/>
    <n v="86"/>
    <n v="0"/>
  </r>
  <r>
    <n v="3606"/>
    <x v="33"/>
    <x v="1"/>
    <s v="Jeans"/>
    <x v="0"/>
    <n v="41"/>
    <s v="Alabama"/>
    <s v="M"/>
    <s v="Gold"/>
    <x v="3"/>
    <x v="24"/>
    <s v="No"/>
    <x v="5"/>
    <x v="1"/>
    <x v="1"/>
    <x v="13"/>
    <x v="4"/>
    <x v="6"/>
    <x v="0"/>
    <n v="41"/>
    <n v="0"/>
  </r>
  <r>
    <n v="3607"/>
    <x v="38"/>
    <x v="1"/>
    <s v="Sandals"/>
    <x v="1"/>
    <n v="90"/>
    <s v="Minnesota"/>
    <s v="XL"/>
    <s v="Purple"/>
    <x v="3"/>
    <x v="6"/>
    <s v="No"/>
    <x v="0"/>
    <x v="1"/>
    <x v="1"/>
    <x v="23"/>
    <x v="0"/>
    <x v="2"/>
    <x v="2"/>
    <n v="90"/>
    <n v="0"/>
  </r>
  <r>
    <n v="3608"/>
    <x v="2"/>
    <x v="1"/>
    <s v="Hat"/>
    <x v="3"/>
    <n v="93"/>
    <s v="New Mexico"/>
    <s v="L"/>
    <s v="Charcoal"/>
    <x v="3"/>
    <x v="13"/>
    <s v="No"/>
    <x v="3"/>
    <x v="1"/>
    <x v="1"/>
    <x v="41"/>
    <x v="0"/>
    <x v="4"/>
    <x v="2"/>
    <n v="93"/>
    <n v="0"/>
  </r>
  <r>
    <n v="3609"/>
    <x v="41"/>
    <x v="1"/>
    <s v="Gloves"/>
    <x v="3"/>
    <n v="56"/>
    <s v="Tennessee"/>
    <s v="M"/>
    <s v="Cyan"/>
    <x v="3"/>
    <x v="24"/>
    <s v="No"/>
    <x v="2"/>
    <x v="1"/>
    <x v="1"/>
    <x v="1"/>
    <x v="1"/>
    <x v="6"/>
    <x v="1"/>
    <n v="56"/>
    <n v="0"/>
  </r>
  <r>
    <n v="3610"/>
    <x v="3"/>
    <x v="1"/>
    <s v="Socks"/>
    <x v="0"/>
    <n v="39"/>
    <s v="New Mexico"/>
    <s v="M"/>
    <s v="Cyan"/>
    <x v="2"/>
    <x v="21"/>
    <s v="No"/>
    <x v="4"/>
    <x v="1"/>
    <x v="1"/>
    <x v="4"/>
    <x v="5"/>
    <x v="5"/>
    <x v="1"/>
    <n v="39"/>
    <n v="0"/>
  </r>
  <r>
    <n v="3611"/>
    <x v="20"/>
    <x v="1"/>
    <s v="Jacket"/>
    <x v="2"/>
    <n v="86"/>
    <s v="Texas"/>
    <s v="XL"/>
    <s v="Green"/>
    <x v="3"/>
    <x v="6"/>
    <s v="No"/>
    <x v="4"/>
    <x v="1"/>
    <x v="1"/>
    <x v="2"/>
    <x v="4"/>
    <x v="0"/>
    <x v="1"/>
    <n v="86"/>
    <n v="0"/>
  </r>
  <r>
    <n v="3612"/>
    <x v="6"/>
    <x v="1"/>
    <s v="T-shirt"/>
    <x v="0"/>
    <n v="82"/>
    <s v="Washington"/>
    <s v="M"/>
    <s v="Silver"/>
    <x v="1"/>
    <x v="3"/>
    <s v="No"/>
    <x v="3"/>
    <x v="1"/>
    <x v="1"/>
    <x v="48"/>
    <x v="2"/>
    <x v="2"/>
    <x v="0"/>
    <n v="82"/>
    <n v="0"/>
  </r>
  <r>
    <n v="3613"/>
    <x v="36"/>
    <x v="1"/>
    <s v="Sandals"/>
    <x v="1"/>
    <n v="29"/>
    <s v="Michigan"/>
    <s v="M"/>
    <s v="Teal"/>
    <x v="2"/>
    <x v="15"/>
    <s v="No"/>
    <x v="3"/>
    <x v="1"/>
    <x v="1"/>
    <x v="8"/>
    <x v="1"/>
    <x v="6"/>
    <x v="2"/>
    <n v="29"/>
    <n v="0"/>
  </r>
  <r>
    <n v="3614"/>
    <x v="44"/>
    <x v="1"/>
    <s v="Hat"/>
    <x v="3"/>
    <n v="27"/>
    <s v="Minnesota"/>
    <s v="M"/>
    <s v="Magenta"/>
    <x v="3"/>
    <x v="1"/>
    <s v="No"/>
    <x v="5"/>
    <x v="1"/>
    <x v="1"/>
    <x v="19"/>
    <x v="0"/>
    <x v="2"/>
    <x v="0"/>
    <n v="27"/>
    <n v="0"/>
  </r>
  <r>
    <n v="3615"/>
    <x v="5"/>
    <x v="1"/>
    <s v="Gloves"/>
    <x v="3"/>
    <n v="25"/>
    <s v="Delaware"/>
    <s v="L"/>
    <s v="Maroon"/>
    <x v="1"/>
    <x v="10"/>
    <s v="No"/>
    <x v="4"/>
    <x v="1"/>
    <x v="1"/>
    <x v="5"/>
    <x v="4"/>
    <x v="2"/>
    <x v="2"/>
    <n v="25"/>
    <n v="0"/>
  </r>
  <r>
    <n v="3616"/>
    <x v="25"/>
    <x v="1"/>
    <s v="Dress"/>
    <x v="0"/>
    <n v="31"/>
    <s v="California"/>
    <s v="M"/>
    <s v="Gold"/>
    <x v="0"/>
    <x v="14"/>
    <s v="No"/>
    <x v="1"/>
    <x v="1"/>
    <x v="1"/>
    <x v="7"/>
    <x v="2"/>
    <x v="5"/>
    <x v="2"/>
    <n v="31"/>
    <n v="0"/>
  </r>
  <r>
    <n v="3617"/>
    <x v="32"/>
    <x v="1"/>
    <s v="Hoodie"/>
    <x v="0"/>
    <n v="23"/>
    <s v="Wisconsin"/>
    <s v="L"/>
    <s v="Purple"/>
    <x v="0"/>
    <x v="13"/>
    <s v="No"/>
    <x v="5"/>
    <x v="1"/>
    <x v="1"/>
    <x v="42"/>
    <x v="5"/>
    <x v="0"/>
    <x v="2"/>
    <n v="23"/>
    <n v="0"/>
  </r>
  <r>
    <n v="3618"/>
    <x v="39"/>
    <x v="1"/>
    <s v="Belt"/>
    <x v="3"/>
    <n v="47"/>
    <s v="Kentucky"/>
    <s v="M"/>
    <s v="Lavender"/>
    <x v="3"/>
    <x v="24"/>
    <s v="No"/>
    <x v="0"/>
    <x v="1"/>
    <x v="1"/>
    <x v="32"/>
    <x v="5"/>
    <x v="5"/>
    <x v="2"/>
    <n v="47"/>
    <n v="0"/>
  </r>
  <r>
    <n v="3619"/>
    <x v="48"/>
    <x v="1"/>
    <s v="Gloves"/>
    <x v="3"/>
    <n v="67"/>
    <s v="Nevada"/>
    <s v="M"/>
    <s v="Maroon"/>
    <x v="3"/>
    <x v="17"/>
    <s v="No"/>
    <x v="4"/>
    <x v="1"/>
    <x v="1"/>
    <x v="39"/>
    <x v="3"/>
    <x v="4"/>
    <x v="2"/>
    <n v="67"/>
    <n v="0"/>
  </r>
  <r>
    <n v="3620"/>
    <x v="42"/>
    <x v="1"/>
    <s v="Scarf"/>
    <x v="3"/>
    <n v="75"/>
    <s v="North Carolina"/>
    <s v="S"/>
    <s v="Magenta"/>
    <x v="0"/>
    <x v="8"/>
    <s v="No"/>
    <x v="4"/>
    <x v="1"/>
    <x v="1"/>
    <x v="16"/>
    <x v="0"/>
    <x v="1"/>
    <x v="2"/>
    <n v="75"/>
    <n v="0"/>
  </r>
  <r>
    <n v="3621"/>
    <x v="52"/>
    <x v="1"/>
    <s v="Sandals"/>
    <x v="1"/>
    <n v="82"/>
    <s v="Louisiana"/>
    <s v="M"/>
    <s v="Turquoise"/>
    <x v="2"/>
    <x v="3"/>
    <s v="No"/>
    <x v="0"/>
    <x v="1"/>
    <x v="1"/>
    <x v="40"/>
    <x v="2"/>
    <x v="0"/>
    <x v="0"/>
    <n v="82"/>
    <n v="0"/>
  </r>
  <r>
    <n v="3622"/>
    <x v="21"/>
    <x v="1"/>
    <s v="Sneakers"/>
    <x v="1"/>
    <n v="32"/>
    <s v="New Jersey"/>
    <s v="XL"/>
    <s v="Silver"/>
    <x v="2"/>
    <x v="17"/>
    <s v="No"/>
    <x v="4"/>
    <x v="1"/>
    <x v="1"/>
    <x v="36"/>
    <x v="1"/>
    <x v="0"/>
    <x v="2"/>
    <n v="32"/>
    <n v="0"/>
  </r>
  <r>
    <n v="3623"/>
    <x v="5"/>
    <x v="1"/>
    <s v="Dress"/>
    <x v="0"/>
    <n v="41"/>
    <s v="Wisconsin"/>
    <s v="M"/>
    <s v="Purple"/>
    <x v="3"/>
    <x v="24"/>
    <s v="No"/>
    <x v="5"/>
    <x v="1"/>
    <x v="1"/>
    <x v="45"/>
    <x v="2"/>
    <x v="2"/>
    <x v="2"/>
    <n v="41"/>
    <n v="0"/>
  </r>
  <r>
    <n v="3624"/>
    <x v="31"/>
    <x v="1"/>
    <s v="Jewelry"/>
    <x v="3"/>
    <n v="89"/>
    <s v="Arkansas"/>
    <s v="M"/>
    <s v="Violet"/>
    <x v="0"/>
    <x v="2"/>
    <s v="No"/>
    <x v="4"/>
    <x v="1"/>
    <x v="1"/>
    <x v="7"/>
    <x v="3"/>
    <x v="1"/>
    <x v="2"/>
    <n v="89"/>
    <n v="0"/>
  </r>
  <r>
    <n v="3625"/>
    <x v="40"/>
    <x v="1"/>
    <s v="Hat"/>
    <x v="3"/>
    <n v="82"/>
    <s v="Texas"/>
    <s v="XL"/>
    <s v="Peach"/>
    <x v="3"/>
    <x v="16"/>
    <s v="No"/>
    <x v="5"/>
    <x v="1"/>
    <x v="1"/>
    <x v="17"/>
    <x v="4"/>
    <x v="4"/>
    <x v="1"/>
    <n v="82"/>
    <n v="0"/>
  </r>
  <r>
    <n v="3626"/>
    <x v="42"/>
    <x v="1"/>
    <s v="Scarf"/>
    <x v="3"/>
    <n v="99"/>
    <s v="Illinois"/>
    <s v="L"/>
    <s v="Green"/>
    <x v="0"/>
    <x v="14"/>
    <s v="No"/>
    <x v="0"/>
    <x v="1"/>
    <x v="1"/>
    <x v="18"/>
    <x v="3"/>
    <x v="1"/>
    <x v="2"/>
    <n v="99"/>
    <n v="0"/>
  </r>
  <r>
    <n v="3627"/>
    <x v="28"/>
    <x v="1"/>
    <s v="Blouse"/>
    <x v="0"/>
    <n v="98"/>
    <s v="Mississippi"/>
    <s v="L"/>
    <s v="Teal"/>
    <x v="3"/>
    <x v="1"/>
    <s v="No"/>
    <x v="0"/>
    <x v="1"/>
    <x v="1"/>
    <x v="18"/>
    <x v="0"/>
    <x v="3"/>
    <x v="0"/>
    <n v="98"/>
    <n v="0"/>
  </r>
  <r>
    <n v="3628"/>
    <x v="31"/>
    <x v="1"/>
    <s v="Belt"/>
    <x v="3"/>
    <n v="54"/>
    <s v="Delaware"/>
    <s v="M"/>
    <s v="Silver"/>
    <x v="0"/>
    <x v="13"/>
    <s v="No"/>
    <x v="2"/>
    <x v="1"/>
    <x v="1"/>
    <x v="26"/>
    <x v="1"/>
    <x v="6"/>
    <x v="2"/>
    <n v="54"/>
    <n v="0"/>
  </r>
  <r>
    <n v="3629"/>
    <x v="10"/>
    <x v="1"/>
    <s v="Blouse"/>
    <x v="0"/>
    <n v="88"/>
    <s v="Georgia"/>
    <s v="L"/>
    <s v="Purple"/>
    <x v="2"/>
    <x v="22"/>
    <s v="No"/>
    <x v="1"/>
    <x v="1"/>
    <x v="1"/>
    <x v="31"/>
    <x v="2"/>
    <x v="5"/>
    <x v="0"/>
    <n v="88"/>
    <n v="0"/>
  </r>
  <r>
    <n v="3630"/>
    <x v="16"/>
    <x v="1"/>
    <s v="T-shirt"/>
    <x v="0"/>
    <n v="43"/>
    <s v="Kansas"/>
    <s v="L"/>
    <s v="Lavender"/>
    <x v="2"/>
    <x v="9"/>
    <s v="No"/>
    <x v="3"/>
    <x v="1"/>
    <x v="1"/>
    <x v="12"/>
    <x v="5"/>
    <x v="0"/>
    <x v="0"/>
    <n v="43"/>
    <n v="0"/>
  </r>
  <r>
    <n v="3631"/>
    <x v="13"/>
    <x v="1"/>
    <s v="Hat"/>
    <x v="3"/>
    <n v="73"/>
    <s v="Oklahoma"/>
    <s v="M"/>
    <s v="Lavender"/>
    <x v="0"/>
    <x v="6"/>
    <s v="No"/>
    <x v="5"/>
    <x v="1"/>
    <x v="1"/>
    <x v="32"/>
    <x v="1"/>
    <x v="1"/>
    <x v="0"/>
    <n v="73"/>
    <n v="0"/>
  </r>
  <r>
    <n v="3632"/>
    <x v="39"/>
    <x v="1"/>
    <s v="Hat"/>
    <x v="3"/>
    <n v="50"/>
    <s v="New Jersey"/>
    <s v="M"/>
    <s v="Peach"/>
    <x v="3"/>
    <x v="3"/>
    <s v="No"/>
    <x v="5"/>
    <x v="1"/>
    <x v="1"/>
    <x v="8"/>
    <x v="2"/>
    <x v="5"/>
    <x v="2"/>
    <n v="50"/>
    <n v="0"/>
  </r>
  <r>
    <n v="3633"/>
    <x v="7"/>
    <x v="1"/>
    <s v="Sneakers"/>
    <x v="1"/>
    <n v="73"/>
    <s v="Utah"/>
    <s v="L"/>
    <s v="Green"/>
    <x v="1"/>
    <x v="4"/>
    <s v="No"/>
    <x v="0"/>
    <x v="1"/>
    <x v="1"/>
    <x v="35"/>
    <x v="5"/>
    <x v="3"/>
    <x v="2"/>
    <n v="73"/>
    <n v="0"/>
  </r>
  <r>
    <n v="3634"/>
    <x v="31"/>
    <x v="1"/>
    <s v="Gloves"/>
    <x v="3"/>
    <n v="51"/>
    <s v="Montana"/>
    <s v="M"/>
    <s v="Orange"/>
    <x v="1"/>
    <x v="11"/>
    <s v="No"/>
    <x v="1"/>
    <x v="1"/>
    <x v="1"/>
    <x v="43"/>
    <x v="4"/>
    <x v="4"/>
    <x v="2"/>
    <n v="51"/>
    <n v="0"/>
  </r>
  <r>
    <n v="3635"/>
    <x v="35"/>
    <x v="1"/>
    <s v="Socks"/>
    <x v="0"/>
    <n v="22"/>
    <s v="Ohio"/>
    <s v="M"/>
    <s v="Pink"/>
    <x v="0"/>
    <x v="13"/>
    <s v="No"/>
    <x v="3"/>
    <x v="1"/>
    <x v="1"/>
    <x v="14"/>
    <x v="3"/>
    <x v="2"/>
    <x v="0"/>
    <n v="22"/>
    <n v="0"/>
  </r>
  <r>
    <n v="3636"/>
    <x v="16"/>
    <x v="1"/>
    <s v="Sandals"/>
    <x v="1"/>
    <n v="32"/>
    <s v="Colorado"/>
    <s v="L"/>
    <s v="Cyan"/>
    <x v="3"/>
    <x v="13"/>
    <s v="No"/>
    <x v="1"/>
    <x v="1"/>
    <x v="1"/>
    <x v="14"/>
    <x v="2"/>
    <x v="0"/>
    <x v="0"/>
    <n v="32"/>
    <n v="0"/>
  </r>
  <r>
    <n v="3637"/>
    <x v="2"/>
    <x v="1"/>
    <s v="Sandals"/>
    <x v="1"/>
    <n v="38"/>
    <s v="California"/>
    <s v="L"/>
    <s v="Lavender"/>
    <x v="2"/>
    <x v="19"/>
    <s v="No"/>
    <x v="4"/>
    <x v="1"/>
    <x v="1"/>
    <x v="13"/>
    <x v="1"/>
    <x v="1"/>
    <x v="2"/>
    <n v="38"/>
    <n v="0"/>
  </r>
  <r>
    <n v="3638"/>
    <x v="45"/>
    <x v="1"/>
    <s v="Boots"/>
    <x v="1"/>
    <n v="66"/>
    <s v="Utah"/>
    <s v="L"/>
    <s v="Yellow"/>
    <x v="0"/>
    <x v="15"/>
    <s v="No"/>
    <x v="0"/>
    <x v="1"/>
    <x v="1"/>
    <x v="18"/>
    <x v="2"/>
    <x v="0"/>
    <x v="2"/>
    <n v="66"/>
    <n v="0"/>
  </r>
  <r>
    <n v="3639"/>
    <x v="37"/>
    <x v="1"/>
    <s v="Backpack"/>
    <x v="3"/>
    <n v="20"/>
    <s v="Kansas"/>
    <s v="M"/>
    <s v="Olive"/>
    <x v="1"/>
    <x v="12"/>
    <s v="No"/>
    <x v="0"/>
    <x v="1"/>
    <x v="1"/>
    <x v="16"/>
    <x v="3"/>
    <x v="4"/>
    <x v="2"/>
    <n v="20"/>
    <n v="0"/>
  </r>
  <r>
    <n v="3640"/>
    <x v="8"/>
    <x v="1"/>
    <s v="Coat"/>
    <x v="2"/>
    <n v="44"/>
    <s v="Illinois"/>
    <s v="M"/>
    <s v="Brown"/>
    <x v="2"/>
    <x v="15"/>
    <s v="No"/>
    <x v="4"/>
    <x v="1"/>
    <x v="1"/>
    <x v="30"/>
    <x v="0"/>
    <x v="2"/>
    <x v="2"/>
    <n v="44"/>
    <n v="0"/>
  </r>
  <r>
    <n v="3641"/>
    <x v="36"/>
    <x v="1"/>
    <s v="Sunglasses"/>
    <x v="3"/>
    <n v="31"/>
    <s v="Minnesota"/>
    <s v="L"/>
    <s v="Pink"/>
    <x v="1"/>
    <x v="17"/>
    <s v="No"/>
    <x v="2"/>
    <x v="1"/>
    <x v="1"/>
    <x v="14"/>
    <x v="3"/>
    <x v="5"/>
    <x v="2"/>
    <n v="31"/>
    <n v="0"/>
  </r>
  <r>
    <n v="3642"/>
    <x v="47"/>
    <x v="1"/>
    <s v="Jacket"/>
    <x v="2"/>
    <n v="45"/>
    <s v="New York"/>
    <s v="M"/>
    <s v="Cyan"/>
    <x v="3"/>
    <x v="2"/>
    <s v="No"/>
    <x v="1"/>
    <x v="1"/>
    <x v="1"/>
    <x v="30"/>
    <x v="4"/>
    <x v="6"/>
    <x v="0"/>
    <n v="45"/>
    <n v="0"/>
  </r>
  <r>
    <n v="3643"/>
    <x v="36"/>
    <x v="1"/>
    <s v="Dress"/>
    <x v="0"/>
    <n v="71"/>
    <s v="Arizona"/>
    <s v="L"/>
    <s v="Maroon"/>
    <x v="2"/>
    <x v="14"/>
    <s v="No"/>
    <x v="5"/>
    <x v="1"/>
    <x v="1"/>
    <x v="36"/>
    <x v="3"/>
    <x v="2"/>
    <x v="2"/>
    <n v="71"/>
    <n v="0"/>
  </r>
  <r>
    <n v="3644"/>
    <x v="10"/>
    <x v="1"/>
    <s v="Scarf"/>
    <x v="3"/>
    <n v="96"/>
    <s v="Tennessee"/>
    <s v="XL"/>
    <s v="Magenta"/>
    <x v="3"/>
    <x v="4"/>
    <s v="No"/>
    <x v="3"/>
    <x v="1"/>
    <x v="1"/>
    <x v="39"/>
    <x v="5"/>
    <x v="2"/>
    <x v="0"/>
    <n v="96"/>
    <n v="0"/>
  </r>
  <r>
    <n v="3645"/>
    <x v="25"/>
    <x v="1"/>
    <s v="Blouse"/>
    <x v="0"/>
    <n v="32"/>
    <s v="Arkansas"/>
    <s v="M"/>
    <s v="Violet"/>
    <x v="0"/>
    <x v="5"/>
    <s v="No"/>
    <x v="2"/>
    <x v="1"/>
    <x v="1"/>
    <x v="27"/>
    <x v="0"/>
    <x v="1"/>
    <x v="2"/>
    <n v="32"/>
    <n v="0"/>
  </r>
  <r>
    <n v="3646"/>
    <x v="21"/>
    <x v="1"/>
    <s v="Backpack"/>
    <x v="3"/>
    <n v="90"/>
    <s v="Colorado"/>
    <s v="L"/>
    <s v="Silver"/>
    <x v="2"/>
    <x v="23"/>
    <s v="No"/>
    <x v="1"/>
    <x v="1"/>
    <x v="1"/>
    <x v="4"/>
    <x v="2"/>
    <x v="6"/>
    <x v="2"/>
    <n v="90"/>
    <n v="0"/>
  </r>
  <r>
    <n v="3647"/>
    <x v="28"/>
    <x v="1"/>
    <s v="Jewelry"/>
    <x v="3"/>
    <n v="68"/>
    <s v="Nevada"/>
    <s v="M"/>
    <s v="Maroon"/>
    <x v="1"/>
    <x v="16"/>
    <s v="No"/>
    <x v="4"/>
    <x v="1"/>
    <x v="1"/>
    <x v="30"/>
    <x v="5"/>
    <x v="0"/>
    <x v="0"/>
    <n v="68"/>
    <n v="0"/>
  </r>
  <r>
    <n v="3648"/>
    <x v="36"/>
    <x v="1"/>
    <s v="Shorts"/>
    <x v="0"/>
    <n v="45"/>
    <s v="Kansas"/>
    <s v="M"/>
    <s v="Gray"/>
    <x v="0"/>
    <x v="3"/>
    <s v="No"/>
    <x v="5"/>
    <x v="1"/>
    <x v="1"/>
    <x v="45"/>
    <x v="4"/>
    <x v="1"/>
    <x v="2"/>
    <n v="45"/>
    <n v="0"/>
  </r>
  <r>
    <n v="3649"/>
    <x v="18"/>
    <x v="1"/>
    <s v="Skirt"/>
    <x v="0"/>
    <n v="67"/>
    <s v="New York"/>
    <s v="M"/>
    <s v="White"/>
    <x v="0"/>
    <x v="16"/>
    <s v="No"/>
    <x v="1"/>
    <x v="1"/>
    <x v="1"/>
    <x v="24"/>
    <x v="1"/>
    <x v="4"/>
    <x v="2"/>
    <n v="67"/>
    <n v="0"/>
  </r>
  <r>
    <n v="3650"/>
    <x v="33"/>
    <x v="1"/>
    <s v="Skirt"/>
    <x v="0"/>
    <n v="57"/>
    <s v="Minnesota"/>
    <s v="M"/>
    <s v="Brown"/>
    <x v="3"/>
    <x v="14"/>
    <s v="No"/>
    <x v="3"/>
    <x v="1"/>
    <x v="1"/>
    <x v="42"/>
    <x v="2"/>
    <x v="0"/>
    <x v="0"/>
    <n v="57"/>
    <n v="0"/>
  </r>
  <r>
    <n v="3651"/>
    <x v="47"/>
    <x v="1"/>
    <s v="Jeans"/>
    <x v="0"/>
    <n v="60"/>
    <s v="Ohio"/>
    <s v="M"/>
    <s v="Silver"/>
    <x v="2"/>
    <x v="1"/>
    <s v="No"/>
    <x v="4"/>
    <x v="1"/>
    <x v="1"/>
    <x v="35"/>
    <x v="3"/>
    <x v="2"/>
    <x v="0"/>
    <n v="60"/>
    <n v="0"/>
  </r>
  <r>
    <n v="3652"/>
    <x v="30"/>
    <x v="1"/>
    <s v="Handbag"/>
    <x v="3"/>
    <n v="32"/>
    <s v="Arizona"/>
    <s v="M"/>
    <s v="Yellow"/>
    <x v="1"/>
    <x v="22"/>
    <s v="No"/>
    <x v="0"/>
    <x v="1"/>
    <x v="1"/>
    <x v="36"/>
    <x v="0"/>
    <x v="6"/>
    <x v="1"/>
    <n v="32"/>
    <n v="0"/>
  </r>
  <r>
    <n v="3653"/>
    <x v="7"/>
    <x v="1"/>
    <s v="Handbag"/>
    <x v="3"/>
    <n v="29"/>
    <s v="Kentucky"/>
    <s v="S"/>
    <s v="Magenta"/>
    <x v="3"/>
    <x v="22"/>
    <s v="No"/>
    <x v="5"/>
    <x v="1"/>
    <x v="1"/>
    <x v="2"/>
    <x v="5"/>
    <x v="5"/>
    <x v="2"/>
    <n v="29"/>
    <n v="0"/>
  </r>
  <r>
    <n v="3654"/>
    <x v="29"/>
    <x v="1"/>
    <s v="Coat"/>
    <x v="2"/>
    <n v="20"/>
    <s v="Minnesota"/>
    <s v="M"/>
    <s v="Blue"/>
    <x v="1"/>
    <x v="20"/>
    <s v="No"/>
    <x v="2"/>
    <x v="1"/>
    <x v="1"/>
    <x v="30"/>
    <x v="2"/>
    <x v="0"/>
    <x v="0"/>
    <n v="20"/>
    <n v="0"/>
  </r>
  <r>
    <n v="3655"/>
    <x v="3"/>
    <x v="1"/>
    <s v="Jewelry"/>
    <x v="3"/>
    <n v="98"/>
    <s v="Arkansas"/>
    <s v="M"/>
    <s v="Green"/>
    <x v="0"/>
    <x v="13"/>
    <s v="No"/>
    <x v="2"/>
    <x v="1"/>
    <x v="1"/>
    <x v="9"/>
    <x v="2"/>
    <x v="2"/>
    <x v="1"/>
    <n v="98"/>
    <n v="0"/>
  </r>
  <r>
    <n v="3656"/>
    <x v="30"/>
    <x v="1"/>
    <s v="Sweater"/>
    <x v="0"/>
    <n v="27"/>
    <s v="Wyoming"/>
    <s v="M"/>
    <s v="Yellow"/>
    <x v="3"/>
    <x v="3"/>
    <s v="No"/>
    <x v="2"/>
    <x v="1"/>
    <x v="1"/>
    <x v="7"/>
    <x v="2"/>
    <x v="4"/>
    <x v="1"/>
    <n v="27"/>
    <n v="0"/>
  </r>
  <r>
    <n v="3657"/>
    <x v="25"/>
    <x v="1"/>
    <s v="Jacket"/>
    <x v="2"/>
    <n v="67"/>
    <s v="North Dakota"/>
    <s v="XL"/>
    <s v="Cyan"/>
    <x v="1"/>
    <x v="18"/>
    <s v="No"/>
    <x v="4"/>
    <x v="1"/>
    <x v="1"/>
    <x v="27"/>
    <x v="2"/>
    <x v="5"/>
    <x v="2"/>
    <n v="67"/>
    <n v="0"/>
  </r>
  <r>
    <n v="3658"/>
    <x v="44"/>
    <x v="1"/>
    <s v="Shoes"/>
    <x v="1"/>
    <n v="82"/>
    <s v="Alabama"/>
    <s v="L"/>
    <s v="Gold"/>
    <x v="0"/>
    <x v="18"/>
    <s v="No"/>
    <x v="0"/>
    <x v="1"/>
    <x v="1"/>
    <x v="43"/>
    <x v="5"/>
    <x v="6"/>
    <x v="0"/>
    <n v="82"/>
    <n v="0"/>
  </r>
  <r>
    <n v="3659"/>
    <x v="48"/>
    <x v="1"/>
    <s v="T-shirt"/>
    <x v="0"/>
    <n v="72"/>
    <s v="Mississippi"/>
    <s v="M"/>
    <s v="Magenta"/>
    <x v="3"/>
    <x v="12"/>
    <s v="No"/>
    <x v="3"/>
    <x v="1"/>
    <x v="1"/>
    <x v="27"/>
    <x v="3"/>
    <x v="0"/>
    <x v="2"/>
    <n v="72"/>
    <n v="0"/>
  </r>
  <r>
    <n v="3660"/>
    <x v="7"/>
    <x v="1"/>
    <s v="Sandals"/>
    <x v="1"/>
    <n v="77"/>
    <s v="Illinois"/>
    <s v="S"/>
    <s v="Gray"/>
    <x v="3"/>
    <x v="8"/>
    <s v="No"/>
    <x v="5"/>
    <x v="1"/>
    <x v="1"/>
    <x v="15"/>
    <x v="4"/>
    <x v="2"/>
    <x v="2"/>
    <n v="77"/>
    <n v="0"/>
  </r>
  <r>
    <n v="3661"/>
    <x v="1"/>
    <x v="1"/>
    <s v="Shoes"/>
    <x v="1"/>
    <n v="74"/>
    <s v="Arkansas"/>
    <s v="L"/>
    <s v="Indigo"/>
    <x v="0"/>
    <x v="0"/>
    <s v="No"/>
    <x v="4"/>
    <x v="1"/>
    <x v="1"/>
    <x v="21"/>
    <x v="4"/>
    <x v="0"/>
    <x v="1"/>
    <n v="74"/>
    <n v="0"/>
  </r>
  <r>
    <n v="3662"/>
    <x v="6"/>
    <x v="1"/>
    <s v="Sandals"/>
    <x v="1"/>
    <n v="39"/>
    <s v="Kansas"/>
    <s v="S"/>
    <s v="White"/>
    <x v="0"/>
    <x v="1"/>
    <s v="No"/>
    <x v="2"/>
    <x v="1"/>
    <x v="1"/>
    <x v="36"/>
    <x v="2"/>
    <x v="0"/>
    <x v="0"/>
    <n v="39"/>
    <n v="0"/>
  </r>
  <r>
    <n v="3663"/>
    <x v="28"/>
    <x v="1"/>
    <s v="Shorts"/>
    <x v="0"/>
    <n v="80"/>
    <s v="Rhode Island"/>
    <s v="M"/>
    <s v="Indigo"/>
    <x v="1"/>
    <x v="8"/>
    <s v="No"/>
    <x v="2"/>
    <x v="1"/>
    <x v="1"/>
    <x v="47"/>
    <x v="5"/>
    <x v="1"/>
    <x v="0"/>
    <n v="80"/>
    <n v="0"/>
  </r>
  <r>
    <n v="3664"/>
    <x v="13"/>
    <x v="1"/>
    <s v="Backpack"/>
    <x v="3"/>
    <n v="59"/>
    <s v="Florida"/>
    <s v="M"/>
    <s v="Green"/>
    <x v="2"/>
    <x v="14"/>
    <s v="No"/>
    <x v="0"/>
    <x v="1"/>
    <x v="1"/>
    <x v="3"/>
    <x v="2"/>
    <x v="1"/>
    <x v="0"/>
    <n v="59"/>
    <n v="0"/>
  </r>
  <r>
    <n v="3665"/>
    <x v="6"/>
    <x v="1"/>
    <s v="Jacket"/>
    <x v="2"/>
    <n v="68"/>
    <s v="Missouri"/>
    <s v="M"/>
    <s v="Turquoise"/>
    <x v="3"/>
    <x v="14"/>
    <s v="No"/>
    <x v="5"/>
    <x v="1"/>
    <x v="1"/>
    <x v="43"/>
    <x v="5"/>
    <x v="0"/>
    <x v="0"/>
    <n v="68"/>
    <n v="0"/>
  </r>
  <r>
    <n v="3666"/>
    <x v="48"/>
    <x v="1"/>
    <s v="Socks"/>
    <x v="0"/>
    <n v="77"/>
    <s v="North Carolina"/>
    <s v="M"/>
    <s v="Peach"/>
    <x v="3"/>
    <x v="23"/>
    <s v="No"/>
    <x v="2"/>
    <x v="1"/>
    <x v="1"/>
    <x v="47"/>
    <x v="2"/>
    <x v="3"/>
    <x v="2"/>
    <n v="77"/>
    <n v="0"/>
  </r>
  <r>
    <n v="3667"/>
    <x v="29"/>
    <x v="1"/>
    <s v="Jewelry"/>
    <x v="3"/>
    <n v="50"/>
    <s v="Alabama"/>
    <s v="M"/>
    <s v="Olive"/>
    <x v="0"/>
    <x v="21"/>
    <s v="No"/>
    <x v="4"/>
    <x v="1"/>
    <x v="1"/>
    <x v="39"/>
    <x v="1"/>
    <x v="6"/>
    <x v="0"/>
    <n v="50"/>
    <n v="0"/>
  </r>
  <r>
    <n v="3668"/>
    <x v="47"/>
    <x v="1"/>
    <s v="Pants"/>
    <x v="0"/>
    <n v="45"/>
    <s v="Washington"/>
    <s v="L"/>
    <s v="Cyan"/>
    <x v="3"/>
    <x v="5"/>
    <s v="No"/>
    <x v="2"/>
    <x v="1"/>
    <x v="1"/>
    <x v="41"/>
    <x v="0"/>
    <x v="5"/>
    <x v="0"/>
    <n v="45"/>
    <n v="0"/>
  </r>
  <r>
    <n v="3669"/>
    <x v="35"/>
    <x v="1"/>
    <s v="Blouse"/>
    <x v="0"/>
    <n v="71"/>
    <s v="Michigan"/>
    <s v="XL"/>
    <s v="Magenta"/>
    <x v="2"/>
    <x v="4"/>
    <s v="No"/>
    <x v="5"/>
    <x v="1"/>
    <x v="1"/>
    <x v="27"/>
    <x v="0"/>
    <x v="2"/>
    <x v="0"/>
    <n v="71"/>
    <n v="0"/>
  </r>
  <r>
    <n v="3670"/>
    <x v="15"/>
    <x v="1"/>
    <s v="Socks"/>
    <x v="0"/>
    <n v="52"/>
    <s v="Washington"/>
    <s v="S"/>
    <s v="Silver"/>
    <x v="3"/>
    <x v="12"/>
    <s v="No"/>
    <x v="5"/>
    <x v="1"/>
    <x v="1"/>
    <x v="34"/>
    <x v="3"/>
    <x v="3"/>
    <x v="1"/>
    <n v="52"/>
    <n v="0"/>
  </r>
  <r>
    <n v="3671"/>
    <x v="18"/>
    <x v="1"/>
    <s v="Shoes"/>
    <x v="1"/>
    <n v="50"/>
    <s v="Vermont"/>
    <s v="S"/>
    <s v="White"/>
    <x v="0"/>
    <x v="22"/>
    <s v="No"/>
    <x v="1"/>
    <x v="1"/>
    <x v="1"/>
    <x v="7"/>
    <x v="3"/>
    <x v="6"/>
    <x v="2"/>
    <n v="50"/>
    <n v="0"/>
  </r>
  <r>
    <n v="3672"/>
    <x v="46"/>
    <x v="1"/>
    <s v="Handbag"/>
    <x v="3"/>
    <n v="66"/>
    <s v="Illinois"/>
    <s v="L"/>
    <s v="Pink"/>
    <x v="2"/>
    <x v="6"/>
    <s v="No"/>
    <x v="4"/>
    <x v="1"/>
    <x v="1"/>
    <x v="41"/>
    <x v="0"/>
    <x v="3"/>
    <x v="0"/>
    <n v="66"/>
    <n v="0"/>
  </r>
  <r>
    <n v="3673"/>
    <x v="47"/>
    <x v="1"/>
    <s v="Sandals"/>
    <x v="1"/>
    <n v="81"/>
    <s v="New York"/>
    <s v="S"/>
    <s v="Pink"/>
    <x v="3"/>
    <x v="9"/>
    <s v="No"/>
    <x v="1"/>
    <x v="1"/>
    <x v="1"/>
    <x v="22"/>
    <x v="3"/>
    <x v="5"/>
    <x v="0"/>
    <n v="81"/>
    <n v="0"/>
  </r>
  <r>
    <n v="3674"/>
    <x v="45"/>
    <x v="1"/>
    <s v="Socks"/>
    <x v="0"/>
    <n v="28"/>
    <s v="Rhode Island"/>
    <s v="M"/>
    <s v="Pink"/>
    <x v="2"/>
    <x v="19"/>
    <s v="No"/>
    <x v="4"/>
    <x v="1"/>
    <x v="1"/>
    <x v="4"/>
    <x v="4"/>
    <x v="0"/>
    <x v="2"/>
    <n v="28"/>
    <n v="0"/>
  </r>
  <r>
    <n v="3675"/>
    <x v="25"/>
    <x v="1"/>
    <s v="Handbag"/>
    <x v="3"/>
    <n v="65"/>
    <s v="Washington"/>
    <s v="M"/>
    <s v="Blue"/>
    <x v="0"/>
    <x v="2"/>
    <s v="No"/>
    <x v="4"/>
    <x v="1"/>
    <x v="1"/>
    <x v="23"/>
    <x v="0"/>
    <x v="0"/>
    <x v="2"/>
    <n v="65"/>
    <n v="0"/>
  </r>
  <r>
    <n v="3676"/>
    <x v="27"/>
    <x v="1"/>
    <s v="Hat"/>
    <x v="3"/>
    <n v="80"/>
    <s v="Virginia"/>
    <s v="M"/>
    <s v="White"/>
    <x v="0"/>
    <x v="9"/>
    <s v="No"/>
    <x v="0"/>
    <x v="1"/>
    <x v="1"/>
    <x v="35"/>
    <x v="4"/>
    <x v="5"/>
    <x v="0"/>
    <n v="80"/>
    <n v="0"/>
  </r>
  <r>
    <n v="3677"/>
    <x v="1"/>
    <x v="1"/>
    <s v="Jewelry"/>
    <x v="3"/>
    <n v="94"/>
    <s v="Wisconsin"/>
    <s v="S"/>
    <s v="Teal"/>
    <x v="1"/>
    <x v="8"/>
    <s v="No"/>
    <x v="1"/>
    <x v="1"/>
    <x v="1"/>
    <x v="20"/>
    <x v="3"/>
    <x v="5"/>
    <x v="1"/>
    <n v="94"/>
    <n v="0"/>
  </r>
  <r>
    <n v="3678"/>
    <x v="45"/>
    <x v="1"/>
    <s v="Backpack"/>
    <x v="3"/>
    <n v="30"/>
    <s v="Michigan"/>
    <s v="M"/>
    <s v="Gray"/>
    <x v="3"/>
    <x v="11"/>
    <s v="No"/>
    <x v="3"/>
    <x v="1"/>
    <x v="1"/>
    <x v="34"/>
    <x v="1"/>
    <x v="2"/>
    <x v="2"/>
    <n v="30"/>
    <n v="0"/>
  </r>
  <r>
    <n v="3679"/>
    <x v="19"/>
    <x v="1"/>
    <s v="Shirt"/>
    <x v="0"/>
    <n v="45"/>
    <s v="Texas"/>
    <s v="S"/>
    <s v="Beige"/>
    <x v="3"/>
    <x v="1"/>
    <s v="No"/>
    <x v="3"/>
    <x v="1"/>
    <x v="1"/>
    <x v="32"/>
    <x v="4"/>
    <x v="0"/>
    <x v="0"/>
    <n v="45"/>
    <n v="0"/>
  </r>
  <r>
    <n v="3680"/>
    <x v="10"/>
    <x v="1"/>
    <s v="Coat"/>
    <x v="2"/>
    <n v="91"/>
    <s v="Idaho"/>
    <s v="M"/>
    <s v="Violet"/>
    <x v="2"/>
    <x v="25"/>
    <s v="No"/>
    <x v="5"/>
    <x v="1"/>
    <x v="1"/>
    <x v="36"/>
    <x v="1"/>
    <x v="4"/>
    <x v="0"/>
    <n v="91"/>
    <n v="0"/>
  </r>
  <r>
    <n v="3681"/>
    <x v="40"/>
    <x v="1"/>
    <s v="Sunglasses"/>
    <x v="3"/>
    <n v="36"/>
    <s v="Iowa"/>
    <s v="S"/>
    <s v="Blue"/>
    <x v="0"/>
    <x v="3"/>
    <s v="No"/>
    <x v="3"/>
    <x v="1"/>
    <x v="1"/>
    <x v="48"/>
    <x v="5"/>
    <x v="3"/>
    <x v="1"/>
    <n v="36"/>
    <n v="0"/>
  </r>
  <r>
    <n v="3682"/>
    <x v="8"/>
    <x v="1"/>
    <s v="Gloves"/>
    <x v="3"/>
    <n v="73"/>
    <s v="Connecticut"/>
    <s v="XL"/>
    <s v="Magenta"/>
    <x v="3"/>
    <x v="19"/>
    <s v="No"/>
    <x v="2"/>
    <x v="1"/>
    <x v="1"/>
    <x v="42"/>
    <x v="5"/>
    <x v="5"/>
    <x v="2"/>
    <n v="73"/>
    <n v="0"/>
  </r>
  <r>
    <n v="3683"/>
    <x v="32"/>
    <x v="1"/>
    <s v="Shirt"/>
    <x v="0"/>
    <n v="60"/>
    <s v="Wyoming"/>
    <s v="M"/>
    <s v="Maroon"/>
    <x v="3"/>
    <x v="12"/>
    <s v="No"/>
    <x v="5"/>
    <x v="1"/>
    <x v="1"/>
    <x v="15"/>
    <x v="0"/>
    <x v="4"/>
    <x v="2"/>
    <n v="60"/>
    <n v="0"/>
  </r>
  <r>
    <n v="3684"/>
    <x v="11"/>
    <x v="1"/>
    <s v="Socks"/>
    <x v="0"/>
    <n v="77"/>
    <s v="Mississippi"/>
    <s v="M"/>
    <s v="Purple"/>
    <x v="0"/>
    <x v="21"/>
    <s v="No"/>
    <x v="1"/>
    <x v="1"/>
    <x v="1"/>
    <x v="14"/>
    <x v="0"/>
    <x v="0"/>
    <x v="2"/>
    <n v="77"/>
    <n v="0"/>
  </r>
  <r>
    <n v="3685"/>
    <x v="26"/>
    <x v="1"/>
    <s v="Skirt"/>
    <x v="0"/>
    <n v="86"/>
    <s v="Pennsylvania"/>
    <s v="L"/>
    <s v="Charcoal"/>
    <x v="1"/>
    <x v="14"/>
    <s v="No"/>
    <x v="1"/>
    <x v="1"/>
    <x v="1"/>
    <x v="39"/>
    <x v="2"/>
    <x v="4"/>
    <x v="2"/>
    <n v="86"/>
    <n v="0"/>
  </r>
  <r>
    <n v="3686"/>
    <x v="36"/>
    <x v="1"/>
    <s v="Shorts"/>
    <x v="0"/>
    <n v="42"/>
    <s v="Tennessee"/>
    <s v="L"/>
    <s v="Red"/>
    <x v="2"/>
    <x v="5"/>
    <s v="No"/>
    <x v="3"/>
    <x v="1"/>
    <x v="1"/>
    <x v="14"/>
    <x v="1"/>
    <x v="4"/>
    <x v="2"/>
    <n v="42"/>
    <n v="0"/>
  </r>
  <r>
    <n v="3687"/>
    <x v="35"/>
    <x v="1"/>
    <s v="Sandals"/>
    <x v="1"/>
    <n v="70"/>
    <s v="Louisiana"/>
    <s v="M"/>
    <s v="Charcoal"/>
    <x v="1"/>
    <x v="6"/>
    <s v="No"/>
    <x v="1"/>
    <x v="1"/>
    <x v="1"/>
    <x v="14"/>
    <x v="1"/>
    <x v="4"/>
    <x v="0"/>
    <n v="70"/>
    <n v="0"/>
  </r>
  <r>
    <n v="3688"/>
    <x v="50"/>
    <x v="1"/>
    <s v="Shirt"/>
    <x v="0"/>
    <n v="44"/>
    <s v="Arkansas"/>
    <s v="L"/>
    <s v="Lavender"/>
    <x v="2"/>
    <x v="3"/>
    <s v="No"/>
    <x v="2"/>
    <x v="1"/>
    <x v="1"/>
    <x v="40"/>
    <x v="4"/>
    <x v="6"/>
    <x v="2"/>
    <n v="44"/>
    <n v="0"/>
  </r>
  <r>
    <n v="3689"/>
    <x v="16"/>
    <x v="1"/>
    <s v="Sunglasses"/>
    <x v="3"/>
    <n v="91"/>
    <s v="West Virginia"/>
    <s v="L"/>
    <s v="White"/>
    <x v="1"/>
    <x v="21"/>
    <s v="No"/>
    <x v="2"/>
    <x v="1"/>
    <x v="1"/>
    <x v="6"/>
    <x v="1"/>
    <x v="5"/>
    <x v="0"/>
    <n v="91"/>
    <n v="0"/>
  </r>
  <r>
    <n v="3690"/>
    <x v="36"/>
    <x v="1"/>
    <s v="Jewelry"/>
    <x v="3"/>
    <n v="30"/>
    <s v="South Carolina"/>
    <s v="L"/>
    <s v="Red"/>
    <x v="3"/>
    <x v="9"/>
    <s v="No"/>
    <x v="3"/>
    <x v="1"/>
    <x v="1"/>
    <x v="6"/>
    <x v="4"/>
    <x v="3"/>
    <x v="2"/>
    <n v="30"/>
    <n v="0"/>
  </r>
  <r>
    <n v="3691"/>
    <x v="41"/>
    <x v="1"/>
    <s v="Blouse"/>
    <x v="0"/>
    <n v="23"/>
    <s v="Kansas"/>
    <s v="S"/>
    <s v="Violet"/>
    <x v="3"/>
    <x v="18"/>
    <s v="No"/>
    <x v="5"/>
    <x v="1"/>
    <x v="1"/>
    <x v="7"/>
    <x v="4"/>
    <x v="4"/>
    <x v="1"/>
    <n v="23"/>
    <n v="0"/>
  </r>
  <r>
    <n v="3692"/>
    <x v="6"/>
    <x v="1"/>
    <s v="Sandals"/>
    <x v="1"/>
    <n v="21"/>
    <s v="Michigan"/>
    <s v="XL"/>
    <s v="Orange"/>
    <x v="2"/>
    <x v="6"/>
    <s v="No"/>
    <x v="2"/>
    <x v="1"/>
    <x v="1"/>
    <x v="37"/>
    <x v="3"/>
    <x v="1"/>
    <x v="0"/>
    <n v="21"/>
    <n v="0"/>
  </r>
  <r>
    <n v="3693"/>
    <x v="35"/>
    <x v="1"/>
    <s v="Coat"/>
    <x v="2"/>
    <n v="34"/>
    <s v="Alabama"/>
    <s v="L"/>
    <s v="Turquoise"/>
    <x v="1"/>
    <x v="6"/>
    <s v="No"/>
    <x v="1"/>
    <x v="1"/>
    <x v="1"/>
    <x v="32"/>
    <x v="1"/>
    <x v="0"/>
    <x v="0"/>
    <n v="34"/>
    <n v="0"/>
  </r>
  <r>
    <n v="3694"/>
    <x v="17"/>
    <x v="1"/>
    <s v="Blouse"/>
    <x v="0"/>
    <n v="46"/>
    <s v="South Dakota"/>
    <s v="M"/>
    <s v="Violet"/>
    <x v="2"/>
    <x v="10"/>
    <s v="No"/>
    <x v="4"/>
    <x v="1"/>
    <x v="1"/>
    <x v="9"/>
    <x v="0"/>
    <x v="1"/>
    <x v="0"/>
    <n v="46"/>
    <n v="0"/>
  </r>
  <r>
    <n v="3695"/>
    <x v="4"/>
    <x v="1"/>
    <s v="Sweater"/>
    <x v="0"/>
    <n v="41"/>
    <s v="Rhode Island"/>
    <s v="M"/>
    <s v="Blue"/>
    <x v="0"/>
    <x v="5"/>
    <s v="No"/>
    <x v="0"/>
    <x v="1"/>
    <x v="1"/>
    <x v="47"/>
    <x v="3"/>
    <x v="4"/>
    <x v="2"/>
    <n v="41"/>
    <n v="0"/>
  </r>
  <r>
    <n v="3696"/>
    <x v="21"/>
    <x v="1"/>
    <s v="Skirt"/>
    <x v="0"/>
    <n v="33"/>
    <s v="Florida"/>
    <s v="M"/>
    <s v="White"/>
    <x v="3"/>
    <x v="12"/>
    <s v="No"/>
    <x v="3"/>
    <x v="1"/>
    <x v="1"/>
    <x v="27"/>
    <x v="4"/>
    <x v="0"/>
    <x v="2"/>
    <n v="33"/>
    <n v="0"/>
  </r>
  <r>
    <n v="3697"/>
    <x v="6"/>
    <x v="1"/>
    <s v="Blouse"/>
    <x v="0"/>
    <n v="48"/>
    <s v="Connecticut"/>
    <s v="L"/>
    <s v="Turquoise"/>
    <x v="3"/>
    <x v="23"/>
    <s v="No"/>
    <x v="2"/>
    <x v="1"/>
    <x v="1"/>
    <x v="8"/>
    <x v="4"/>
    <x v="2"/>
    <x v="0"/>
    <n v="48"/>
    <n v="0"/>
  </r>
  <r>
    <n v="3698"/>
    <x v="0"/>
    <x v="1"/>
    <s v="Hoodie"/>
    <x v="0"/>
    <n v="66"/>
    <s v="Pennsylvania"/>
    <s v="L"/>
    <s v="Pink"/>
    <x v="0"/>
    <x v="21"/>
    <s v="No"/>
    <x v="3"/>
    <x v="1"/>
    <x v="1"/>
    <x v="30"/>
    <x v="1"/>
    <x v="1"/>
    <x v="0"/>
    <n v="66"/>
    <n v="0"/>
  </r>
  <r>
    <n v="3699"/>
    <x v="15"/>
    <x v="1"/>
    <s v="Skirt"/>
    <x v="0"/>
    <n v="54"/>
    <s v="California"/>
    <s v="XL"/>
    <s v="Maroon"/>
    <x v="1"/>
    <x v="17"/>
    <s v="No"/>
    <x v="4"/>
    <x v="1"/>
    <x v="1"/>
    <x v="7"/>
    <x v="0"/>
    <x v="2"/>
    <x v="1"/>
    <n v="54"/>
    <n v="0"/>
  </r>
  <r>
    <n v="3700"/>
    <x v="47"/>
    <x v="1"/>
    <s v="Backpack"/>
    <x v="3"/>
    <n v="55"/>
    <s v="Oklahoma"/>
    <s v="M"/>
    <s v="Olive"/>
    <x v="3"/>
    <x v="5"/>
    <s v="No"/>
    <x v="5"/>
    <x v="1"/>
    <x v="1"/>
    <x v="37"/>
    <x v="4"/>
    <x v="1"/>
    <x v="0"/>
    <n v="55"/>
    <n v="0"/>
  </r>
  <r>
    <n v="3701"/>
    <x v="48"/>
    <x v="1"/>
    <s v="Handbag"/>
    <x v="3"/>
    <n v="84"/>
    <s v="North Dakota"/>
    <s v="XL"/>
    <s v="Charcoal"/>
    <x v="2"/>
    <x v="23"/>
    <s v="No"/>
    <x v="5"/>
    <x v="1"/>
    <x v="1"/>
    <x v="1"/>
    <x v="4"/>
    <x v="6"/>
    <x v="2"/>
    <n v="84"/>
    <n v="0"/>
  </r>
  <r>
    <n v="3702"/>
    <x v="5"/>
    <x v="1"/>
    <s v="Sandals"/>
    <x v="1"/>
    <n v="66"/>
    <s v="New Mexico"/>
    <s v="M"/>
    <s v="Charcoal"/>
    <x v="1"/>
    <x v="9"/>
    <s v="No"/>
    <x v="5"/>
    <x v="1"/>
    <x v="1"/>
    <x v="13"/>
    <x v="1"/>
    <x v="2"/>
    <x v="2"/>
    <n v="66"/>
    <n v="0"/>
  </r>
  <r>
    <n v="3703"/>
    <x v="44"/>
    <x v="1"/>
    <s v="Shoes"/>
    <x v="1"/>
    <n v="65"/>
    <s v="South Carolina"/>
    <s v="M"/>
    <s v="Indigo"/>
    <x v="1"/>
    <x v="2"/>
    <s v="No"/>
    <x v="5"/>
    <x v="1"/>
    <x v="1"/>
    <x v="13"/>
    <x v="0"/>
    <x v="1"/>
    <x v="0"/>
    <n v="65"/>
    <n v="0"/>
  </r>
  <r>
    <n v="3704"/>
    <x v="11"/>
    <x v="1"/>
    <s v="Sandals"/>
    <x v="1"/>
    <n v="83"/>
    <s v="Michigan"/>
    <s v="S"/>
    <s v="Teal"/>
    <x v="3"/>
    <x v="3"/>
    <s v="No"/>
    <x v="3"/>
    <x v="1"/>
    <x v="1"/>
    <x v="2"/>
    <x v="3"/>
    <x v="6"/>
    <x v="2"/>
    <n v="83"/>
    <n v="0"/>
  </r>
  <r>
    <n v="3705"/>
    <x v="33"/>
    <x v="1"/>
    <s v="Sunglasses"/>
    <x v="3"/>
    <n v="61"/>
    <s v="Missouri"/>
    <s v="L"/>
    <s v="Black"/>
    <x v="0"/>
    <x v="17"/>
    <s v="No"/>
    <x v="5"/>
    <x v="1"/>
    <x v="1"/>
    <x v="13"/>
    <x v="2"/>
    <x v="3"/>
    <x v="0"/>
    <n v="61"/>
    <n v="0"/>
  </r>
  <r>
    <n v="3706"/>
    <x v="48"/>
    <x v="1"/>
    <s v="Skirt"/>
    <x v="0"/>
    <n v="65"/>
    <s v="Colorado"/>
    <s v="L"/>
    <s v="Teal"/>
    <x v="2"/>
    <x v="4"/>
    <s v="No"/>
    <x v="1"/>
    <x v="1"/>
    <x v="1"/>
    <x v="1"/>
    <x v="5"/>
    <x v="2"/>
    <x v="2"/>
    <n v="65"/>
    <n v="0"/>
  </r>
  <r>
    <n v="3707"/>
    <x v="8"/>
    <x v="1"/>
    <s v="Sandals"/>
    <x v="1"/>
    <n v="55"/>
    <s v="Kansas"/>
    <s v="M"/>
    <s v="Green"/>
    <x v="1"/>
    <x v="17"/>
    <s v="No"/>
    <x v="5"/>
    <x v="1"/>
    <x v="1"/>
    <x v="14"/>
    <x v="1"/>
    <x v="4"/>
    <x v="2"/>
    <n v="55"/>
    <n v="0"/>
  </r>
  <r>
    <n v="3708"/>
    <x v="25"/>
    <x v="1"/>
    <s v="Gloves"/>
    <x v="3"/>
    <n v="79"/>
    <s v="Illinois"/>
    <s v="M"/>
    <s v="Gold"/>
    <x v="3"/>
    <x v="23"/>
    <s v="No"/>
    <x v="4"/>
    <x v="1"/>
    <x v="1"/>
    <x v="5"/>
    <x v="0"/>
    <x v="1"/>
    <x v="2"/>
    <n v="79"/>
    <n v="0"/>
  </r>
  <r>
    <n v="3709"/>
    <x v="37"/>
    <x v="1"/>
    <s v="Hoodie"/>
    <x v="0"/>
    <n v="96"/>
    <s v="South Carolina"/>
    <s v="M"/>
    <s v="Red"/>
    <x v="3"/>
    <x v="8"/>
    <s v="No"/>
    <x v="0"/>
    <x v="1"/>
    <x v="1"/>
    <x v="23"/>
    <x v="3"/>
    <x v="5"/>
    <x v="2"/>
    <n v="96"/>
    <n v="0"/>
  </r>
  <r>
    <n v="3710"/>
    <x v="18"/>
    <x v="1"/>
    <s v="Socks"/>
    <x v="0"/>
    <n v="43"/>
    <s v="Utah"/>
    <s v="M"/>
    <s v="Silver"/>
    <x v="3"/>
    <x v="15"/>
    <s v="No"/>
    <x v="1"/>
    <x v="1"/>
    <x v="1"/>
    <x v="46"/>
    <x v="3"/>
    <x v="3"/>
    <x v="2"/>
    <n v="43"/>
    <n v="0"/>
  </r>
  <r>
    <n v="3711"/>
    <x v="52"/>
    <x v="1"/>
    <s v="Jewelry"/>
    <x v="3"/>
    <n v="40"/>
    <s v="Hawaii"/>
    <s v="M"/>
    <s v="Yellow"/>
    <x v="2"/>
    <x v="15"/>
    <s v="No"/>
    <x v="4"/>
    <x v="1"/>
    <x v="1"/>
    <x v="18"/>
    <x v="4"/>
    <x v="0"/>
    <x v="0"/>
    <n v="40"/>
    <n v="0"/>
  </r>
  <r>
    <n v="3712"/>
    <x v="28"/>
    <x v="1"/>
    <s v="Hat"/>
    <x v="3"/>
    <n v="62"/>
    <s v="Texas"/>
    <s v="XL"/>
    <s v="Peach"/>
    <x v="3"/>
    <x v="4"/>
    <s v="No"/>
    <x v="1"/>
    <x v="1"/>
    <x v="1"/>
    <x v="42"/>
    <x v="1"/>
    <x v="2"/>
    <x v="0"/>
    <n v="62"/>
    <n v="0"/>
  </r>
  <r>
    <n v="3713"/>
    <x v="47"/>
    <x v="1"/>
    <s v="Blouse"/>
    <x v="0"/>
    <n v="72"/>
    <s v="Oregon"/>
    <s v="M"/>
    <s v="Turquoise"/>
    <x v="1"/>
    <x v="18"/>
    <s v="No"/>
    <x v="4"/>
    <x v="1"/>
    <x v="1"/>
    <x v="37"/>
    <x v="3"/>
    <x v="3"/>
    <x v="0"/>
    <n v="72"/>
    <n v="0"/>
  </r>
  <r>
    <n v="3714"/>
    <x v="34"/>
    <x v="1"/>
    <s v="Shoes"/>
    <x v="1"/>
    <n v="87"/>
    <s v="Arizona"/>
    <s v="M"/>
    <s v="Peach"/>
    <x v="1"/>
    <x v="5"/>
    <s v="No"/>
    <x v="0"/>
    <x v="1"/>
    <x v="1"/>
    <x v="4"/>
    <x v="5"/>
    <x v="6"/>
    <x v="2"/>
    <n v="87"/>
    <n v="0"/>
  </r>
  <r>
    <n v="3715"/>
    <x v="20"/>
    <x v="1"/>
    <s v="Hat"/>
    <x v="3"/>
    <n v="31"/>
    <s v="New York"/>
    <s v="S"/>
    <s v="Peach"/>
    <x v="0"/>
    <x v="20"/>
    <s v="No"/>
    <x v="0"/>
    <x v="1"/>
    <x v="1"/>
    <x v="31"/>
    <x v="2"/>
    <x v="1"/>
    <x v="1"/>
    <n v="31"/>
    <n v="0"/>
  </r>
  <r>
    <n v="3716"/>
    <x v="6"/>
    <x v="1"/>
    <s v="Sunglasses"/>
    <x v="3"/>
    <n v="34"/>
    <s v="Nebraska"/>
    <s v="S"/>
    <s v="Orange"/>
    <x v="3"/>
    <x v="23"/>
    <s v="No"/>
    <x v="1"/>
    <x v="1"/>
    <x v="1"/>
    <x v="1"/>
    <x v="4"/>
    <x v="5"/>
    <x v="0"/>
    <n v="34"/>
    <n v="0"/>
  </r>
  <r>
    <n v="3717"/>
    <x v="9"/>
    <x v="1"/>
    <s v="Shirt"/>
    <x v="0"/>
    <n v="53"/>
    <s v="Vermont"/>
    <s v="M"/>
    <s v="Charcoal"/>
    <x v="3"/>
    <x v="23"/>
    <s v="No"/>
    <x v="2"/>
    <x v="1"/>
    <x v="1"/>
    <x v="38"/>
    <x v="5"/>
    <x v="6"/>
    <x v="0"/>
    <n v="53"/>
    <n v="0"/>
  </r>
  <r>
    <n v="3718"/>
    <x v="4"/>
    <x v="1"/>
    <s v="T-shirt"/>
    <x v="0"/>
    <n v="85"/>
    <s v="Maryland"/>
    <s v="XL"/>
    <s v="White"/>
    <x v="2"/>
    <x v="19"/>
    <s v="No"/>
    <x v="0"/>
    <x v="1"/>
    <x v="1"/>
    <x v="39"/>
    <x v="4"/>
    <x v="6"/>
    <x v="2"/>
    <n v="85"/>
    <n v="0"/>
  </r>
  <r>
    <n v="3719"/>
    <x v="24"/>
    <x v="1"/>
    <s v="Pants"/>
    <x v="0"/>
    <n v="50"/>
    <s v="Tennessee"/>
    <s v="L"/>
    <s v="Turquoise"/>
    <x v="3"/>
    <x v="3"/>
    <s v="No"/>
    <x v="3"/>
    <x v="1"/>
    <x v="1"/>
    <x v="12"/>
    <x v="4"/>
    <x v="4"/>
    <x v="2"/>
    <n v="50"/>
    <n v="0"/>
  </r>
  <r>
    <n v="3720"/>
    <x v="30"/>
    <x v="1"/>
    <s v="Pants"/>
    <x v="0"/>
    <n v="91"/>
    <s v="Pennsylvania"/>
    <s v="M"/>
    <s v="Red"/>
    <x v="2"/>
    <x v="7"/>
    <s v="No"/>
    <x v="1"/>
    <x v="1"/>
    <x v="1"/>
    <x v="6"/>
    <x v="4"/>
    <x v="6"/>
    <x v="1"/>
    <n v="91"/>
    <n v="0"/>
  </r>
  <r>
    <n v="3721"/>
    <x v="3"/>
    <x v="1"/>
    <s v="Hat"/>
    <x v="3"/>
    <n v="56"/>
    <s v="South Carolina"/>
    <s v="M"/>
    <s v="Peach"/>
    <x v="3"/>
    <x v="15"/>
    <s v="No"/>
    <x v="1"/>
    <x v="1"/>
    <x v="1"/>
    <x v="21"/>
    <x v="2"/>
    <x v="3"/>
    <x v="1"/>
    <n v="56"/>
    <n v="0"/>
  </r>
  <r>
    <n v="3722"/>
    <x v="46"/>
    <x v="1"/>
    <s v="Coat"/>
    <x v="2"/>
    <n v="60"/>
    <s v="Connecticut"/>
    <s v="L"/>
    <s v="Pink"/>
    <x v="3"/>
    <x v="17"/>
    <s v="No"/>
    <x v="2"/>
    <x v="1"/>
    <x v="1"/>
    <x v="9"/>
    <x v="1"/>
    <x v="2"/>
    <x v="0"/>
    <n v="60"/>
    <n v="0"/>
  </r>
  <r>
    <n v="3723"/>
    <x v="51"/>
    <x v="1"/>
    <s v="Jacket"/>
    <x v="2"/>
    <n v="34"/>
    <s v="Kentucky"/>
    <s v="XL"/>
    <s v="Yellow"/>
    <x v="3"/>
    <x v="17"/>
    <s v="No"/>
    <x v="3"/>
    <x v="1"/>
    <x v="1"/>
    <x v="43"/>
    <x v="2"/>
    <x v="0"/>
    <x v="1"/>
    <n v="34"/>
    <n v="0"/>
  </r>
  <r>
    <n v="3724"/>
    <x v="8"/>
    <x v="1"/>
    <s v="Sandals"/>
    <x v="1"/>
    <n v="30"/>
    <s v="Rhode Island"/>
    <s v="M"/>
    <s v="Beige"/>
    <x v="1"/>
    <x v="15"/>
    <s v="No"/>
    <x v="1"/>
    <x v="1"/>
    <x v="1"/>
    <x v="43"/>
    <x v="5"/>
    <x v="5"/>
    <x v="2"/>
    <n v="30"/>
    <n v="0"/>
  </r>
  <r>
    <n v="3725"/>
    <x v="11"/>
    <x v="1"/>
    <s v="Gloves"/>
    <x v="3"/>
    <n v="71"/>
    <s v="Colorado"/>
    <s v="L"/>
    <s v="Green"/>
    <x v="0"/>
    <x v="0"/>
    <s v="No"/>
    <x v="0"/>
    <x v="1"/>
    <x v="1"/>
    <x v="27"/>
    <x v="4"/>
    <x v="2"/>
    <x v="2"/>
    <n v="71"/>
    <n v="0"/>
  </r>
  <r>
    <n v="3726"/>
    <x v="20"/>
    <x v="1"/>
    <s v="Dress"/>
    <x v="0"/>
    <n v="100"/>
    <s v="Oklahoma"/>
    <s v="S"/>
    <s v="Turquoise"/>
    <x v="0"/>
    <x v="14"/>
    <s v="No"/>
    <x v="2"/>
    <x v="1"/>
    <x v="1"/>
    <x v="1"/>
    <x v="3"/>
    <x v="2"/>
    <x v="1"/>
    <n v="100"/>
    <n v="0"/>
  </r>
  <r>
    <n v="3727"/>
    <x v="36"/>
    <x v="1"/>
    <s v="Belt"/>
    <x v="3"/>
    <n v="85"/>
    <s v="Idaho"/>
    <s v="XL"/>
    <s v="Orange"/>
    <x v="3"/>
    <x v="24"/>
    <s v="No"/>
    <x v="2"/>
    <x v="1"/>
    <x v="1"/>
    <x v="13"/>
    <x v="5"/>
    <x v="6"/>
    <x v="2"/>
    <n v="85"/>
    <n v="0"/>
  </r>
  <r>
    <n v="3728"/>
    <x v="38"/>
    <x v="1"/>
    <s v="Socks"/>
    <x v="0"/>
    <n v="83"/>
    <s v="Maine"/>
    <s v="M"/>
    <s v="Gold"/>
    <x v="2"/>
    <x v="1"/>
    <s v="No"/>
    <x v="2"/>
    <x v="1"/>
    <x v="1"/>
    <x v="14"/>
    <x v="5"/>
    <x v="4"/>
    <x v="2"/>
    <n v="83"/>
    <n v="0"/>
  </r>
  <r>
    <n v="3729"/>
    <x v="46"/>
    <x v="1"/>
    <s v="Jacket"/>
    <x v="2"/>
    <n v="31"/>
    <s v="Vermont"/>
    <s v="L"/>
    <s v="Red"/>
    <x v="0"/>
    <x v="21"/>
    <s v="No"/>
    <x v="3"/>
    <x v="1"/>
    <x v="1"/>
    <x v="43"/>
    <x v="5"/>
    <x v="2"/>
    <x v="0"/>
    <n v="31"/>
    <n v="0"/>
  </r>
  <r>
    <n v="3730"/>
    <x v="48"/>
    <x v="1"/>
    <s v="Boots"/>
    <x v="1"/>
    <n v="82"/>
    <s v="Rhode Island"/>
    <s v="M"/>
    <s v="Teal"/>
    <x v="1"/>
    <x v="10"/>
    <s v="No"/>
    <x v="4"/>
    <x v="1"/>
    <x v="1"/>
    <x v="16"/>
    <x v="1"/>
    <x v="3"/>
    <x v="2"/>
    <n v="82"/>
    <n v="0"/>
  </r>
  <r>
    <n v="3731"/>
    <x v="5"/>
    <x v="1"/>
    <s v="Shirt"/>
    <x v="0"/>
    <n v="79"/>
    <s v="Florida"/>
    <s v="M"/>
    <s v="Teal"/>
    <x v="2"/>
    <x v="25"/>
    <s v="No"/>
    <x v="4"/>
    <x v="1"/>
    <x v="1"/>
    <x v="35"/>
    <x v="2"/>
    <x v="4"/>
    <x v="2"/>
    <n v="79"/>
    <n v="0"/>
  </r>
  <r>
    <n v="3732"/>
    <x v="22"/>
    <x v="1"/>
    <s v="Hat"/>
    <x v="3"/>
    <n v="62"/>
    <s v="West Virginia"/>
    <s v="M"/>
    <s v="Lavender"/>
    <x v="1"/>
    <x v="0"/>
    <s v="No"/>
    <x v="4"/>
    <x v="1"/>
    <x v="1"/>
    <x v="24"/>
    <x v="3"/>
    <x v="3"/>
    <x v="0"/>
    <n v="62"/>
    <n v="0"/>
  </r>
  <r>
    <n v="3733"/>
    <x v="24"/>
    <x v="1"/>
    <s v="Shoes"/>
    <x v="1"/>
    <n v="92"/>
    <s v="Indiana"/>
    <s v="L"/>
    <s v="Pink"/>
    <x v="1"/>
    <x v="13"/>
    <s v="No"/>
    <x v="1"/>
    <x v="1"/>
    <x v="1"/>
    <x v="40"/>
    <x v="3"/>
    <x v="2"/>
    <x v="2"/>
    <n v="92"/>
    <n v="0"/>
  </r>
  <r>
    <n v="3734"/>
    <x v="15"/>
    <x v="1"/>
    <s v="Socks"/>
    <x v="0"/>
    <n v="58"/>
    <s v="Illinois"/>
    <s v="M"/>
    <s v="Maroon"/>
    <x v="3"/>
    <x v="10"/>
    <s v="No"/>
    <x v="2"/>
    <x v="1"/>
    <x v="1"/>
    <x v="49"/>
    <x v="5"/>
    <x v="6"/>
    <x v="1"/>
    <n v="58"/>
    <n v="0"/>
  </r>
  <r>
    <n v="3735"/>
    <x v="21"/>
    <x v="1"/>
    <s v="Hoodie"/>
    <x v="0"/>
    <n v="88"/>
    <s v="California"/>
    <s v="M"/>
    <s v="Beige"/>
    <x v="1"/>
    <x v="23"/>
    <s v="No"/>
    <x v="2"/>
    <x v="1"/>
    <x v="1"/>
    <x v="42"/>
    <x v="5"/>
    <x v="6"/>
    <x v="2"/>
    <n v="88"/>
    <n v="0"/>
  </r>
  <r>
    <n v="3736"/>
    <x v="21"/>
    <x v="1"/>
    <s v="Sandals"/>
    <x v="1"/>
    <n v="44"/>
    <s v="Massachusetts"/>
    <s v="L"/>
    <s v="Orange"/>
    <x v="1"/>
    <x v="0"/>
    <s v="No"/>
    <x v="4"/>
    <x v="1"/>
    <x v="1"/>
    <x v="32"/>
    <x v="3"/>
    <x v="2"/>
    <x v="2"/>
    <n v="44"/>
    <n v="0"/>
  </r>
  <r>
    <n v="3737"/>
    <x v="32"/>
    <x v="1"/>
    <s v="Jeans"/>
    <x v="0"/>
    <n v="56"/>
    <s v="Idaho"/>
    <s v="M"/>
    <s v="Red"/>
    <x v="1"/>
    <x v="12"/>
    <s v="No"/>
    <x v="5"/>
    <x v="1"/>
    <x v="1"/>
    <x v="1"/>
    <x v="3"/>
    <x v="6"/>
    <x v="2"/>
    <n v="56"/>
    <n v="0"/>
  </r>
  <r>
    <n v="3738"/>
    <x v="1"/>
    <x v="1"/>
    <s v="Jewelry"/>
    <x v="3"/>
    <n v="23"/>
    <s v="Kentucky"/>
    <s v="S"/>
    <s v="Maroon"/>
    <x v="0"/>
    <x v="8"/>
    <s v="No"/>
    <x v="1"/>
    <x v="1"/>
    <x v="1"/>
    <x v="34"/>
    <x v="3"/>
    <x v="4"/>
    <x v="1"/>
    <n v="23"/>
    <n v="0"/>
  </r>
  <r>
    <n v="3739"/>
    <x v="50"/>
    <x v="1"/>
    <s v="Shorts"/>
    <x v="0"/>
    <n v="45"/>
    <s v="Delaware"/>
    <s v="M"/>
    <s v="Brown"/>
    <x v="1"/>
    <x v="2"/>
    <s v="No"/>
    <x v="1"/>
    <x v="1"/>
    <x v="1"/>
    <x v="26"/>
    <x v="1"/>
    <x v="0"/>
    <x v="2"/>
    <n v="45"/>
    <n v="0"/>
  </r>
  <r>
    <n v="3740"/>
    <x v="21"/>
    <x v="1"/>
    <s v="Sunglasses"/>
    <x v="3"/>
    <n v="31"/>
    <s v="Idaho"/>
    <s v="M"/>
    <s v="Olive"/>
    <x v="3"/>
    <x v="19"/>
    <s v="No"/>
    <x v="1"/>
    <x v="1"/>
    <x v="1"/>
    <x v="34"/>
    <x v="2"/>
    <x v="1"/>
    <x v="2"/>
    <n v="31"/>
    <n v="0"/>
  </r>
  <r>
    <n v="3741"/>
    <x v="32"/>
    <x v="1"/>
    <s v="Pants"/>
    <x v="0"/>
    <n v="96"/>
    <s v="Virginia"/>
    <s v="M"/>
    <s v="Silver"/>
    <x v="2"/>
    <x v="5"/>
    <s v="No"/>
    <x v="5"/>
    <x v="1"/>
    <x v="1"/>
    <x v="8"/>
    <x v="5"/>
    <x v="4"/>
    <x v="2"/>
    <n v="96"/>
    <n v="0"/>
  </r>
  <r>
    <n v="3742"/>
    <x v="44"/>
    <x v="1"/>
    <s v="Shirt"/>
    <x v="0"/>
    <n v="96"/>
    <s v="Arizona"/>
    <s v="M"/>
    <s v="Purple"/>
    <x v="1"/>
    <x v="4"/>
    <s v="No"/>
    <x v="4"/>
    <x v="1"/>
    <x v="1"/>
    <x v="8"/>
    <x v="5"/>
    <x v="4"/>
    <x v="0"/>
    <n v="96"/>
    <n v="0"/>
  </r>
  <r>
    <n v="3743"/>
    <x v="19"/>
    <x v="1"/>
    <s v="Shirt"/>
    <x v="0"/>
    <n v="80"/>
    <s v="Maryland"/>
    <s v="M"/>
    <s v="Gray"/>
    <x v="3"/>
    <x v="14"/>
    <s v="No"/>
    <x v="3"/>
    <x v="1"/>
    <x v="1"/>
    <x v="16"/>
    <x v="2"/>
    <x v="4"/>
    <x v="0"/>
    <n v="80"/>
    <n v="0"/>
  </r>
  <r>
    <n v="3744"/>
    <x v="46"/>
    <x v="1"/>
    <s v="Pants"/>
    <x v="0"/>
    <n v="28"/>
    <s v="Idaho"/>
    <s v="L"/>
    <s v="Cyan"/>
    <x v="3"/>
    <x v="15"/>
    <s v="No"/>
    <x v="1"/>
    <x v="1"/>
    <x v="1"/>
    <x v="13"/>
    <x v="5"/>
    <x v="3"/>
    <x v="0"/>
    <n v="28"/>
    <n v="0"/>
  </r>
  <r>
    <n v="3745"/>
    <x v="41"/>
    <x v="1"/>
    <s v="Hoodie"/>
    <x v="0"/>
    <n v="51"/>
    <s v="New Jersey"/>
    <s v="M"/>
    <s v="Gray"/>
    <x v="2"/>
    <x v="2"/>
    <s v="No"/>
    <x v="2"/>
    <x v="1"/>
    <x v="1"/>
    <x v="8"/>
    <x v="4"/>
    <x v="0"/>
    <x v="1"/>
    <n v="51"/>
    <n v="0"/>
  </r>
  <r>
    <n v="3746"/>
    <x v="52"/>
    <x v="1"/>
    <s v="Socks"/>
    <x v="0"/>
    <n v="41"/>
    <s v="Washington"/>
    <s v="L"/>
    <s v="Gold"/>
    <x v="1"/>
    <x v="24"/>
    <s v="No"/>
    <x v="0"/>
    <x v="1"/>
    <x v="1"/>
    <x v="1"/>
    <x v="5"/>
    <x v="5"/>
    <x v="0"/>
    <n v="41"/>
    <n v="0"/>
  </r>
  <r>
    <n v="3747"/>
    <x v="10"/>
    <x v="1"/>
    <s v="Coat"/>
    <x v="2"/>
    <n v="99"/>
    <s v="Idaho"/>
    <s v="XL"/>
    <s v="Cyan"/>
    <x v="2"/>
    <x v="5"/>
    <s v="No"/>
    <x v="2"/>
    <x v="1"/>
    <x v="1"/>
    <x v="3"/>
    <x v="3"/>
    <x v="5"/>
    <x v="0"/>
    <n v="99"/>
    <n v="0"/>
  </r>
  <r>
    <n v="3748"/>
    <x v="8"/>
    <x v="1"/>
    <s v="Sweater"/>
    <x v="0"/>
    <n v="53"/>
    <s v="Rhode Island"/>
    <s v="L"/>
    <s v="Olive"/>
    <x v="1"/>
    <x v="24"/>
    <s v="No"/>
    <x v="5"/>
    <x v="1"/>
    <x v="1"/>
    <x v="18"/>
    <x v="4"/>
    <x v="4"/>
    <x v="2"/>
    <n v="53"/>
    <n v="0"/>
  </r>
  <r>
    <n v="3749"/>
    <x v="50"/>
    <x v="1"/>
    <s v="Backpack"/>
    <x v="3"/>
    <n v="25"/>
    <s v="Delaware"/>
    <s v="M"/>
    <s v="Violet"/>
    <x v="3"/>
    <x v="20"/>
    <s v="No"/>
    <x v="4"/>
    <x v="1"/>
    <x v="1"/>
    <x v="35"/>
    <x v="0"/>
    <x v="2"/>
    <x v="2"/>
    <n v="25"/>
    <n v="0"/>
  </r>
  <r>
    <n v="3750"/>
    <x v="41"/>
    <x v="1"/>
    <s v="Blouse"/>
    <x v="0"/>
    <n v="95"/>
    <s v="Alaska"/>
    <s v="L"/>
    <s v="Yellow"/>
    <x v="0"/>
    <x v="3"/>
    <s v="No"/>
    <x v="4"/>
    <x v="1"/>
    <x v="1"/>
    <x v="25"/>
    <x v="0"/>
    <x v="6"/>
    <x v="1"/>
    <n v="95"/>
    <n v="0"/>
  </r>
  <r>
    <n v="3751"/>
    <x v="32"/>
    <x v="1"/>
    <s v="Hoodie"/>
    <x v="0"/>
    <n v="88"/>
    <s v="Arizona"/>
    <s v="M"/>
    <s v="Gold"/>
    <x v="3"/>
    <x v="0"/>
    <s v="No"/>
    <x v="1"/>
    <x v="1"/>
    <x v="1"/>
    <x v="36"/>
    <x v="3"/>
    <x v="5"/>
    <x v="2"/>
    <n v="88"/>
    <n v="0"/>
  </r>
  <r>
    <n v="3752"/>
    <x v="24"/>
    <x v="1"/>
    <s v="Jewelry"/>
    <x v="3"/>
    <n v="97"/>
    <s v="Alabama"/>
    <s v="S"/>
    <s v="Silver"/>
    <x v="3"/>
    <x v="19"/>
    <s v="No"/>
    <x v="1"/>
    <x v="1"/>
    <x v="1"/>
    <x v="6"/>
    <x v="2"/>
    <x v="6"/>
    <x v="2"/>
    <n v="97"/>
    <n v="0"/>
  </r>
  <r>
    <n v="3753"/>
    <x v="41"/>
    <x v="1"/>
    <s v="Coat"/>
    <x v="2"/>
    <n v="81"/>
    <s v="Washington"/>
    <s v="L"/>
    <s v="Pink"/>
    <x v="0"/>
    <x v="7"/>
    <s v="No"/>
    <x v="4"/>
    <x v="1"/>
    <x v="1"/>
    <x v="34"/>
    <x v="0"/>
    <x v="1"/>
    <x v="1"/>
    <n v="81"/>
    <n v="0"/>
  </r>
  <r>
    <n v="3754"/>
    <x v="31"/>
    <x v="1"/>
    <s v="Sunglasses"/>
    <x v="3"/>
    <n v="26"/>
    <s v="Louisiana"/>
    <s v="S"/>
    <s v="Turquoise"/>
    <x v="0"/>
    <x v="19"/>
    <s v="No"/>
    <x v="2"/>
    <x v="1"/>
    <x v="1"/>
    <x v="17"/>
    <x v="4"/>
    <x v="0"/>
    <x v="2"/>
    <n v="26"/>
    <n v="0"/>
  </r>
  <r>
    <n v="3755"/>
    <x v="5"/>
    <x v="1"/>
    <s v="Shoes"/>
    <x v="1"/>
    <n v="41"/>
    <s v="Nebraska"/>
    <s v="M"/>
    <s v="Turquoise"/>
    <x v="2"/>
    <x v="14"/>
    <s v="No"/>
    <x v="0"/>
    <x v="1"/>
    <x v="1"/>
    <x v="9"/>
    <x v="1"/>
    <x v="6"/>
    <x v="2"/>
    <n v="41"/>
    <n v="0"/>
  </r>
  <r>
    <n v="3756"/>
    <x v="14"/>
    <x v="1"/>
    <s v="Skirt"/>
    <x v="0"/>
    <n v="93"/>
    <s v="Pennsylvania"/>
    <s v="M"/>
    <s v="Peach"/>
    <x v="3"/>
    <x v="23"/>
    <s v="No"/>
    <x v="1"/>
    <x v="1"/>
    <x v="1"/>
    <x v="8"/>
    <x v="2"/>
    <x v="5"/>
    <x v="0"/>
    <n v="93"/>
    <n v="0"/>
  </r>
  <r>
    <n v="3757"/>
    <x v="14"/>
    <x v="1"/>
    <s v="Skirt"/>
    <x v="0"/>
    <n v="69"/>
    <s v="South Carolina"/>
    <s v="L"/>
    <s v="Teal"/>
    <x v="1"/>
    <x v="6"/>
    <s v="No"/>
    <x v="0"/>
    <x v="1"/>
    <x v="1"/>
    <x v="38"/>
    <x v="5"/>
    <x v="4"/>
    <x v="0"/>
    <n v="69"/>
    <n v="0"/>
  </r>
  <r>
    <n v="3758"/>
    <x v="12"/>
    <x v="1"/>
    <s v="Skirt"/>
    <x v="0"/>
    <n v="44"/>
    <s v="California"/>
    <s v="L"/>
    <s v="Red"/>
    <x v="3"/>
    <x v="9"/>
    <s v="No"/>
    <x v="4"/>
    <x v="1"/>
    <x v="1"/>
    <x v="42"/>
    <x v="1"/>
    <x v="1"/>
    <x v="0"/>
    <n v="44"/>
    <n v="0"/>
  </r>
  <r>
    <n v="3759"/>
    <x v="12"/>
    <x v="1"/>
    <s v="Sandals"/>
    <x v="1"/>
    <n v="54"/>
    <s v="Indiana"/>
    <s v="S"/>
    <s v="Black"/>
    <x v="1"/>
    <x v="2"/>
    <s v="No"/>
    <x v="5"/>
    <x v="1"/>
    <x v="1"/>
    <x v="2"/>
    <x v="4"/>
    <x v="3"/>
    <x v="0"/>
    <n v="54"/>
    <n v="0"/>
  </r>
  <r>
    <n v="3760"/>
    <x v="42"/>
    <x v="1"/>
    <s v="Sneakers"/>
    <x v="1"/>
    <n v="61"/>
    <s v="Missouri"/>
    <s v="M"/>
    <s v="Pink"/>
    <x v="1"/>
    <x v="1"/>
    <s v="No"/>
    <x v="5"/>
    <x v="1"/>
    <x v="1"/>
    <x v="48"/>
    <x v="0"/>
    <x v="3"/>
    <x v="2"/>
    <n v="61"/>
    <n v="0"/>
  </r>
  <r>
    <n v="3761"/>
    <x v="13"/>
    <x v="1"/>
    <s v="Socks"/>
    <x v="0"/>
    <n v="80"/>
    <s v="Connecticut"/>
    <s v="M"/>
    <s v="Peach"/>
    <x v="3"/>
    <x v="0"/>
    <s v="No"/>
    <x v="2"/>
    <x v="1"/>
    <x v="1"/>
    <x v="13"/>
    <x v="3"/>
    <x v="1"/>
    <x v="0"/>
    <n v="80"/>
    <n v="0"/>
  </r>
  <r>
    <n v="3762"/>
    <x v="52"/>
    <x v="1"/>
    <s v="Backpack"/>
    <x v="3"/>
    <n v="30"/>
    <s v="Nevada"/>
    <s v="M"/>
    <s v="Green"/>
    <x v="2"/>
    <x v="11"/>
    <s v="No"/>
    <x v="2"/>
    <x v="1"/>
    <x v="1"/>
    <x v="35"/>
    <x v="0"/>
    <x v="6"/>
    <x v="0"/>
    <n v="30"/>
    <n v="0"/>
  </r>
  <r>
    <n v="3763"/>
    <x v="13"/>
    <x v="1"/>
    <s v="Shorts"/>
    <x v="0"/>
    <n v="94"/>
    <s v="New York"/>
    <s v="L"/>
    <s v="Green"/>
    <x v="3"/>
    <x v="3"/>
    <s v="No"/>
    <x v="5"/>
    <x v="1"/>
    <x v="1"/>
    <x v="21"/>
    <x v="3"/>
    <x v="2"/>
    <x v="0"/>
    <n v="94"/>
    <n v="0"/>
  </r>
  <r>
    <n v="3764"/>
    <x v="7"/>
    <x v="1"/>
    <s v="Shirt"/>
    <x v="0"/>
    <n v="24"/>
    <s v="Oklahoma"/>
    <s v="XL"/>
    <s v="Red"/>
    <x v="0"/>
    <x v="9"/>
    <s v="No"/>
    <x v="3"/>
    <x v="1"/>
    <x v="1"/>
    <x v="25"/>
    <x v="1"/>
    <x v="6"/>
    <x v="2"/>
    <n v="24"/>
    <n v="0"/>
  </r>
  <r>
    <n v="3765"/>
    <x v="24"/>
    <x v="1"/>
    <s v="Socks"/>
    <x v="0"/>
    <n v="21"/>
    <s v="South Dakota"/>
    <s v="M"/>
    <s v="Maroon"/>
    <x v="3"/>
    <x v="1"/>
    <s v="No"/>
    <x v="2"/>
    <x v="1"/>
    <x v="1"/>
    <x v="5"/>
    <x v="0"/>
    <x v="5"/>
    <x v="2"/>
    <n v="21"/>
    <n v="0"/>
  </r>
  <r>
    <n v="3766"/>
    <x v="40"/>
    <x v="1"/>
    <s v="Jewelry"/>
    <x v="3"/>
    <n v="52"/>
    <s v="Missouri"/>
    <s v="M"/>
    <s v="Green"/>
    <x v="2"/>
    <x v="24"/>
    <s v="No"/>
    <x v="3"/>
    <x v="1"/>
    <x v="1"/>
    <x v="0"/>
    <x v="4"/>
    <x v="4"/>
    <x v="1"/>
    <n v="52"/>
    <n v="0"/>
  </r>
  <r>
    <n v="3767"/>
    <x v="46"/>
    <x v="1"/>
    <s v="Handbag"/>
    <x v="3"/>
    <n v="59"/>
    <s v="Texas"/>
    <s v="M"/>
    <s v="Black"/>
    <x v="3"/>
    <x v="8"/>
    <s v="No"/>
    <x v="2"/>
    <x v="1"/>
    <x v="1"/>
    <x v="34"/>
    <x v="5"/>
    <x v="2"/>
    <x v="0"/>
    <n v="59"/>
    <n v="0"/>
  </r>
  <r>
    <n v="3768"/>
    <x v="35"/>
    <x v="1"/>
    <s v="Shorts"/>
    <x v="0"/>
    <n v="51"/>
    <s v="New York"/>
    <s v="XL"/>
    <s v="Black"/>
    <x v="2"/>
    <x v="0"/>
    <s v="No"/>
    <x v="1"/>
    <x v="1"/>
    <x v="1"/>
    <x v="9"/>
    <x v="4"/>
    <x v="0"/>
    <x v="0"/>
    <n v="51"/>
    <n v="0"/>
  </r>
  <r>
    <n v="3769"/>
    <x v="2"/>
    <x v="1"/>
    <s v="Sweater"/>
    <x v="0"/>
    <n v="35"/>
    <s v="Vermont"/>
    <s v="M"/>
    <s v="Yellow"/>
    <x v="0"/>
    <x v="17"/>
    <s v="No"/>
    <x v="1"/>
    <x v="1"/>
    <x v="1"/>
    <x v="11"/>
    <x v="4"/>
    <x v="3"/>
    <x v="2"/>
    <n v="35"/>
    <n v="0"/>
  </r>
  <r>
    <n v="3770"/>
    <x v="47"/>
    <x v="1"/>
    <s v="Gloves"/>
    <x v="3"/>
    <n v="87"/>
    <s v="Arizona"/>
    <s v="L"/>
    <s v="Green"/>
    <x v="2"/>
    <x v="15"/>
    <s v="No"/>
    <x v="3"/>
    <x v="1"/>
    <x v="1"/>
    <x v="4"/>
    <x v="0"/>
    <x v="2"/>
    <x v="0"/>
    <n v="87"/>
    <n v="0"/>
  </r>
  <r>
    <n v="3771"/>
    <x v="51"/>
    <x v="1"/>
    <s v="Pants"/>
    <x v="0"/>
    <n v="42"/>
    <s v="Montana"/>
    <s v="L"/>
    <s v="Black"/>
    <x v="2"/>
    <x v="17"/>
    <s v="No"/>
    <x v="5"/>
    <x v="1"/>
    <x v="1"/>
    <x v="11"/>
    <x v="4"/>
    <x v="1"/>
    <x v="1"/>
    <n v="42"/>
    <n v="0"/>
  </r>
  <r>
    <n v="3772"/>
    <x v="3"/>
    <x v="1"/>
    <s v="T-shirt"/>
    <x v="0"/>
    <n v="86"/>
    <s v="Oklahoma"/>
    <s v="M"/>
    <s v="Red"/>
    <x v="0"/>
    <x v="5"/>
    <s v="No"/>
    <x v="0"/>
    <x v="1"/>
    <x v="1"/>
    <x v="40"/>
    <x v="0"/>
    <x v="4"/>
    <x v="1"/>
    <n v="86"/>
    <n v="0"/>
  </r>
  <r>
    <n v="3773"/>
    <x v="42"/>
    <x v="1"/>
    <s v="Pants"/>
    <x v="0"/>
    <n v="26"/>
    <s v="New Hampshire"/>
    <s v="L"/>
    <s v="Yellow"/>
    <x v="3"/>
    <x v="0"/>
    <s v="No"/>
    <x v="2"/>
    <x v="1"/>
    <x v="1"/>
    <x v="31"/>
    <x v="1"/>
    <x v="2"/>
    <x v="2"/>
    <n v="26"/>
    <n v="0"/>
  </r>
  <r>
    <n v="3774"/>
    <x v="15"/>
    <x v="1"/>
    <s v="Sweater"/>
    <x v="0"/>
    <n v="60"/>
    <s v="Wisconsin"/>
    <s v="M"/>
    <s v="Violet"/>
    <x v="2"/>
    <x v="1"/>
    <s v="No"/>
    <x v="5"/>
    <x v="1"/>
    <x v="1"/>
    <x v="23"/>
    <x v="1"/>
    <x v="3"/>
    <x v="1"/>
    <n v="60"/>
    <n v="0"/>
  </r>
  <r>
    <n v="3775"/>
    <x v="9"/>
    <x v="1"/>
    <s v="Gloves"/>
    <x v="3"/>
    <n v="83"/>
    <s v="Alaska"/>
    <s v="S"/>
    <s v="Cyan"/>
    <x v="0"/>
    <x v="20"/>
    <s v="No"/>
    <x v="3"/>
    <x v="1"/>
    <x v="1"/>
    <x v="26"/>
    <x v="3"/>
    <x v="0"/>
    <x v="0"/>
    <n v="83"/>
    <n v="0"/>
  </r>
  <r>
    <n v="3776"/>
    <x v="38"/>
    <x v="1"/>
    <s v="Belt"/>
    <x v="3"/>
    <n v="63"/>
    <s v="South Dakota"/>
    <s v="S"/>
    <s v="Pink"/>
    <x v="1"/>
    <x v="2"/>
    <s v="No"/>
    <x v="4"/>
    <x v="1"/>
    <x v="1"/>
    <x v="24"/>
    <x v="1"/>
    <x v="3"/>
    <x v="2"/>
    <n v="63"/>
    <n v="0"/>
  </r>
  <r>
    <n v="3777"/>
    <x v="1"/>
    <x v="1"/>
    <s v="Sneakers"/>
    <x v="1"/>
    <n v="25"/>
    <s v="Alaska"/>
    <s v="L"/>
    <s v="Olive"/>
    <x v="1"/>
    <x v="7"/>
    <s v="No"/>
    <x v="3"/>
    <x v="1"/>
    <x v="1"/>
    <x v="9"/>
    <x v="2"/>
    <x v="0"/>
    <x v="1"/>
    <n v="25"/>
    <n v="0"/>
  </r>
  <r>
    <n v="3778"/>
    <x v="49"/>
    <x v="1"/>
    <s v="Shorts"/>
    <x v="0"/>
    <n v="65"/>
    <s v="Utah"/>
    <s v="M"/>
    <s v="Maroon"/>
    <x v="3"/>
    <x v="24"/>
    <s v="No"/>
    <x v="0"/>
    <x v="1"/>
    <x v="1"/>
    <x v="44"/>
    <x v="1"/>
    <x v="1"/>
    <x v="2"/>
    <n v="65"/>
    <n v="0"/>
  </r>
  <r>
    <n v="3779"/>
    <x v="15"/>
    <x v="1"/>
    <s v="Sneakers"/>
    <x v="1"/>
    <n v="60"/>
    <s v="South Dakota"/>
    <s v="M"/>
    <s v="Cyan"/>
    <x v="3"/>
    <x v="3"/>
    <s v="No"/>
    <x v="1"/>
    <x v="1"/>
    <x v="1"/>
    <x v="48"/>
    <x v="5"/>
    <x v="2"/>
    <x v="1"/>
    <n v="60"/>
    <n v="0"/>
  </r>
  <r>
    <n v="3780"/>
    <x v="52"/>
    <x v="1"/>
    <s v="Jeans"/>
    <x v="0"/>
    <n v="75"/>
    <s v="California"/>
    <s v="XL"/>
    <s v="Lavender"/>
    <x v="1"/>
    <x v="17"/>
    <s v="No"/>
    <x v="0"/>
    <x v="1"/>
    <x v="1"/>
    <x v="24"/>
    <x v="3"/>
    <x v="2"/>
    <x v="0"/>
    <n v="75"/>
    <n v="0"/>
  </r>
  <r>
    <n v="3781"/>
    <x v="22"/>
    <x v="1"/>
    <s v="Sneakers"/>
    <x v="1"/>
    <n v="57"/>
    <s v="Mississippi"/>
    <s v="L"/>
    <s v="Yellow"/>
    <x v="3"/>
    <x v="7"/>
    <s v="No"/>
    <x v="1"/>
    <x v="1"/>
    <x v="1"/>
    <x v="23"/>
    <x v="0"/>
    <x v="3"/>
    <x v="0"/>
    <n v="57"/>
    <n v="0"/>
  </r>
  <r>
    <n v="3782"/>
    <x v="16"/>
    <x v="1"/>
    <s v="Boots"/>
    <x v="1"/>
    <n v="99"/>
    <s v="Tennessee"/>
    <s v="M"/>
    <s v="Pink"/>
    <x v="0"/>
    <x v="18"/>
    <s v="No"/>
    <x v="3"/>
    <x v="1"/>
    <x v="1"/>
    <x v="19"/>
    <x v="3"/>
    <x v="0"/>
    <x v="0"/>
    <n v="99"/>
    <n v="0"/>
  </r>
  <r>
    <n v="3783"/>
    <x v="37"/>
    <x v="1"/>
    <s v="Jacket"/>
    <x v="2"/>
    <n v="45"/>
    <s v="Alabama"/>
    <s v="L"/>
    <s v="Orange"/>
    <x v="1"/>
    <x v="11"/>
    <s v="No"/>
    <x v="1"/>
    <x v="1"/>
    <x v="1"/>
    <x v="38"/>
    <x v="3"/>
    <x v="0"/>
    <x v="2"/>
    <n v="45"/>
    <n v="0"/>
  </r>
  <r>
    <n v="3784"/>
    <x v="31"/>
    <x v="1"/>
    <s v="Gloves"/>
    <x v="3"/>
    <n v="66"/>
    <s v="Maine"/>
    <s v="XL"/>
    <s v="Orange"/>
    <x v="2"/>
    <x v="4"/>
    <s v="No"/>
    <x v="1"/>
    <x v="1"/>
    <x v="1"/>
    <x v="14"/>
    <x v="5"/>
    <x v="0"/>
    <x v="2"/>
    <n v="66"/>
    <n v="0"/>
  </r>
  <r>
    <n v="3785"/>
    <x v="22"/>
    <x v="1"/>
    <s v="Socks"/>
    <x v="0"/>
    <n v="53"/>
    <s v="Virginia"/>
    <s v="M"/>
    <s v="Violet"/>
    <x v="0"/>
    <x v="9"/>
    <s v="No"/>
    <x v="2"/>
    <x v="1"/>
    <x v="1"/>
    <x v="7"/>
    <x v="0"/>
    <x v="2"/>
    <x v="0"/>
    <n v="53"/>
    <n v="0"/>
  </r>
  <r>
    <n v="3786"/>
    <x v="14"/>
    <x v="1"/>
    <s v="Jeans"/>
    <x v="0"/>
    <n v="94"/>
    <s v="New Hampshire"/>
    <s v="L"/>
    <s v="Lavender"/>
    <x v="0"/>
    <x v="22"/>
    <s v="No"/>
    <x v="3"/>
    <x v="1"/>
    <x v="1"/>
    <x v="49"/>
    <x v="1"/>
    <x v="5"/>
    <x v="0"/>
    <n v="94"/>
    <n v="0"/>
  </r>
  <r>
    <n v="3787"/>
    <x v="18"/>
    <x v="1"/>
    <s v="Boots"/>
    <x v="1"/>
    <n v="47"/>
    <s v="Tennessee"/>
    <s v="L"/>
    <s v="Yellow"/>
    <x v="3"/>
    <x v="15"/>
    <s v="No"/>
    <x v="4"/>
    <x v="1"/>
    <x v="1"/>
    <x v="17"/>
    <x v="0"/>
    <x v="1"/>
    <x v="2"/>
    <n v="47"/>
    <n v="0"/>
  </r>
  <r>
    <n v="3788"/>
    <x v="43"/>
    <x v="1"/>
    <s v="Blouse"/>
    <x v="0"/>
    <n v="80"/>
    <s v="New York"/>
    <s v="M"/>
    <s v="Pink"/>
    <x v="3"/>
    <x v="15"/>
    <s v="No"/>
    <x v="4"/>
    <x v="1"/>
    <x v="1"/>
    <x v="15"/>
    <x v="3"/>
    <x v="6"/>
    <x v="2"/>
    <n v="80"/>
    <n v="0"/>
  </r>
  <r>
    <n v="3789"/>
    <x v="49"/>
    <x v="1"/>
    <s v="Hat"/>
    <x v="3"/>
    <n v="65"/>
    <s v="Kansas"/>
    <s v="XL"/>
    <s v="Teal"/>
    <x v="1"/>
    <x v="4"/>
    <s v="No"/>
    <x v="2"/>
    <x v="1"/>
    <x v="1"/>
    <x v="46"/>
    <x v="5"/>
    <x v="5"/>
    <x v="2"/>
    <n v="65"/>
    <n v="0"/>
  </r>
  <r>
    <n v="3790"/>
    <x v="19"/>
    <x v="1"/>
    <s v="Shirt"/>
    <x v="0"/>
    <n v="75"/>
    <s v="North Dakota"/>
    <s v="M"/>
    <s v="Magenta"/>
    <x v="2"/>
    <x v="22"/>
    <s v="No"/>
    <x v="0"/>
    <x v="1"/>
    <x v="1"/>
    <x v="27"/>
    <x v="4"/>
    <x v="6"/>
    <x v="0"/>
    <n v="75"/>
    <n v="0"/>
  </r>
  <r>
    <n v="3791"/>
    <x v="7"/>
    <x v="1"/>
    <s v="Handbag"/>
    <x v="3"/>
    <n v="45"/>
    <s v="Alaska"/>
    <s v="XL"/>
    <s v="Beige"/>
    <x v="2"/>
    <x v="14"/>
    <s v="No"/>
    <x v="3"/>
    <x v="1"/>
    <x v="1"/>
    <x v="4"/>
    <x v="2"/>
    <x v="1"/>
    <x v="2"/>
    <n v="45"/>
    <n v="0"/>
  </r>
  <r>
    <n v="3792"/>
    <x v="37"/>
    <x v="1"/>
    <s v="Sunglasses"/>
    <x v="3"/>
    <n v="51"/>
    <s v="Texas"/>
    <s v="M"/>
    <s v="Gray"/>
    <x v="1"/>
    <x v="18"/>
    <s v="No"/>
    <x v="5"/>
    <x v="1"/>
    <x v="1"/>
    <x v="43"/>
    <x v="0"/>
    <x v="1"/>
    <x v="2"/>
    <n v="51"/>
    <n v="0"/>
  </r>
  <r>
    <n v="3793"/>
    <x v="49"/>
    <x v="1"/>
    <s v="Scarf"/>
    <x v="3"/>
    <n v="58"/>
    <s v="Massachusetts"/>
    <s v="S"/>
    <s v="Turquoise"/>
    <x v="2"/>
    <x v="5"/>
    <s v="No"/>
    <x v="0"/>
    <x v="1"/>
    <x v="1"/>
    <x v="1"/>
    <x v="3"/>
    <x v="0"/>
    <x v="2"/>
    <n v="58"/>
    <n v="0"/>
  </r>
  <r>
    <n v="3794"/>
    <x v="46"/>
    <x v="1"/>
    <s v="Sunglasses"/>
    <x v="3"/>
    <n v="20"/>
    <s v="Delaware"/>
    <s v="M"/>
    <s v="Pink"/>
    <x v="3"/>
    <x v="17"/>
    <s v="No"/>
    <x v="3"/>
    <x v="1"/>
    <x v="1"/>
    <x v="15"/>
    <x v="4"/>
    <x v="2"/>
    <x v="0"/>
    <n v="20"/>
    <n v="0"/>
  </r>
  <r>
    <n v="3795"/>
    <x v="42"/>
    <x v="1"/>
    <s v="Scarf"/>
    <x v="3"/>
    <n v="82"/>
    <s v="South Dakota"/>
    <s v="M"/>
    <s v="Violet"/>
    <x v="2"/>
    <x v="15"/>
    <s v="No"/>
    <x v="4"/>
    <x v="1"/>
    <x v="1"/>
    <x v="46"/>
    <x v="0"/>
    <x v="1"/>
    <x v="2"/>
    <n v="82"/>
    <n v="0"/>
  </r>
  <r>
    <n v="3796"/>
    <x v="4"/>
    <x v="1"/>
    <s v="Gloves"/>
    <x v="3"/>
    <n v="92"/>
    <s v="Arkansas"/>
    <s v="M"/>
    <s v="Charcoal"/>
    <x v="1"/>
    <x v="25"/>
    <s v="No"/>
    <x v="0"/>
    <x v="1"/>
    <x v="1"/>
    <x v="35"/>
    <x v="1"/>
    <x v="1"/>
    <x v="2"/>
    <n v="92"/>
    <n v="0"/>
  </r>
  <r>
    <n v="3797"/>
    <x v="37"/>
    <x v="1"/>
    <s v="Shorts"/>
    <x v="0"/>
    <n v="81"/>
    <s v="Utah"/>
    <s v="M"/>
    <s v="Lavender"/>
    <x v="3"/>
    <x v="4"/>
    <s v="No"/>
    <x v="1"/>
    <x v="1"/>
    <x v="1"/>
    <x v="39"/>
    <x v="4"/>
    <x v="3"/>
    <x v="2"/>
    <n v="81"/>
    <n v="0"/>
  </r>
  <r>
    <n v="3798"/>
    <x v="33"/>
    <x v="1"/>
    <s v="Sunglasses"/>
    <x v="3"/>
    <n v="44"/>
    <s v="California"/>
    <s v="M"/>
    <s v="Gray"/>
    <x v="2"/>
    <x v="25"/>
    <s v="No"/>
    <x v="2"/>
    <x v="1"/>
    <x v="1"/>
    <x v="41"/>
    <x v="1"/>
    <x v="3"/>
    <x v="0"/>
    <n v="44"/>
    <n v="0"/>
  </r>
  <r>
    <n v="3799"/>
    <x v="6"/>
    <x v="1"/>
    <s v="Jewelry"/>
    <x v="3"/>
    <n v="72"/>
    <s v="Rhode Island"/>
    <s v="S"/>
    <s v="Brown"/>
    <x v="0"/>
    <x v="4"/>
    <s v="No"/>
    <x v="2"/>
    <x v="1"/>
    <x v="1"/>
    <x v="2"/>
    <x v="2"/>
    <x v="2"/>
    <x v="0"/>
    <n v="72"/>
    <n v="0"/>
  </r>
  <r>
    <n v="3800"/>
    <x v="52"/>
    <x v="1"/>
    <s v="Jacket"/>
    <x v="2"/>
    <n v="26"/>
    <s v="Oklahoma"/>
    <s v="L"/>
    <s v="Violet"/>
    <x v="0"/>
    <x v="5"/>
    <s v="No"/>
    <x v="5"/>
    <x v="1"/>
    <x v="1"/>
    <x v="21"/>
    <x v="2"/>
    <x v="5"/>
    <x v="0"/>
    <n v="26"/>
    <n v="0"/>
  </r>
  <r>
    <n v="3801"/>
    <x v="1"/>
    <x v="1"/>
    <s v="Sweater"/>
    <x v="0"/>
    <n v="26"/>
    <s v="Vermont"/>
    <s v="M"/>
    <s v="Turquoise"/>
    <x v="3"/>
    <x v="6"/>
    <s v="No"/>
    <x v="2"/>
    <x v="1"/>
    <x v="1"/>
    <x v="45"/>
    <x v="0"/>
    <x v="4"/>
    <x v="1"/>
    <n v="26"/>
    <n v="0"/>
  </r>
  <r>
    <n v="3802"/>
    <x v="8"/>
    <x v="1"/>
    <s v="Blouse"/>
    <x v="0"/>
    <n v="84"/>
    <s v="Kentucky"/>
    <s v="M"/>
    <s v="Peach"/>
    <x v="1"/>
    <x v="16"/>
    <s v="No"/>
    <x v="5"/>
    <x v="1"/>
    <x v="1"/>
    <x v="13"/>
    <x v="3"/>
    <x v="0"/>
    <x v="2"/>
    <n v="84"/>
    <n v="0"/>
  </r>
  <r>
    <n v="3803"/>
    <x v="27"/>
    <x v="1"/>
    <s v="Scarf"/>
    <x v="3"/>
    <n v="72"/>
    <s v="Illinois"/>
    <s v="S"/>
    <s v="Turquoise"/>
    <x v="1"/>
    <x v="4"/>
    <s v="No"/>
    <x v="4"/>
    <x v="1"/>
    <x v="1"/>
    <x v="43"/>
    <x v="4"/>
    <x v="5"/>
    <x v="0"/>
    <n v="72"/>
    <n v="0"/>
  </r>
  <r>
    <n v="3804"/>
    <x v="39"/>
    <x v="1"/>
    <s v="Handbag"/>
    <x v="3"/>
    <n v="55"/>
    <s v="Connecticut"/>
    <s v="M"/>
    <s v="Violet"/>
    <x v="1"/>
    <x v="15"/>
    <s v="No"/>
    <x v="3"/>
    <x v="1"/>
    <x v="1"/>
    <x v="0"/>
    <x v="5"/>
    <x v="1"/>
    <x v="2"/>
    <n v="55"/>
    <n v="0"/>
  </r>
  <r>
    <n v="3805"/>
    <x v="43"/>
    <x v="1"/>
    <s v="Hat"/>
    <x v="3"/>
    <n v="77"/>
    <s v="Florida"/>
    <s v="M"/>
    <s v="Olive"/>
    <x v="3"/>
    <x v="2"/>
    <s v="No"/>
    <x v="4"/>
    <x v="1"/>
    <x v="1"/>
    <x v="24"/>
    <x v="1"/>
    <x v="2"/>
    <x v="2"/>
    <n v="77"/>
    <n v="0"/>
  </r>
  <r>
    <n v="3806"/>
    <x v="39"/>
    <x v="1"/>
    <s v="Scarf"/>
    <x v="3"/>
    <n v="57"/>
    <s v="New Jersey"/>
    <s v="M"/>
    <s v="Green"/>
    <x v="3"/>
    <x v="0"/>
    <s v="No"/>
    <x v="3"/>
    <x v="1"/>
    <x v="1"/>
    <x v="4"/>
    <x v="2"/>
    <x v="3"/>
    <x v="2"/>
    <n v="57"/>
    <n v="0"/>
  </r>
  <r>
    <n v="3807"/>
    <x v="20"/>
    <x v="1"/>
    <s v="Boots"/>
    <x v="1"/>
    <n v="71"/>
    <s v="Missouri"/>
    <s v="M"/>
    <s v="Teal"/>
    <x v="1"/>
    <x v="21"/>
    <s v="No"/>
    <x v="3"/>
    <x v="1"/>
    <x v="1"/>
    <x v="23"/>
    <x v="3"/>
    <x v="1"/>
    <x v="1"/>
    <n v="71"/>
    <n v="0"/>
  </r>
  <r>
    <n v="3808"/>
    <x v="21"/>
    <x v="1"/>
    <s v="Blouse"/>
    <x v="0"/>
    <n v="39"/>
    <s v="Michigan"/>
    <s v="L"/>
    <s v="Peach"/>
    <x v="1"/>
    <x v="3"/>
    <s v="No"/>
    <x v="2"/>
    <x v="1"/>
    <x v="1"/>
    <x v="13"/>
    <x v="3"/>
    <x v="2"/>
    <x v="2"/>
    <n v="39"/>
    <n v="0"/>
  </r>
  <r>
    <n v="3809"/>
    <x v="23"/>
    <x v="1"/>
    <s v="Socks"/>
    <x v="0"/>
    <n v="28"/>
    <s v="Washington"/>
    <s v="M"/>
    <s v="Pink"/>
    <x v="0"/>
    <x v="10"/>
    <s v="No"/>
    <x v="0"/>
    <x v="1"/>
    <x v="1"/>
    <x v="49"/>
    <x v="5"/>
    <x v="4"/>
    <x v="2"/>
    <n v="28"/>
    <n v="0"/>
  </r>
  <r>
    <n v="3810"/>
    <x v="9"/>
    <x v="1"/>
    <s v="Shoes"/>
    <x v="1"/>
    <n v="33"/>
    <s v="New York"/>
    <s v="S"/>
    <s v="Maroon"/>
    <x v="0"/>
    <x v="18"/>
    <s v="No"/>
    <x v="3"/>
    <x v="1"/>
    <x v="1"/>
    <x v="40"/>
    <x v="2"/>
    <x v="2"/>
    <x v="0"/>
    <n v="33"/>
    <n v="0"/>
  </r>
  <r>
    <n v="3811"/>
    <x v="5"/>
    <x v="1"/>
    <s v="Skirt"/>
    <x v="0"/>
    <n v="79"/>
    <s v="Wisconsin"/>
    <s v="L"/>
    <s v="Peach"/>
    <x v="3"/>
    <x v="20"/>
    <s v="No"/>
    <x v="1"/>
    <x v="1"/>
    <x v="1"/>
    <x v="32"/>
    <x v="0"/>
    <x v="5"/>
    <x v="2"/>
    <n v="79"/>
    <n v="0"/>
  </r>
  <r>
    <n v="3812"/>
    <x v="5"/>
    <x v="1"/>
    <s v="Belt"/>
    <x v="3"/>
    <n v="30"/>
    <s v="Idaho"/>
    <s v="M"/>
    <s v="Maroon"/>
    <x v="0"/>
    <x v="17"/>
    <s v="No"/>
    <x v="3"/>
    <x v="1"/>
    <x v="1"/>
    <x v="0"/>
    <x v="1"/>
    <x v="5"/>
    <x v="2"/>
    <n v="30"/>
    <n v="0"/>
  </r>
  <r>
    <n v="3813"/>
    <x v="2"/>
    <x v="1"/>
    <s v="Skirt"/>
    <x v="0"/>
    <n v="75"/>
    <s v="Michigan"/>
    <s v="M"/>
    <s v="Pink"/>
    <x v="1"/>
    <x v="11"/>
    <s v="No"/>
    <x v="2"/>
    <x v="1"/>
    <x v="1"/>
    <x v="22"/>
    <x v="4"/>
    <x v="6"/>
    <x v="2"/>
    <n v="75"/>
    <n v="0"/>
  </r>
  <r>
    <n v="3814"/>
    <x v="12"/>
    <x v="1"/>
    <s v="Pants"/>
    <x v="0"/>
    <n v="89"/>
    <s v="Georgia"/>
    <s v="M"/>
    <s v="Orange"/>
    <x v="2"/>
    <x v="7"/>
    <s v="No"/>
    <x v="0"/>
    <x v="1"/>
    <x v="1"/>
    <x v="4"/>
    <x v="0"/>
    <x v="4"/>
    <x v="0"/>
    <n v="89"/>
    <n v="0"/>
  </r>
  <r>
    <n v="3815"/>
    <x v="4"/>
    <x v="1"/>
    <s v="Dress"/>
    <x v="0"/>
    <n v="95"/>
    <s v="Michigan"/>
    <s v="M"/>
    <s v="Orange"/>
    <x v="0"/>
    <x v="19"/>
    <s v="No"/>
    <x v="1"/>
    <x v="1"/>
    <x v="1"/>
    <x v="8"/>
    <x v="4"/>
    <x v="6"/>
    <x v="2"/>
    <n v="95"/>
    <n v="0"/>
  </r>
  <r>
    <n v="3816"/>
    <x v="45"/>
    <x v="1"/>
    <s v="Hat"/>
    <x v="3"/>
    <n v="44"/>
    <s v="Maine"/>
    <s v="M"/>
    <s v="Brown"/>
    <x v="3"/>
    <x v="24"/>
    <s v="No"/>
    <x v="0"/>
    <x v="1"/>
    <x v="1"/>
    <x v="45"/>
    <x v="0"/>
    <x v="0"/>
    <x v="2"/>
    <n v="44"/>
    <n v="0"/>
  </r>
  <r>
    <n v="3817"/>
    <x v="26"/>
    <x v="1"/>
    <s v="Coat"/>
    <x v="2"/>
    <n v="86"/>
    <s v="Maryland"/>
    <s v="S"/>
    <s v="Silver"/>
    <x v="2"/>
    <x v="24"/>
    <s v="No"/>
    <x v="5"/>
    <x v="1"/>
    <x v="1"/>
    <x v="24"/>
    <x v="2"/>
    <x v="0"/>
    <x v="2"/>
    <n v="86"/>
    <n v="0"/>
  </r>
  <r>
    <n v="3818"/>
    <x v="17"/>
    <x v="1"/>
    <s v="Scarf"/>
    <x v="3"/>
    <n v="91"/>
    <s v="Missouri"/>
    <s v="M"/>
    <s v="Magenta"/>
    <x v="3"/>
    <x v="5"/>
    <s v="No"/>
    <x v="0"/>
    <x v="1"/>
    <x v="1"/>
    <x v="19"/>
    <x v="3"/>
    <x v="2"/>
    <x v="0"/>
    <n v="91"/>
    <n v="0"/>
  </r>
  <r>
    <n v="3819"/>
    <x v="27"/>
    <x v="1"/>
    <s v="Sneakers"/>
    <x v="1"/>
    <n v="41"/>
    <s v="Oregon"/>
    <s v="XL"/>
    <s v="Indigo"/>
    <x v="0"/>
    <x v="22"/>
    <s v="No"/>
    <x v="1"/>
    <x v="1"/>
    <x v="1"/>
    <x v="38"/>
    <x v="1"/>
    <x v="5"/>
    <x v="0"/>
    <n v="41"/>
    <n v="0"/>
  </r>
  <r>
    <n v="3820"/>
    <x v="24"/>
    <x v="1"/>
    <s v="Pants"/>
    <x v="0"/>
    <n v="99"/>
    <s v="Arkansas"/>
    <s v="S"/>
    <s v="Gold"/>
    <x v="1"/>
    <x v="3"/>
    <s v="No"/>
    <x v="0"/>
    <x v="1"/>
    <x v="1"/>
    <x v="24"/>
    <x v="1"/>
    <x v="3"/>
    <x v="2"/>
    <n v="99"/>
    <n v="0"/>
  </r>
  <r>
    <n v="3821"/>
    <x v="50"/>
    <x v="1"/>
    <s v="Belt"/>
    <x v="3"/>
    <n v="65"/>
    <s v="New Hampshire"/>
    <s v="M"/>
    <s v="Purple"/>
    <x v="0"/>
    <x v="16"/>
    <s v="No"/>
    <x v="3"/>
    <x v="1"/>
    <x v="1"/>
    <x v="11"/>
    <x v="5"/>
    <x v="3"/>
    <x v="2"/>
    <n v="65"/>
    <n v="0"/>
  </r>
  <r>
    <n v="3822"/>
    <x v="30"/>
    <x v="1"/>
    <s v="Sneakers"/>
    <x v="1"/>
    <n v="48"/>
    <s v="Oregon"/>
    <s v="M"/>
    <s v="Gold"/>
    <x v="2"/>
    <x v="12"/>
    <s v="No"/>
    <x v="1"/>
    <x v="1"/>
    <x v="1"/>
    <x v="11"/>
    <x v="2"/>
    <x v="6"/>
    <x v="1"/>
    <n v="48"/>
    <n v="0"/>
  </r>
  <r>
    <n v="3823"/>
    <x v="27"/>
    <x v="1"/>
    <s v="Hat"/>
    <x v="3"/>
    <n v="41"/>
    <s v="Kansas"/>
    <s v="S"/>
    <s v="Gold"/>
    <x v="1"/>
    <x v="4"/>
    <s v="No"/>
    <x v="1"/>
    <x v="1"/>
    <x v="1"/>
    <x v="14"/>
    <x v="3"/>
    <x v="6"/>
    <x v="0"/>
    <n v="41"/>
    <n v="0"/>
  </r>
  <r>
    <n v="3824"/>
    <x v="2"/>
    <x v="1"/>
    <s v="Shirt"/>
    <x v="0"/>
    <n v="42"/>
    <s v="California"/>
    <s v="M"/>
    <s v="Gold"/>
    <x v="2"/>
    <x v="21"/>
    <s v="No"/>
    <x v="3"/>
    <x v="1"/>
    <x v="1"/>
    <x v="46"/>
    <x v="4"/>
    <x v="1"/>
    <x v="2"/>
    <n v="42"/>
    <n v="0"/>
  </r>
  <r>
    <n v="3825"/>
    <x v="22"/>
    <x v="1"/>
    <s v="Shorts"/>
    <x v="0"/>
    <n v="26"/>
    <s v="Georgia"/>
    <s v="M"/>
    <s v="Olive"/>
    <x v="2"/>
    <x v="17"/>
    <s v="No"/>
    <x v="1"/>
    <x v="1"/>
    <x v="1"/>
    <x v="4"/>
    <x v="2"/>
    <x v="3"/>
    <x v="0"/>
    <n v="26"/>
    <n v="0"/>
  </r>
  <r>
    <n v="3826"/>
    <x v="34"/>
    <x v="1"/>
    <s v="Shorts"/>
    <x v="0"/>
    <n v="35"/>
    <s v="Hawaii"/>
    <s v="L"/>
    <s v="Green"/>
    <x v="3"/>
    <x v="7"/>
    <s v="No"/>
    <x v="0"/>
    <x v="1"/>
    <x v="1"/>
    <x v="39"/>
    <x v="5"/>
    <x v="0"/>
    <x v="2"/>
    <n v="35"/>
    <n v="0"/>
  </r>
  <r>
    <n v="3827"/>
    <x v="2"/>
    <x v="1"/>
    <s v="Jacket"/>
    <x v="2"/>
    <n v="31"/>
    <s v="Montana"/>
    <s v="M"/>
    <s v="Gray"/>
    <x v="2"/>
    <x v="17"/>
    <s v="No"/>
    <x v="0"/>
    <x v="1"/>
    <x v="1"/>
    <x v="29"/>
    <x v="4"/>
    <x v="2"/>
    <x v="2"/>
    <n v="31"/>
    <n v="0"/>
  </r>
  <r>
    <n v="3828"/>
    <x v="46"/>
    <x v="1"/>
    <s v="Jewelry"/>
    <x v="3"/>
    <n v="73"/>
    <s v="Montana"/>
    <s v="M"/>
    <s v="Red"/>
    <x v="2"/>
    <x v="7"/>
    <s v="No"/>
    <x v="3"/>
    <x v="1"/>
    <x v="1"/>
    <x v="39"/>
    <x v="1"/>
    <x v="0"/>
    <x v="0"/>
    <n v="73"/>
    <n v="0"/>
  </r>
  <r>
    <n v="3829"/>
    <x v="32"/>
    <x v="1"/>
    <s v="Blouse"/>
    <x v="0"/>
    <n v="82"/>
    <s v="Mississippi"/>
    <s v="M"/>
    <s v="Charcoal"/>
    <x v="1"/>
    <x v="23"/>
    <s v="No"/>
    <x v="1"/>
    <x v="1"/>
    <x v="1"/>
    <x v="6"/>
    <x v="1"/>
    <x v="1"/>
    <x v="2"/>
    <n v="82"/>
    <n v="0"/>
  </r>
  <r>
    <n v="3830"/>
    <x v="28"/>
    <x v="1"/>
    <s v="Pants"/>
    <x v="0"/>
    <n v="32"/>
    <s v="Washington"/>
    <s v="M"/>
    <s v="Indigo"/>
    <x v="1"/>
    <x v="3"/>
    <s v="No"/>
    <x v="1"/>
    <x v="1"/>
    <x v="1"/>
    <x v="18"/>
    <x v="5"/>
    <x v="0"/>
    <x v="0"/>
    <n v="32"/>
    <n v="0"/>
  </r>
  <r>
    <n v="3831"/>
    <x v="40"/>
    <x v="1"/>
    <s v="Hat"/>
    <x v="3"/>
    <n v="27"/>
    <s v="Pennsylvania"/>
    <s v="M"/>
    <s v="Indigo"/>
    <x v="2"/>
    <x v="21"/>
    <s v="No"/>
    <x v="4"/>
    <x v="1"/>
    <x v="1"/>
    <x v="42"/>
    <x v="4"/>
    <x v="6"/>
    <x v="1"/>
    <n v="27"/>
    <n v="0"/>
  </r>
  <r>
    <n v="3832"/>
    <x v="24"/>
    <x v="1"/>
    <s v="Backpack"/>
    <x v="3"/>
    <n v="86"/>
    <s v="Nevada"/>
    <s v="L"/>
    <s v="Silver"/>
    <x v="1"/>
    <x v="17"/>
    <s v="No"/>
    <x v="2"/>
    <x v="1"/>
    <x v="1"/>
    <x v="20"/>
    <x v="5"/>
    <x v="6"/>
    <x v="2"/>
    <n v="86"/>
    <n v="0"/>
  </r>
  <r>
    <n v="3833"/>
    <x v="14"/>
    <x v="1"/>
    <s v="Boots"/>
    <x v="1"/>
    <n v="38"/>
    <s v="Kansas"/>
    <s v="XL"/>
    <s v="Purple"/>
    <x v="0"/>
    <x v="6"/>
    <s v="No"/>
    <x v="4"/>
    <x v="1"/>
    <x v="1"/>
    <x v="46"/>
    <x v="1"/>
    <x v="1"/>
    <x v="0"/>
    <n v="38"/>
    <n v="0"/>
  </r>
  <r>
    <n v="3834"/>
    <x v="42"/>
    <x v="1"/>
    <s v="Jacket"/>
    <x v="2"/>
    <n v="93"/>
    <s v="Arizona"/>
    <s v="L"/>
    <s v="Gray"/>
    <x v="2"/>
    <x v="12"/>
    <s v="No"/>
    <x v="1"/>
    <x v="1"/>
    <x v="1"/>
    <x v="14"/>
    <x v="3"/>
    <x v="6"/>
    <x v="2"/>
    <n v="93"/>
    <n v="0"/>
  </r>
  <r>
    <n v="3835"/>
    <x v="49"/>
    <x v="1"/>
    <s v="Hoodie"/>
    <x v="0"/>
    <n v="59"/>
    <s v="Tennessee"/>
    <s v="M"/>
    <s v="Magenta"/>
    <x v="0"/>
    <x v="7"/>
    <s v="No"/>
    <x v="4"/>
    <x v="1"/>
    <x v="1"/>
    <x v="14"/>
    <x v="1"/>
    <x v="3"/>
    <x v="2"/>
    <n v="59"/>
    <n v="0"/>
  </r>
  <r>
    <n v="3836"/>
    <x v="44"/>
    <x v="1"/>
    <s v="Sandals"/>
    <x v="1"/>
    <n v="58"/>
    <s v="Pennsylvania"/>
    <s v="L"/>
    <s v="Silver"/>
    <x v="0"/>
    <x v="5"/>
    <s v="No"/>
    <x v="0"/>
    <x v="1"/>
    <x v="1"/>
    <x v="40"/>
    <x v="3"/>
    <x v="4"/>
    <x v="0"/>
    <n v="58"/>
    <n v="0"/>
  </r>
  <r>
    <n v="3837"/>
    <x v="46"/>
    <x v="1"/>
    <s v="Skirt"/>
    <x v="0"/>
    <n v="84"/>
    <s v="Alaska"/>
    <s v="M"/>
    <s v="Violet"/>
    <x v="1"/>
    <x v="25"/>
    <s v="No"/>
    <x v="1"/>
    <x v="1"/>
    <x v="1"/>
    <x v="25"/>
    <x v="3"/>
    <x v="0"/>
    <x v="0"/>
    <n v="84"/>
    <n v="0"/>
  </r>
  <r>
    <n v="3838"/>
    <x v="4"/>
    <x v="1"/>
    <s v="Hoodie"/>
    <x v="0"/>
    <n v="100"/>
    <s v="New Mexico"/>
    <s v="M"/>
    <s v="Green"/>
    <x v="1"/>
    <x v="6"/>
    <s v="No"/>
    <x v="1"/>
    <x v="1"/>
    <x v="1"/>
    <x v="42"/>
    <x v="4"/>
    <x v="0"/>
    <x v="2"/>
    <n v="100"/>
    <n v="0"/>
  </r>
  <r>
    <n v="3839"/>
    <x v="36"/>
    <x v="1"/>
    <s v="Dress"/>
    <x v="0"/>
    <n v="25"/>
    <s v="Rhode Island"/>
    <s v="L"/>
    <s v="Green"/>
    <x v="2"/>
    <x v="19"/>
    <s v="No"/>
    <x v="0"/>
    <x v="1"/>
    <x v="1"/>
    <x v="37"/>
    <x v="0"/>
    <x v="6"/>
    <x v="2"/>
    <n v="25"/>
    <n v="0"/>
  </r>
  <r>
    <n v="3840"/>
    <x v="17"/>
    <x v="1"/>
    <s v="Sandals"/>
    <x v="1"/>
    <n v="29"/>
    <s v="Connecticut"/>
    <s v="M"/>
    <s v="Peach"/>
    <x v="1"/>
    <x v="20"/>
    <s v="No"/>
    <x v="1"/>
    <x v="1"/>
    <x v="1"/>
    <x v="0"/>
    <x v="0"/>
    <x v="3"/>
    <x v="0"/>
    <n v="29"/>
    <n v="0"/>
  </r>
  <r>
    <n v="3841"/>
    <x v="11"/>
    <x v="1"/>
    <s v="Jeans"/>
    <x v="0"/>
    <n v="42"/>
    <s v="Idaho"/>
    <s v="M"/>
    <s v="Turquoise"/>
    <x v="1"/>
    <x v="18"/>
    <s v="No"/>
    <x v="0"/>
    <x v="1"/>
    <x v="1"/>
    <x v="36"/>
    <x v="0"/>
    <x v="0"/>
    <x v="2"/>
    <n v="42"/>
    <n v="0"/>
  </r>
  <r>
    <n v="3842"/>
    <x v="33"/>
    <x v="1"/>
    <s v="Jeans"/>
    <x v="0"/>
    <n v="57"/>
    <s v="Mississippi"/>
    <s v="L"/>
    <s v="Pink"/>
    <x v="3"/>
    <x v="19"/>
    <s v="No"/>
    <x v="4"/>
    <x v="1"/>
    <x v="1"/>
    <x v="6"/>
    <x v="4"/>
    <x v="5"/>
    <x v="0"/>
    <n v="57"/>
    <n v="0"/>
  </r>
  <r>
    <n v="3843"/>
    <x v="25"/>
    <x v="1"/>
    <s v="Jacket"/>
    <x v="2"/>
    <n v="84"/>
    <s v="Colorado"/>
    <s v="L"/>
    <s v="Lavender"/>
    <x v="0"/>
    <x v="19"/>
    <s v="No"/>
    <x v="2"/>
    <x v="1"/>
    <x v="1"/>
    <x v="38"/>
    <x v="5"/>
    <x v="5"/>
    <x v="2"/>
    <n v="84"/>
    <n v="0"/>
  </r>
  <r>
    <n v="3844"/>
    <x v="14"/>
    <x v="1"/>
    <s v="Hat"/>
    <x v="3"/>
    <n v="71"/>
    <s v="Georgia"/>
    <s v="L"/>
    <s v="Silver"/>
    <x v="0"/>
    <x v="17"/>
    <s v="No"/>
    <x v="1"/>
    <x v="1"/>
    <x v="1"/>
    <x v="26"/>
    <x v="0"/>
    <x v="6"/>
    <x v="0"/>
    <n v="71"/>
    <n v="0"/>
  </r>
  <r>
    <n v="3845"/>
    <x v="11"/>
    <x v="1"/>
    <s v="Shorts"/>
    <x v="0"/>
    <n v="87"/>
    <s v="Montana"/>
    <s v="S"/>
    <s v="Cyan"/>
    <x v="3"/>
    <x v="16"/>
    <s v="No"/>
    <x v="2"/>
    <x v="1"/>
    <x v="1"/>
    <x v="19"/>
    <x v="0"/>
    <x v="3"/>
    <x v="2"/>
    <n v="87"/>
    <n v="0"/>
  </r>
  <r>
    <n v="3846"/>
    <x v="44"/>
    <x v="1"/>
    <s v="Sweater"/>
    <x v="0"/>
    <n v="52"/>
    <s v="California"/>
    <s v="M"/>
    <s v="Green"/>
    <x v="0"/>
    <x v="8"/>
    <s v="No"/>
    <x v="3"/>
    <x v="1"/>
    <x v="1"/>
    <x v="15"/>
    <x v="0"/>
    <x v="2"/>
    <x v="0"/>
    <n v="52"/>
    <n v="0"/>
  </r>
  <r>
    <n v="3847"/>
    <x v="9"/>
    <x v="1"/>
    <s v="Blouse"/>
    <x v="0"/>
    <n v="58"/>
    <s v="Pennsylvania"/>
    <s v="L"/>
    <s v="Orange"/>
    <x v="2"/>
    <x v="17"/>
    <s v="No"/>
    <x v="0"/>
    <x v="1"/>
    <x v="1"/>
    <x v="19"/>
    <x v="3"/>
    <x v="6"/>
    <x v="0"/>
    <n v="58"/>
    <n v="0"/>
  </r>
  <r>
    <n v="3848"/>
    <x v="52"/>
    <x v="1"/>
    <s v="Sweater"/>
    <x v="0"/>
    <n v="34"/>
    <s v="Delaware"/>
    <s v="S"/>
    <s v="Blue"/>
    <x v="3"/>
    <x v="4"/>
    <s v="No"/>
    <x v="4"/>
    <x v="1"/>
    <x v="1"/>
    <x v="4"/>
    <x v="3"/>
    <x v="0"/>
    <x v="0"/>
    <n v="34"/>
    <n v="0"/>
  </r>
  <r>
    <n v="3849"/>
    <x v="40"/>
    <x v="1"/>
    <s v="Jewelry"/>
    <x v="3"/>
    <n v="60"/>
    <s v="New Hampshire"/>
    <s v="M"/>
    <s v="Magenta"/>
    <x v="0"/>
    <x v="21"/>
    <s v="No"/>
    <x v="2"/>
    <x v="1"/>
    <x v="1"/>
    <x v="30"/>
    <x v="1"/>
    <x v="6"/>
    <x v="1"/>
    <n v="60"/>
    <n v="0"/>
  </r>
  <r>
    <n v="3850"/>
    <x v="5"/>
    <x v="1"/>
    <s v="Hoodie"/>
    <x v="0"/>
    <n v="68"/>
    <s v="Florida"/>
    <s v="S"/>
    <s v="Cyan"/>
    <x v="0"/>
    <x v="5"/>
    <s v="No"/>
    <x v="0"/>
    <x v="1"/>
    <x v="1"/>
    <x v="13"/>
    <x v="3"/>
    <x v="0"/>
    <x v="2"/>
    <n v="68"/>
    <n v="0"/>
  </r>
  <r>
    <n v="3851"/>
    <x v="7"/>
    <x v="1"/>
    <s v="Jewelry"/>
    <x v="3"/>
    <n v="74"/>
    <s v="Mississippi"/>
    <s v="L"/>
    <s v="Indigo"/>
    <x v="2"/>
    <x v="14"/>
    <s v="No"/>
    <x v="4"/>
    <x v="1"/>
    <x v="1"/>
    <x v="29"/>
    <x v="5"/>
    <x v="6"/>
    <x v="2"/>
    <n v="74"/>
    <n v="0"/>
  </r>
  <r>
    <n v="3852"/>
    <x v="2"/>
    <x v="1"/>
    <s v="Scarf"/>
    <x v="3"/>
    <n v="83"/>
    <s v="Montana"/>
    <s v="M"/>
    <s v="Pink"/>
    <x v="2"/>
    <x v="20"/>
    <s v="No"/>
    <x v="1"/>
    <x v="1"/>
    <x v="1"/>
    <x v="37"/>
    <x v="5"/>
    <x v="2"/>
    <x v="2"/>
    <n v="83"/>
    <n v="0"/>
  </r>
  <r>
    <n v="3853"/>
    <x v="13"/>
    <x v="1"/>
    <s v="Hat"/>
    <x v="3"/>
    <n v="79"/>
    <s v="Mississippi"/>
    <s v="M"/>
    <s v="Peach"/>
    <x v="3"/>
    <x v="17"/>
    <s v="No"/>
    <x v="4"/>
    <x v="1"/>
    <x v="1"/>
    <x v="5"/>
    <x v="3"/>
    <x v="1"/>
    <x v="0"/>
    <n v="79"/>
    <n v="0"/>
  </r>
  <r>
    <n v="3854"/>
    <x v="12"/>
    <x v="1"/>
    <s v="Sunglasses"/>
    <x v="3"/>
    <n v="76"/>
    <s v="Tennessee"/>
    <s v="M"/>
    <s v="Lavender"/>
    <x v="3"/>
    <x v="17"/>
    <s v="No"/>
    <x v="5"/>
    <x v="1"/>
    <x v="1"/>
    <x v="3"/>
    <x v="5"/>
    <x v="4"/>
    <x v="0"/>
    <n v="76"/>
    <n v="0"/>
  </r>
  <r>
    <n v="3855"/>
    <x v="9"/>
    <x v="1"/>
    <s v="T-shirt"/>
    <x v="0"/>
    <n v="20"/>
    <s v="Florida"/>
    <s v="M"/>
    <s v="Black"/>
    <x v="1"/>
    <x v="19"/>
    <s v="No"/>
    <x v="1"/>
    <x v="1"/>
    <x v="1"/>
    <x v="7"/>
    <x v="0"/>
    <x v="2"/>
    <x v="0"/>
    <n v="20"/>
    <n v="0"/>
  </r>
  <r>
    <n v="3856"/>
    <x v="37"/>
    <x v="1"/>
    <s v="Shirt"/>
    <x v="0"/>
    <n v="61"/>
    <s v="Illinois"/>
    <s v="XL"/>
    <s v="Lavender"/>
    <x v="2"/>
    <x v="14"/>
    <s v="No"/>
    <x v="2"/>
    <x v="1"/>
    <x v="1"/>
    <x v="13"/>
    <x v="1"/>
    <x v="3"/>
    <x v="2"/>
    <n v="61"/>
    <n v="0"/>
  </r>
  <r>
    <n v="3857"/>
    <x v="31"/>
    <x v="1"/>
    <s v="Sandals"/>
    <x v="1"/>
    <n v="78"/>
    <s v="Virginia"/>
    <s v="S"/>
    <s v="Brown"/>
    <x v="2"/>
    <x v="25"/>
    <s v="No"/>
    <x v="1"/>
    <x v="1"/>
    <x v="1"/>
    <x v="6"/>
    <x v="5"/>
    <x v="3"/>
    <x v="2"/>
    <n v="78"/>
    <n v="0"/>
  </r>
  <r>
    <n v="3858"/>
    <x v="32"/>
    <x v="1"/>
    <s v="Hat"/>
    <x v="3"/>
    <n v="21"/>
    <s v="Texas"/>
    <s v="S"/>
    <s v="Yellow"/>
    <x v="2"/>
    <x v="0"/>
    <s v="No"/>
    <x v="5"/>
    <x v="1"/>
    <x v="1"/>
    <x v="32"/>
    <x v="2"/>
    <x v="6"/>
    <x v="2"/>
    <n v="21"/>
    <n v="0"/>
  </r>
  <r>
    <n v="3859"/>
    <x v="11"/>
    <x v="1"/>
    <s v="T-shirt"/>
    <x v="0"/>
    <n v="77"/>
    <s v="Missouri"/>
    <s v="M"/>
    <s v="Olive"/>
    <x v="0"/>
    <x v="1"/>
    <s v="No"/>
    <x v="5"/>
    <x v="1"/>
    <x v="1"/>
    <x v="8"/>
    <x v="2"/>
    <x v="3"/>
    <x v="2"/>
    <n v="77"/>
    <n v="0"/>
  </r>
  <r>
    <n v="3860"/>
    <x v="13"/>
    <x v="1"/>
    <s v="Shorts"/>
    <x v="0"/>
    <n v="88"/>
    <s v="Mississippi"/>
    <s v="S"/>
    <s v="Blue"/>
    <x v="3"/>
    <x v="21"/>
    <s v="No"/>
    <x v="4"/>
    <x v="1"/>
    <x v="1"/>
    <x v="39"/>
    <x v="4"/>
    <x v="4"/>
    <x v="0"/>
    <n v="88"/>
    <n v="0"/>
  </r>
  <r>
    <n v="3861"/>
    <x v="9"/>
    <x v="1"/>
    <s v="Sunglasses"/>
    <x v="3"/>
    <n v="64"/>
    <s v="Pennsylvania"/>
    <s v="M"/>
    <s v="Turquoise"/>
    <x v="2"/>
    <x v="14"/>
    <s v="No"/>
    <x v="2"/>
    <x v="1"/>
    <x v="1"/>
    <x v="12"/>
    <x v="1"/>
    <x v="2"/>
    <x v="0"/>
    <n v="64"/>
    <n v="0"/>
  </r>
  <r>
    <n v="3862"/>
    <x v="14"/>
    <x v="1"/>
    <s v="Jacket"/>
    <x v="2"/>
    <n v="57"/>
    <s v="Wyoming"/>
    <s v="M"/>
    <s v="Yellow"/>
    <x v="1"/>
    <x v="8"/>
    <s v="No"/>
    <x v="3"/>
    <x v="1"/>
    <x v="1"/>
    <x v="3"/>
    <x v="2"/>
    <x v="5"/>
    <x v="0"/>
    <n v="57"/>
    <n v="0"/>
  </r>
  <r>
    <n v="3863"/>
    <x v="19"/>
    <x v="1"/>
    <s v="Shirt"/>
    <x v="0"/>
    <n v="49"/>
    <s v="Idaho"/>
    <s v="L"/>
    <s v="Turquoise"/>
    <x v="0"/>
    <x v="11"/>
    <s v="No"/>
    <x v="2"/>
    <x v="1"/>
    <x v="1"/>
    <x v="44"/>
    <x v="0"/>
    <x v="5"/>
    <x v="0"/>
    <n v="49"/>
    <n v="0"/>
  </r>
  <r>
    <n v="3864"/>
    <x v="37"/>
    <x v="1"/>
    <s v="Scarf"/>
    <x v="3"/>
    <n v="35"/>
    <s v="New Hampshire"/>
    <s v="M"/>
    <s v="Orange"/>
    <x v="2"/>
    <x v="13"/>
    <s v="No"/>
    <x v="1"/>
    <x v="1"/>
    <x v="1"/>
    <x v="40"/>
    <x v="1"/>
    <x v="0"/>
    <x v="2"/>
    <n v="35"/>
    <n v="0"/>
  </r>
  <r>
    <n v="3865"/>
    <x v="0"/>
    <x v="1"/>
    <s v="T-shirt"/>
    <x v="0"/>
    <n v="99"/>
    <s v="Wyoming"/>
    <s v="S"/>
    <s v="Blue"/>
    <x v="0"/>
    <x v="8"/>
    <s v="No"/>
    <x v="0"/>
    <x v="1"/>
    <x v="1"/>
    <x v="43"/>
    <x v="5"/>
    <x v="0"/>
    <x v="0"/>
    <n v="99"/>
    <n v="0"/>
  </r>
  <r>
    <n v="3866"/>
    <x v="15"/>
    <x v="1"/>
    <s v="Shorts"/>
    <x v="0"/>
    <n v="42"/>
    <s v="Nebraska"/>
    <s v="M"/>
    <s v="Olive"/>
    <x v="1"/>
    <x v="19"/>
    <s v="No"/>
    <x v="5"/>
    <x v="1"/>
    <x v="1"/>
    <x v="40"/>
    <x v="1"/>
    <x v="6"/>
    <x v="1"/>
    <n v="42"/>
    <n v="0"/>
  </r>
  <r>
    <n v="3867"/>
    <x v="44"/>
    <x v="1"/>
    <s v="Hat"/>
    <x v="3"/>
    <n v="32"/>
    <s v="Alaska"/>
    <s v="M"/>
    <s v="Beige"/>
    <x v="0"/>
    <x v="13"/>
    <s v="No"/>
    <x v="4"/>
    <x v="1"/>
    <x v="1"/>
    <x v="42"/>
    <x v="2"/>
    <x v="0"/>
    <x v="0"/>
    <n v="32"/>
    <n v="0"/>
  </r>
  <r>
    <n v="3868"/>
    <x v="5"/>
    <x v="1"/>
    <s v="Jacket"/>
    <x v="2"/>
    <n v="21"/>
    <s v="Maryland"/>
    <s v="L"/>
    <s v="Lavender"/>
    <x v="2"/>
    <x v="2"/>
    <s v="No"/>
    <x v="3"/>
    <x v="1"/>
    <x v="1"/>
    <x v="40"/>
    <x v="2"/>
    <x v="5"/>
    <x v="2"/>
    <n v="21"/>
    <n v="0"/>
  </r>
  <r>
    <n v="3869"/>
    <x v="20"/>
    <x v="1"/>
    <s v="Dress"/>
    <x v="0"/>
    <n v="29"/>
    <s v="Maryland"/>
    <s v="XL"/>
    <s v="Magenta"/>
    <x v="0"/>
    <x v="13"/>
    <s v="No"/>
    <x v="4"/>
    <x v="1"/>
    <x v="1"/>
    <x v="44"/>
    <x v="1"/>
    <x v="2"/>
    <x v="1"/>
    <n v="29"/>
    <n v="0"/>
  </r>
  <r>
    <n v="3870"/>
    <x v="8"/>
    <x v="1"/>
    <s v="Coat"/>
    <x v="2"/>
    <n v="64"/>
    <s v="Arizona"/>
    <s v="L"/>
    <s v="Cyan"/>
    <x v="1"/>
    <x v="22"/>
    <s v="No"/>
    <x v="1"/>
    <x v="1"/>
    <x v="1"/>
    <x v="40"/>
    <x v="4"/>
    <x v="2"/>
    <x v="2"/>
    <n v="64"/>
    <n v="0"/>
  </r>
  <r>
    <n v="3871"/>
    <x v="12"/>
    <x v="1"/>
    <s v="Sandals"/>
    <x v="1"/>
    <n v="46"/>
    <s v="Ohio"/>
    <s v="L"/>
    <s v="Lavender"/>
    <x v="3"/>
    <x v="4"/>
    <s v="No"/>
    <x v="2"/>
    <x v="1"/>
    <x v="1"/>
    <x v="5"/>
    <x v="1"/>
    <x v="6"/>
    <x v="0"/>
    <n v="46"/>
    <n v="0"/>
  </r>
  <r>
    <n v="3872"/>
    <x v="0"/>
    <x v="1"/>
    <s v="T-shirt"/>
    <x v="0"/>
    <n v="97"/>
    <s v="Minnesota"/>
    <s v="M"/>
    <s v="Black"/>
    <x v="3"/>
    <x v="7"/>
    <s v="No"/>
    <x v="4"/>
    <x v="1"/>
    <x v="1"/>
    <x v="41"/>
    <x v="4"/>
    <x v="6"/>
    <x v="0"/>
    <n v="97"/>
    <n v="0"/>
  </r>
  <r>
    <n v="3873"/>
    <x v="38"/>
    <x v="1"/>
    <s v="Jacket"/>
    <x v="2"/>
    <n v="94"/>
    <s v="New Hampshire"/>
    <s v="M"/>
    <s v="Green"/>
    <x v="1"/>
    <x v="24"/>
    <s v="No"/>
    <x v="3"/>
    <x v="1"/>
    <x v="1"/>
    <x v="35"/>
    <x v="1"/>
    <x v="5"/>
    <x v="2"/>
    <n v="94"/>
    <n v="0"/>
  </r>
  <r>
    <n v="3874"/>
    <x v="32"/>
    <x v="1"/>
    <s v="Sandals"/>
    <x v="1"/>
    <n v="43"/>
    <s v="Louisiana"/>
    <s v="L"/>
    <s v="Silver"/>
    <x v="2"/>
    <x v="17"/>
    <s v="No"/>
    <x v="3"/>
    <x v="1"/>
    <x v="1"/>
    <x v="17"/>
    <x v="2"/>
    <x v="1"/>
    <x v="2"/>
    <n v="43"/>
    <n v="0"/>
  </r>
  <r>
    <n v="3875"/>
    <x v="27"/>
    <x v="1"/>
    <s v="Sweater"/>
    <x v="0"/>
    <n v="54"/>
    <s v="Nevada"/>
    <s v="XL"/>
    <s v="Beige"/>
    <x v="2"/>
    <x v="20"/>
    <s v="No"/>
    <x v="4"/>
    <x v="1"/>
    <x v="1"/>
    <x v="42"/>
    <x v="2"/>
    <x v="4"/>
    <x v="0"/>
    <n v="54"/>
    <n v="0"/>
  </r>
  <r>
    <n v="3876"/>
    <x v="6"/>
    <x v="1"/>
    <s v="Hat"/>
    <x v="3"/>
    <n v="51"/>
    <s v="New Hampshire"/>
    <s v="M"/>
    <s v="Pink"/>
    <x v="0"/>
    <x v="13"/>
    <s v="No"/>
    <x v="4"/>
    <x v="1"/>
    <x v="1"/>
    <x v="33"/>
    <x v="2"/>
    <x v="2"/>
    <x v="0"/>
    <n v="51"/>
    <n v="0"/>
  </r>
  <r>
    <n v="3877"/>
    <x v="52"/>
    <x v="1"/>
    <s v="Shoes"/>
    <x v="1"/>
    <n v="85"/>
    <s v="Wisconsin"/>
    <s v="S"/>
    <s v="Cyan"/>
    <x v="3"/>
    <x v="5"/>
    <s v="No"/>
    <x v="4"/>
    <x v="1"/>
    <x v="1"/>
    <x v="22"/>
    <x v="1"/>
    <x v="2"/>
    <x v="0"/>
    <n v="85"/>
    <n v="0"/>
  </r>
  <r>
    <n v="3878"/>
    <x v="48"/>
    <x v="1"/>
    <s v="Hoodie"/>
    <x v="0"/>
    <n v="96"/>
    <s v="Nevada"/>
    <s v="M"/>
    <s v="Olive"/>
    <x v="1"/>
    <x v="19"/>
    <s v="No"/>
    <x v="2"/>
    <x v="1"/>
    <x v="1"/>
    <x v="15"/>
    <x v="5"/>
    <x v="5"/>
    <x v="2"/>
    <n v="96"/>
    <n v="0"/>
  </r>
  <r>
    <n v="3879"/>
    <x v="52"/>
    <x v="1"/>
    <s v="Hat"/>
    <x v="3"/>
    <n v="42"/>
    <s v="South Carolina"/>
    <s v="M"/>
    <s v="Pink"/>
    <x v="2"/>
    <x v="23"/>
    <s v="No"/>
    <x v="4"/>
    <x v="1"/>
    <x v="1"/>
    <x v="37"/>
    <x v="2"/>
    <x v="2"/>
    <x v="0"/>
    <n v="42"/>
    <n v="0"/>
  </r>
  <r>
    <n v="3880"/>
    <x v="8"/>
    <x v="1"/>
    <s v="Skirt"/>
    <x v="0"/>
    <n v="63"/>
    <s v="Florida"/>
    <s v="L"/>
    <s v="Maroon"/>
    <x v="0"/>
    <x v="7"/>
    <s v="No"/>
    <x v="1"/>
    <x v="1"/>
    <x v="1"/>
    <x v="49"/>
    <x v="5"/>
    <x v="3"/>
    <x v="2"/>
    <n v="63"/>
    <n v="0"/>
  </r>
  <r>
    <n v="3881"/>
    <x v="32"/>
    <x v="1"/>
    <s v="Shirt"/>
    <x v="0"/>
    <n v="20"/>
    <s v="Massachusetts"/>
    <s v="M"/>
    <s v="Red"/>
    <x v="0"/>
    <x v="20"/>
    <s v="No"/>
    <x v="1"/>
    <x v="1"/>
    <x v="1"/>
    <x v="19"/>
    <x v="3"/>
    <x v="5"/>
    <x v="2"/>
    <n v="20"/>
    <n v="0"/>
  </r>
  <r>
    <n v="3882"/>
    <x v="19"/>
    <x v="1"/>
    <s v="Scarf"/>
    <x v="3"/>
    <n v="25"/>
    <s v="Georgia"/>
    <s v="L"/>
    <s v="Silver"/>
    <x v="1"/>
    <x v="11"/>
    <s v="No"/>
    <x v="4"/>
    <x v="1"/>
    <x v="1"/>
    <x v="14"/>
    <x v="5"/>
    <x v="1"/>
    <x v="0"/>
    <n v="25"/>
    <n v="0"/>
  </r>
  <r>
    <n v="3883"/>
    <x v="25"/>
    <x v="1"/>
    <s v="Pants"/>
    <x v="0"/>
    <n v="95"/>
    <s v="North Dakota"/>
    <s v="L"/>
    <s v="Blue"/>
    <x v="3"/>
    <x v="5"/>
    <s v="No"/>
    <x v="1"/>
    <x v="1"/>
    <x v="1"/>
    <x v="37"/>
    <x v="1"/>
    <x v="0"/>
    <x v="2"/>
    <n v="95"/>
    <n v="0"/>
  </r>
  <r>
    <n v="3884"/>
    <x v="50"/>
    <x v="1"/>
    <s v="Hat"/>
    <x v="3"/>
    <n v="38"/>
    <s v="North Dakota"/>
    <s v="XL"/>
    <s v="Purple"/>
    <x v="3"/>
    <x v="17"/>
    <s v="No"/>
    <x v="2"/>
    <x v="1"/>
    <x v="1"/>
    <x v="17"/>
    <x v="1"/>
    <x v="0"/>
    <x v="2"/>
    <n v="38"/>
    <n v="0"/>
  </r>
  <r>
    <n v="3885"/>
    <x v="36"/>
    <x v="1"/>
    <s v="Sandals"/>
    <x v="1"/>
    <n v="29"/>
    <s v="Maryland"/>
    <s v="M"/>
    <s v="Brown"/>
    <x v="3"/>
    <x v="8"/>
    <s v="No"/>
    <x v="0"/>
    <x v="1"/>
    <x v="1"/>
    <x v="35"/>
    <x v="3"/>
    <x v="1"/>
    <x v="2"/>
    <n v="29"/>
    <n v="0"/>
  </r>
  <r>
    <n v="3886"/>
    <x v="34"/>
    <x v="1"/>
    <s v="Socks"/>
    <x v="0"/>
    <n v="64"/>
    <s v="New Mexico"/>
    <s v="L"/>
    <s v="Purple"/>
    <x v="0"/>
    <x v="4"/>
    <s v="No"/>
    <x v="1"/>
    <x v="1"/>
    <x v="1"/>
    <x v="30"/>
    <x v="1"/>
    <x v="3"/>
    <x v="2"/>
    <n v="64"/>
    <n v="0"/>
  </r>
  <r>
    <n v="3887"/>
    <x v="43"/>
    <x v="1"/>
    <s v="Jewelry"/>
    <x v="3"/>
    <n v="92"/>
    <s v="Iowa"/>
    <s v="S"/>
    <s v="Brown"/>
    <x v="2"/>
    <x v="20"/>
    <s v="No"/>
    <x v="0"/>
    <x v="1"/>
    <x v="1"/>
    <x v="19"/>
    <x v="5"/>
    <x v="3"/>
    <x v="2"/>
    <n v="92"/>
    <n v="0"/>
  </r>
  <r>
    <n v="3888"/>
    <x v="37"/>
    <x v="1"/>
    <s v="Shirt"/>
    <x v="0"/>
    <n v="34"/>
    <s v="Kansas"/>
    <s v="M"/>
    <s v="Charcoal"/>
    <x v="1"/>
    <x v="2"/>
    <s v="No"/>
    <x v="0"/>
    <x v="1"/>
    <x v="1"/>
    <x v="43"/>
    <x v="2"/>
    <x v="3"/>
    <x v="2"/>
    <n v="34"/>
    <n v="0"/>
  </r>
  <r>
    <n v="3889"/>
    <x v="4"/>
    <x v="1"/>
    <s v="Sneakers"/>
    <x v="1"/>
    <n v="69"/>
    <s v="Virginia"/>
    <s v="M"/>
    <s v="Violet"/>
    <x v="1"/>
    <x v="23"/>
    <s v="No"/>
    <x v="3"/>
    <x v="1"/>
    <x v="1"/>
    <x v="0"/>
    <x v="0"/>
    <x v="4"/>
    <x v="2"/>
    <n v="69"/>
    <n v="0"/>
  </r>
  <r>
    <n v="3890"/>
    <x v="9"/>
    <x v="1"/>
    <s v="Dress"/>
    <x v="0"/>
    <n v="65"/>
    <s v="Alaska"/>
    <s v="S"/>
    <s v="Yellow"/>
    <x v="1"/>
    <x v="1"/>
    <s v="No"/>
    <x v="0"/>
    <x v="1"/>
    <x v="1"/>
    <x v="3"/>
    <x v="4"/>
    <x v="2"/>
    <x v="0"/>
    <n v="65"/>
    <n v="0"/>
  </r>
  <r>
    <n v="3891"/>
    <x v="25"/>
    <x v="1"/>
    <s v="Shirt"/>
    <x v="0"/>
    <n v="81"/>
    <s v="Nebraska"/>
    <s v="XL"/>
    <s v="Green"/>
    <x v="0"/>
    <x v="5"/>
    <s v="No"/>
    <x v="3"/>
    <x v="1"/>
    <x v="1"/>
    <x v="42"/>
    <x v="5"/>
    <x v="2"/>
    <x v="2"/>
    <n v="81"/>
    <n v="0"/>
  </r>
  <r>
    <n v="3892"/>
    <x v="24"/>
    <x v="1"/>
    <s v="Dress"/>
    <x v="0"/>
    <n v="30"/>
    <s v="Colorado"/>
    <s v="L"/>
    <s v="Peach"/>
    <x v="0"/>
    <x v="10"/>
    <s v="No"/>
    <x v="1"/>
    <x v="1"/>
    <x v="1"/>
    <x v="49"/>
    <x v="4"/>
    <x v="3"/>
    <x v="2"/>
    <n v="30"/>
    <n v="0"/>
  </r>
  <r>
    <n v="3893"/>
    <x v="25"/>
    <x v="1"/>
    <s v="Jewelry"/>
    <x v="3"/>
    <n v="86"/>
    <s v="Michigan"/>
    <s v="L"/>
    <s v="Indigo"/>
    <x v="2"/>
    <x v="1"/>
    <s v="No"/>
    <x v="3"/>
    <x v="1"/>
    <x v="1"/>
    <x v="36"/>
    <x v="3"/>
    <x v="0"/>
    <x v="2"/>
    <n v="86"/>
    <n v="0"/>
  </r>
  <r>
    <n v="3894"/>
    <x v="3"/>
    <x v="1"/>
    <s v="Hat"/>
    <x v="3"/>
    <n v="64"/>
    <s v="Massachusetts"/>
    <s v="L"/>
    <s v="White"/>
    <x v="3"/>
    <x v="13"/>
    <s v="No"/>
    <x v="5"/>
    <x v="1"/>
    <x v="1"/>
    <x v="32"/>
    <x v="4"/>
    <x v="4"/>
    <x v="1"/>
    <n v="64"/>
    <n v="0"/>
  </r>
  <r>
    <n v="3895"/>
    <x v="17"/>
    <x v="1"/>
    <s v="Skirt"/>
    <x v="0"/>
    <n v="78"/>
    <s v="Connecticut"/>
    <s v="L"/>
    <s v="White"/>
    <x v="1"/>
    <x v="20"/>
    <s v="No"/>
    <x v="4"/>
    <x v="1"/>
    <x v="1"/>
    <x v="12"/>
    <x v="2"/>
    <x v="6"/>
    <x v="0"/>
    <n v="78"/>
    <n v="0"/>
  </r>
  <r>
    <n v="3896"/>
    <x v="37"/>
    <x v="1"/>
    <s v="Hoodie"/>
    <x v="0"/>
    <n v="28"/>
    <s v="Virginia"/>
    <s v="L"/>
    <s v="Turquoise"/>
    <x v="2"/>
    <x v="19"/>
    <s v="No"/>
    <x v="4"/>
    <x v="1"/>
    <x v="1"/>
    <x v="18"/>
    <x v="0"/>
    <x v="1"/>
    <x v="2"/>
    <n v="28"/>
    <n v="0"/>
  </r>
  <r>
    <n v="3897"/>
    <x v="16"/>
    <x v="1"/>
    <s v="Backpack"/>
    <x v="3"/>
    <n v="49"/>
    <s v="Iowa"/>
    <s v="L"/>
    <s v="White"/>
    <x v="1"/>
    <x v="9"/>
    <s v="No"/>
    <x v="5"/>
    <x v="1"/>
    <x v="1"/>
    <x v="23"/>
    <x v="4"/>
    <x v="4"/>
    <x v="0"/>
    <n v="49"/>
    <n v="0"/>
  </r>
  <r>
    <n v="3898"/>
    <x v="5"/>
    <x v="1"/>
    <s v="Belt"/>
    <x v="3"/>
    <n v="33"/>
    <s v="New Jersey"/>
    <s v="L"/>
    <s v="Green"/>
    <x v="1"/>
    <x v="3"/>
    <s v="No"/>
    <x v="3"/>
    <x v="1"/>
    <x v="1"/>
    <x v="37"/>
    <x v="0"/>
    <x v="3"/>
    <x v="2"/>
    <n v="33"/>
    <n v="0"/>
  </r>
  <r>
    <n v="3899"/>
    <x v="42"/>
    <x v="1"/>
    <s v="Shoes"/>
    <x v="1"/>
    <n v="77"/>
    <s v="Minnesota"/>
    <s v="S"/>
    <s v="Brown"/>
    <x v="2"/>
    <x v="22"/>
    <s v="No"/>
    <x v="0"/>
    <x v="1"/>
    <x v="1"/>
    <x v="37"/>
    <x v="0"/>
    <x v="1"/>
    <x v="2"/>
    <n v="77"/>
    <n v="0"/>
  </r>
  <r>
    <n v="3900"/>
    <x v="16"/>
    <x v="1"/>
    <s v="Handbag"/>
    <x v="3"/>
    <n v="81"/>
    <s v="California"/>
    <s v="M"/>
    <s v="Beige"/>
    <x v="1"/>
    <x v="0"/>
    <s v="No"/>
    <x v="5"/>
    <x v="1"/>
    <x v="1"/>
    <x v="42"/>
    <x v="0"/>
    <x v="3"/>
    <x v="0"/>
    <n v="8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DB9FB-E75B-48C0-9B02-FC925857BA8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Review Rating">
  <location ref="A22:B49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">
        <item x="25"/>
        <item x="5"/>
        <item x="2"/>
        <item x="11"/>
        <item x="3"/>
        <item x="21"/>
        <item x="0"/>
        <item x="4"/>
        <item x="13"/>
        <item x="23"/>
        <item x="1"/>
        <item x="15"/>
        <item x="18"/>
        <item x="22"/>
        <item x="20"/>
        <item x="17"/>
        <item x="7"/>
        <item x="19"/>
        <item x="24"/>
        <item x="14"/>
        <item x="9"/>
        <item x="12"/>
        <item x="10"/>
        <item x="6"/>
        <item x="8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1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Count of Purchases per Rating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57D6D-2202-485A-835E-4DB5E33E4B3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">
  <location ref="E12:F19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2"/>
        <item x="5"/>
        <item x="3"/>
        <item x="0"/>
        <item t="default"/>
      </items>
    </pivotField>
    <pivotField showAll="0"/>
    <pivotField showAll="0"/>
    <pivotField numFmtId="164"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5" baseField="0" baseItem="0"/>
  </dataFields>
  <chartFormats count="7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9F605-DAEB-4095-8460-B12CBDC63F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hipping Type">
  <location ref="E3:F10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urchase Amount (USD)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63806-A8F4-4A42-949B-54DAB4BD5C3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evious Purchases">
  <location ref="E39:F90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1">
        <item x="43"/>
        <item x="1"/>
        <item x="35"/>
        <item x="7"/>
        <item x="36"/>
        <item x="49"/>
        <item x="22"/>
        <item x="6"/>
        <item x="44"/>
        <item x="9"/>
        <item x="47"/>
        <item x="45"/>
        <item x="21"/>
        <item x="0"/>
        <item x="28"/>
        <item x="20"/>
        <item x="14"/>
        <item x="27"/>
        <item x="5"/>
        <item x="41"/>
        <item x="33"/>
        <item x="17"/>
        <item x="2"/>
        <item x="37"/>
        <item x="29"/>
        <item x="8"/>
        <item x="46"/>
        <item x="40"/>
        <item x="32"/>
        <item x="48"/>
        <item x="4"/>
        <item x="18"/>
        <item x="42"/>
        <item x="11"/>
        <item x="31"/>
        <item x="13"/>
        <item x="10"/>
        <item x="25"/>
        <item x="30"/>
        <item x="19"/>
        <item x="23"/>
        <item x="38"/>
        <item x="34"/>
        <item x="12"/>
        <item x="24"/>
        <item x="15"/>
        <item x="39"/>
        <item x="26"/>
        <item x="3"/>
        <item x="16"/>
        <item t="default"/>
      </items>
    </pivotField>
    <pivotField showAll="0"/>
    <pivotField showAll="0"/>
    <pivotField showAll="0"/>
    <pivotField numFmtId="164" showAll="0"/>
    <pivotField showAll="0"/>
  </pivotFields>
  <rowFields count="1">
    <field x="15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Purchase Amount (USD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D81ED-C99E-4EF7-9638-3CDF5F539E5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ge Group" colHeaderCaption="Gender">
  <location ref="E32:H37" firstHeaderRow="1" firstDataRow="2" firstDataCol="1"/>
  <pivotFields count="21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Revenue by Different Age Group" fld="5" baseField="0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19B1E-238F-4103-9CE7-3B86890B1E0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iscount Applied" colHeaderCaption="Gender">
  <location ref="A17:B20" firstHeaderRow="1" firstDataRow="1" firstDataCol="1"/>
  <pivotFields count="21">
    <pivotField showAll="0"/>
    <pivotField showAll="0">
      <items count="54">
        <item x="20"/>
        <item x="1"/>
        <item x="30"/>
        <item x="3"/>
        <item x="40"/>
        <item x="51"/>
        <item x="41"/>
        <item x="15"/>
        <item x="8"/>
        <item x="7"/>
        <item x="48"/>
        <item x="26"/>
        <item x="11"/>
        <item x="18"/>
        <item x="45"/>
        <item x="23"/>
        <item x="50"/>
        <item x="25"/>
        <item x="24"/>
        <item x="43"/>
        <item x="21"/>
        <item x="31"/>
        <item x="37"/>
        <item x="38"/>
        <item x="32"/>
        <item x="49"/>
        <item x="42"/>
        <item x="4"/>
        <item x="5"/>
        <item x="36"/>
        <item x="39"/>
        <item x="34"/>
        <item x="2"/>
        <item x="47"/>
        <item x="16"/>
        <item x="10"/>
        <item x="22"/>
        <item x="0"/>
        <item x="19"/>
        <item x="9"/>
        <item x="44"/>
        <item x="35"/>
        <item x="52"/>
        <item x="12"/>
        <item x="46"/>
        <item x="6"/>
        <item x="14"/>
        <item x="13"/>
        <item x="17"/>
        <item x="29"/>
        <item x="33"/>
        <item x="28"/>
        <item x="2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64"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Revenue on Discount" fld="5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9B8DD-E5CA-4ADB-86CA-88828348165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Frequency of Purchases">
  <location ref="E22:F30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4"/>
        <item x="6"/>
        <item x="0"/>
        <item x="5"/>
        <item x="3"/>
        <item x="1"/>
        <item t="default"/>
      </items>
    </pivotField>
    <pivotField showAll="0"/>
    <pivotField numFmtId="164"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 by Purchase Frequency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9D661-340C-4C15-AB4A-D2D9461327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ason">
  <location ref="A10:B15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by Season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AC1BA-B30B-4CB0-B3C9-343D20579EC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tegory">
  <location ref="A3:B8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 by Product Category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C9CF2-AF43-43D4-A349-E0112A6FFF36}" name="Table1" displayName="Table1" ref="A1:U3901" totalsRowShown="0">
  <autoFilter ref="A1:U3901" xr:uid="{2CEC9CF2-AF43-43D4-A349-E0112A6FFF36}"/>
  <tableColumns count="21">
    <tableColumn id="1" xr3:uid="{989CB7B6-C729-4019-83A8-C916CD2ED43F}" name="Customer ID"/>
    <tableColumn id="2" xr3:uid="{22C05183-EEBA-450F-A24A-4449E3C11C91}" name="Age"/>
    <tableColumn id="3" xr3:uid="{D75F5C27-DB57-4555-8EDE-6D368A37DF79}" name="Gender"/>
    <tableColumn id="4" xr3:uid="{5569CC40-68B2-46A5-8272-F77B5E930ED5}" name="Item Purchased"/>
    <tableColumn id="5" xr3:uid="{40F83E09-9378-49EF-966B-D44FCD52F6FC}" name="Category"/>
    <tableColumn id="6" xr3:uid="{F52433A3-D871-411B-A0E4-FE903124D59F}" name="Purchase Amount (USD)"/>
    <tableColumn id="7" xr3:uid="{568304F3-FDE4-4590-B4A3-8B72BF77F8DD}" name="Location"/>
    <tableColumn id="8" xr3:uid="{54466369-BF05-4FA3-9D73-8CF07812C55D}" name="Size"/>
    <tableColumn id="9" xr3:uid="{ADBBF6DE-6086-4306-82B8-12EF3AF69539}" name="Color"/>
    <tableColumn id="10" xr3:uid="{96BE72BE-EE1B-4C39-9C29-449FCEFA197F}" name="Season"/>
    <tableColumn id="11" xr3:uid="{FC7D21EB-55A6-47B6-96B9-C73C8926F2F5}" name="Review Rating"/>
    <tableColumn id="12" xr3:uid="{A147C12E-5FD4-4B64-B758-72A3FAA16FC1}" name="Subscription Status"/>
    <tableColumn id="13" xr3:uid="{8C817891-57AE-4679-88E2-F6D7BC01D5AF}" name="Shipping Type"/>
    <tableColumn id="14" xr3:uid="{4223AA1B-772F-4622-AEA0-4D1AA031BBD9}" name="Discount Applied"/>
    <tableColumn id="15" xr3:uid="{4A0C94F7-DAB5-4788-9EF5-36CFC4C7518F}" name="Promo Code Used"/>
    <tableColumn id="16" xr3:uid="{1CA8F03A-FFBC-4CCF-AB39-C8C17E7E2FD0}" name="Previous Purchases"/>
    <tableColumn id="17" xr3:uid="{BCE3BADC-AD1D-443B-9BA9-4B7666E05979}" name="Payment Method"/>
    <tableColumn id="18" xr3:uid="{8CC68BE6-79A9-4E9D-A907-21CA736BAB77}" name="Frequency of Purchases"/>
    <tableColumn id="19" xr3:uid="{30CD1847-0681-41D5-8DBA-0BA2BA5DBE01}" name="Age Group" dataDxfId="2">
      <calculatedColumnFormula>IF(Table1[[#This Row],[Age]]&lt;=25,"Young",IF(Table1[[#This Row],[Age]]&lt;=50,"Adult","Senior"))</calculatedColumnFormula>
    </tableColumn>
    <tableColumn id="20" xr3:uid="{5793C6F5-AE64-42D5-B4B2-69BD672A1F89}" name="Revenue" dataDxfId="1">
      <calculatedColumnFormula>Table1[[#This Row],[Purchase Amount (USD)]]</calculatedColumnFormula>
    </tableColumn>
    <tableColumn id="21" xr3:uid="{12664D40-593C-4C91-9CBE-121F46AF7A9B}" name="Subscription Flag" dataDxfId="0">
      <calculatedColumnFormula>IF(Table1[[#This Row],[Subscription Status]]="Yes",1,IF(Table1[[#This Row],[Subscription Status]]="No",0))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4C69-301B-4A09-A5C8-61E2F07C6AC3}">
  <dimension ref="A3:H90"/>
  <sheetViews>
    <sheetView workbookViewId="0">
      <selection activeCell="B5" sqref="B5"/>
    </sheetView>
  </sheetViews>
  <sheetFormatPr defaultRowHeight="14.5" x14ac:dyDescent="0.35"/>
  <cols>
    <col min="1" max="1" width="17.36328125" bestFit="1" customWidth="1"/>
    <col min="2" max="2" width="18.6328125" bestFit="1" customWidth="1"/>
    <col min="3" max="3" width="6.81640625" bestFit="1" customWidth="1"/>
    <col min="4" max="4" width="10.7265625" bestFit="1" customWidth="1"/>
    <col min="5" max="5" width="12.36328125" bestFit="1" customWidth="1"/>
    <col min="6" max="6" width="27.54296875" bestFit="1" customWidth="1"/>
    <col min="7" max="7" width="6.81640625" bestFit="1" customWidth="1"/>
    <col min="8" max="8" width="10.7265625" bestFit="1" customWidth="1"/>
  </cols>
  <sheetData>
    <row r="3" spans="1:6" x14ac:dyDescent="0.35">
      <c r="A3" s="2" t="s">
        <v>4</v>
      </c>
      <c r="B3" t="s">
        <v>158</v>
      </c>
      <c r="E3" s="2" t="s">
        <v>12</v>
      </c>
      <c r="F3" t="s">
        <v>157</v>
      </c>
    </row>
    <row r="4" spans="1:6" x14ac:dyDescent="0.35">
      <c r="A4" s="3" t="s">
        <v>66</v>
      </c>
      <c r="B4">
        <v>74200</v>
      </c>
      <c r="E4" s="3" t="s">
        <v>69</v>
      </c>
      <c r="F4">
        <v>38080</v>
      </c>
    </row>
    <row r="5" spans="1:6" x14ac:dyDescent="0.35">
      <c r="A5" s="3" t="s">
        <v>20</v>
      </c>
      <c r="B5">
        <v>104264</v>
      </c>
      <c r="E5" s="3" t="s">
        <v>26</v>
      </c>
      <c r="F5">
        <v>39067</v>
      </c>
    </row>
    <row r="6" spans="1:6" x14ac:dyDescent="0.35">
      <c r="A6" s="3" t="s">
        <v>41</v>
      </c>
      <c r="B6">
        <v>36093</v>
      </c>
      <c r="E6" s="3" t="s">
        <v>37</v>
      </c>
      <c r="F6">
        <v>40777</v>
      </c>
    </row>
    <row r="7" spans="1:6" x14ac:dyDescent="0.35">
      <c r="A7" s="3" t="s">
        <v>62</v>
      </c>
      <c r="B7">
        <v>18524</v>
      </c>
      <c r="E7" s="3" t="s">
        <v>44</v>
      </c>
      <c r="F7">
        <v>37993</v>
      </c>
    </row>
    <row r="8" spans="1:6" x14ac:dyDescent="0.35">
      <c r="A8" s="3" t="s">
        <v>156</v>
      </c>
      <c r="B8">
        <v>233081</v>
      </c>
      <c r="E8" s="3" t="s">
        <v>53</v>
      </c>
      <c r="F8">
        <v>38233</v>
      </c>
    </row>
    <row r="9" spans="1:6" x14ac:dyDescent="0.35">
      <c r="E9" s="3" t="s">
        <v>73</v>
      </c>
      <c r="F9">
        <v>38931</v>
      </c>
    </row>
    <row r="10" spans="1:6" x14ac:dyDescent="0.35">
      <c r="A10" s="2" t="s">
        <v>9</v>
      </c>
      <c r="B10" t="s">
        <v>159</v>
      </c>
      <c r="E10" s="3" t="s">
        <v>156</v>
      </c>
      <c r="F10">
        <v>233081</v>
      </c>
    </row>
    <row r="11" spans="1:6" x14ac:dyDescent="0.35">
      <c r="A11" s="3" t="s">
        <v>56</v>
      </c>
      <c r="B11">
        <v>60018</v>
      </c>
    </row>
    <row r="12" spans="1:6" x14ac:dyDescent="0.35">
      <c r="A12" s="3" t="s">
        <v>36</v>
      </c>
      <c r="B12">
        <v>58679</v>
      </c>
      <c r="E12" s="2" t="s">
        <v>16</v>
      </c>
      <c r="F12" t="s">
        <v>157</v>
      </c>
    </row>
    <row r="13" spans="1:6" x14ac:dyDescent="0.35">
      <c r="A13" s="3" t="s">
        <v>52</v>
      </c>
      <c r="B13">
        <v>55777</v>
      </c>
      <c r="E13" s="3" t="s">
        <v>74</v>
      </c>
      <c r="F13">
        <v>36544</v>
      </c>
    </row>
    <row r="14" spans="1:6" x14ac:dyDescent="0.35">
      <c r="A14" s="3" t="s">
        <v>24</v>
      </c>
      <c r="B14">
        <v>58607</v>
      </c>
      <c r="E14" s="3" t="s">
        <v>32</v>
      </c>
      <c r="F14">
        <v>40002</v>
      </c>
    </row>
    <row r="15" spans="1:6" x14ac:dyDescent="0.35">
      <c r="A15" s="3" t="s">
        <v>156</v>
      </c>
      <c r="B15">
        <v>233081</v>
      </c>
      <c r="E15" s="3" t="s">
        <v>38</v>
      </c>
      <c r="F15">
        <v>40310</v>
      </c>
    </row>
    <row r="16" spans="1:6" x14ac:dyDescent="0.35">
      <c r="E16" s="3" t="s">
        <v>85</v>
      </c>
      <c r="F16">
        <v>38742</v>
      </c>
    </row>
    <row r="17" spans="1:6" x14ac:dyDescent="0.35">
      <c r="A17" s="2" t="s">
        <v>13</v>
      </c>
      <c r="B17" t="s">
        <v>164</v>
      </c>
      <c r="E17" s="3" t="s">
        <v>45</v>
      </c>
      <c r="F17">
        <v>40109</v>
      </c>
    </row>
    <row r="18" spans="1:6" x14ac:dyDescent="0.35">
      <c r="A18" s="3" t="s">
        <v>151</v>
      </c>
      <c r="B18">
        <v>133670</v>
      </c>
      <c r="E18" s="3" t="s">
        <v>27</v>
      </c>
      <c r="F18">
        <v>37374</v>
      </c>
    </row>
    <row r="19" spans="1:6" x14ac:dyDescent="0.35">
      <c r="A19" s="3" t="s">
        <v>25</v>
      </c>
      <c r="B19">
        <v>99411</v>
      </c>
      <c r="E19" s="3" t="s">
        <v>156</v>
      </c>
      <c r="F19">
        <v>233081</v>
      </c>
    </row>
    <row r="20" spans="1:6" x14ac:dyDescent="0.35">
      <c r="A20" s="3" t="s">
        <v>156</v>
      </c>
      <c r="B20">
        <v>233081</v>
      </c>
    </row>
    <row r="22" spans="1:6" x14ac:dyDescent="0.35">
      <c r="A22" s="2" t="s">
        <v>10</v>
      </c>
      <c r="B22" t="s">
        <v>163</v>
      </c>
      <c r="E22" s="2" t="s">
        <v>17</v>
      </c>
      <c r="F22" t="s">
        <v>165</v>
      </c>
    </row>
    <row r="23" spans="1:6" x14ac:dyDescent="0.35">
      <c r="A23" s="3">
        <v>2.5</v>
      </c>
      <c r="B23">
        <v>66</v>
      </c>
      <c r="E23" s="3" t="s">
        <v>48</v>
      </c>
      <c r="F23">
        <v>34419</v>
      </c>
    </row>
    <row r="24" spans="1:6" x14ac:dyDescent="0.35">
      <c r="A24" s="3">
        <v>2.6</v>
      </c>
      <c r="B24">
        <v>159</v>
      </c>
      <c r="E24" s="3" t="s">
        <v>75</v>
      </c>
      <c r="F24">
        <v>33200</v>
      </c>
    </row>
    <row r="25" spans="1:6" x14ac:dyDescent="0.35">
      <c r="A25" s="3">
        <v>2.7</v>
      </c>
      <c r="B25">
        <v>154</v>
      </c>
      <c r="E25" s="3" t="s">
        <v>96</v>
      </c>
      <c r="F25">
        <v>35088</v>
      </c>
    </row>
    <row r="26" spans="1:6" x14ac:dyDescent="0.35">
      <c r="A26" s="3">
        <v>2.8</v>
      </c>
      <c r="B26">
        <v>136</v>
      </c>
      <c r="E26" s="3" t="s">
        <v>28</v>
      </c>
      <c r="F26">
        <v>32007</v>
      </c>
    </row>
    <row r="27" spans="1:6" x14ac:dyDescent="0.35">
      <c r="A27" s="3">
        <v>2.9</v>
      </c>
      <c r="B27">
        <v>170</v>
      </c>
      <c r="E27" s="3" t="s">
        <v>87</v>
      </c>
      <c r="F27">
        <v>32810</v>
      </c>
    </row>
    <row r="28" spans="1:6" x14ac:dyDescent="0.35">
      <c r="A28" s="3">
        <v>3</v>
      </c>
      <c r="B28">
        <v>162</v>
      </c>
      <c r="E28" s="3" t="s">
        <v>57</v>
      </c>
      <c r="F28">
        <v>33771</v>
      </c>
    </row>
    <row r="29" spans="1:6" x14ac:dyDescent="0.35">
      <c r="A29" s="3">
        <v>3.1</v>
      </c>
      <c r="B29">
        <v>157</v>
      </c>
      <c r="E29" s="3" t="s">
        <v>39</v>
      </c>
      <c r="F29">
        <v>31786</v>
      </c>
    </row>
    <row r="30" spans="1:6" x14ac:dyDescent="0.35">
      <c r="A30" s="3">
        <v>3.2</v>
      </c>
      <c r="B30">
        <v>152</v>
      </c>
      <c r="E30" s="3" t="s">
        <v>156</v>
      </c>
      <c r="F30">
        <v>233081</v>
      </c>
    </row>
    <row r="31" spans="1:6" x14ac:dyDescent="0.35">
      <c r="A31" s="3">
        <v>3.3</v>
      </c>
      <c r="B31">
        <v>152</v>
      </c>
    </row>
    <row r="32" spans="1:6" x14ac:dyDescent="0.35">
      <c r="A32" s="3">
        <v>3.4</v>
      </c>
      <c r="B32">
        <v>182</v>
      </c>
      <c r="E32" s="2" t="s">
        <v>166</v>
      </c>
      <c r="F32" s="2" t="s">
        <v>2</v>
      </c>
    </row>
    <row r="33" spans="1:8" x14ac:dyDescent="0.35">
      <c r="A33" s="3">
        <v>3.5</v>
      </c>
      <c r="B33">
        <v>156</v>
      </c>
      <c r="E33" s="2" t="s">
        <v>153</v>
      </c>
      <c r="F33" t="s">
        <v>152</v>
      </c>
      <c r="G33" t="s">
        <v>18</v>
      </c>
      <c r="H33" t="s">
        <v>156</v>
      </c>
    </row>
    <row r="34" spans="1:8" x14ac:dyDescent="0.35">
      <c r="A34" s="3">
        <v>3.6</v>
      </c>
      <c r="B34">
        <v>149</v>
      </c>
      <c r="E34" s="3" t="s">
        <v>160</v>
      </c>
      <c r="F34">
        <v>36770</v>
      </c>
      <c r="G34">
        <v>73201</v>
      </c>
      <c r="H34">
        <v>109971</v>
      </c>
    </row>
    <row r="35" spans="1:8" x14ac:dyDescent="0.35">
      <c r="A35" s="3">
        <v>3.7</v>
      </c>
      <c r="B35">
        <v>156</v>
      </c>
      <c r="E35" s="3" t="s">
        <v>161</v>
      </c>
      <c r="F35">
        <v>27885</v>
      </c>
      <c r="G35">
        <v>60595</v>
      </c>
      <c r="H35">
        <v>88480</v>
      </c>
    </row>
    <row r="36" spans="1:8" x14ac:dyDescent="0.35">
      <c r="A36" s="3">
        <v>3.8</v>
      </c>
      <c r="B36">
        <v>142</v>
      </c>
      <c r="E36" s="3" t="s">
        <v>162</v>
      </c>
      <c r="F36">
        <v>10536</v>
      </c>
      <c r="G36">
        <v>24094</v>
      </c>
      <c r="H36">
        <v>34630</v>
      </c>
    </row>
    <row r="37" spans="1:8" x14ac:dyDescent="0.35">
      <c r="A37" s="3">
        <v>3.9</v>
      </c>
      <c r="B37">
        <v>163</v>
      </c>
      <c r="E37" s="3" t="s">
        <v>156</v>
      </c>
      <c r="F37">
        <v>75191</v>
      </c>
      <c r="G37">
        <v>157890</v>
      </c>
      <c r="H37">
        <v>233081</v>
      </c>
    </row>
    <row r="38" spans="1:8" x14ac:dyDescent="0.35">
      <c r="A38" s="3">
        <v>4</v>
      </c>
      <c r="B38">
        <v>181</v>
      </c>
    </row>
    <row r="39" spans="1:8" x14ac:dyDescent="0.35">
      <c r="A39" s="3">
        <v>4.0999999999999996</v>
      </c>
      <c r="B39">
        <v>148</v>
      </c>
      <c r="E39" s="2" t="s">
        <v>15</v>
      </c>
      <c r="F39" t="s">
        <v>157</v>
      </c>
    </row>
    <row r="40" spans="1:8" x14ac:dyDescent="0.35">
      <c r="A40" s="3">
        <v>4.2</v>
      </c>
      <c r="B40">
        <v>171</v>
      </c>
      <c r="E40" s="3">
        <v>1</v>
      </c>
      <c r="F40">
        <v>4853</v>
      </c>
    </row>
    <row r="41" spans="1:8" x14ac:dyDescent="0.35">
      <c r="A41" s="3">
        <v>4.3</v>
      </c>
      <c r="B41">
        <v>147</v>
      </c>
      <c r="E41" s="3">
        <v>2</v>
      </c>
      <c r="F41">
        <v>4344</v>
      </c>
    </row>
    <row r="42" spans="1:8" x14ac:dyDescent="0.35">
      <c r="A42" s="3">
        <v>4.4000000000000004</v>
      </c>
      <c r="B42">
        <v>158</v>
      </c>
      <c r="E42" s="3">
        <v>3</v>
      </c>
      <c r="F42">
        <v>5329</v>
      </c>
    </row>
    <row r="43" spans="1:8" x14ac:dyDescent="0.35">
      <c r="A43" s="3">
        <v>4.5</v>
      </c>
      <c r="B43">
        <v>139</v>
      </c>
      <c r="E43" s="3">
        <v>4</v>
      </c>
      <c r="F43">
        <v>5576</v>
      </c>
    </row>
    <row r="44" spans="1:8" x14ac:dyDescent="0.35">
      <c r="A44" s="3">
        <v>4.5999999999999996</v>
      </c>
      <c r="B44">
        <v>174</v>
      </c>
      <c r="E44" s="3">
        <v>5</v>
      </c>
      <c r="F44">
        <v>5590</v>
      </c>
    </row>
    <row r="45" spans="1:8" x14ac:dyDescent="0.35">
      <c r="A45" s="3">
        <v>4.7</v>
      </c>
      <c r="B45">
        <v>148</v>
      </c>
      <c r="E45" s="3">
        <v>6</v>
      </c>
      <c r="F45">
        <v>4859</v>
      </c>
    </row>
    <row r="46" spans="1:8" x14ac:dyDescent="0.35">
      <c r="A46" s="3">
        <v>4.8</v>
      </c>
      <c r="B46">
        <v>144</v>
      </c>
      <c r="E46" s="3">
        <v>7</v>
      </c>
      <c r="F46">
        <v>3978</v>
      </c>
    </row>
    <row r="47" spans="1:8" x14ac:dyDescent="0.35">
      <c r="A47" s="3">
        <v>4.9000000000000004</v>
      </c>
      <c r="B47">
        <v>166</v>
      </c>
      <c r="E47" s="3">
        <v>8</v>
      </c>
      <c r="F47">
        <v>4467</v>
      </c>
    </row>
    <row r="48" spans="1:8" x14ac:dyDescent="0.35">
      <c r="A48" s="3">
        <v>5</v>
      </c>
      <c r="B48">
        <v>68</v>
      </c>
      <c r="E48" s="3">
        <v>9</v>
      </c>
      <c r="F48">
        <v>4146</v>
      </c>
    </row>
    <row r="49" spans="1:6" x14ac:dyDescent="0.35">
      <c r="A49" s="3" t="s">
        <v>156</v>
      </c>
      <c r="B49">
        <v>3900</v>
      </c>
      <c r="E49" s="3">
        <v>10</v>
      </c>
      <c r="F49">
        <v>4422</v>
      </c>
    </row>
    <row r="50" spans="1:6" x14ac:dyDescent="0.35">
      <c r="E50" s="3">
        <v>11</v>
      </c>
      <c r="F50">
        <v>4879</v>
      </c>
    </row>
    <row r="51" spans="1:6" x14ac:dyDescent="0.35">
      <c r="E51" s="3">
        <v>12</v>
      </c>
      <c r="F51">
        <v>4681</v>
      </c>
    </row>
    <row r="52" spans="1:6" x14ac:dyDescent="0.35">
      <c r="E52" s="3">
        <v>13</v>
      </c>
      <c r="F52">
        <v>3856</v>
      </c>
    </row>
    <row r="53" spans="1:6" x14ac:dyDescent="0.35">
      <c r="E53" s="3">
        <v>14</v>
      </c>
      <c r="F53">
        <v>5333</v>
      </c>
    </row>
    <row r="54" spans="1:6" x14ac:dyDescent="0.35">
      <c r="E54" s="3">
        <v>15</v>
      </c>
      <c r="F54">
        <v>4078</v>
      </c>
    </row>
    <row r="55" spans="1:6" x14ac:dyDescent="0.35">
      <c r="E55" s="3">
        <v>16</v>
      </c>
      <c r="F55">
        <v>4351</v>
      </c>
    </row>
    <row r="56" spans="1:6" x14ac:dyDescent="0.35">
      <c r="E56" s="3">
        <v>17</v>
      </c>
      <c r="F56">
        <v>4118</v>
      </c>
    </row>
    <row r="57" spans="1:6" x14ac:dyDescent="0.35">
      <c r="E57" s="3">
        <v>18</v>
      </c>
      <c r="F57">
        <v>4968</v>
      </c>
    </row>
    <row r="58" spans="1:6" x14ac:dyDescent="0.35">
      <c r="E58" s="3">
        <v>19</v>
      </c>
      <c r="F58">
        <v>4483</v>
      </c>
    </row>
    <row r="59" spans="1:6" x14ac:dyDescent="0.35">
      <c r="E59" s="3">
        <v>20</v>
      </c>
      <c r="F59">
        <v>5137</v>
      </c>
    </row>
    <row r="60" spans="1:6" x14ac:dyDescent="0.35">
      <c r="E60" s="3">
        <v>21</v>
      </c>
      <c r="F60">
        <v>5566</v>
      </c>
    </row>
    <row r="61" spans="1:6" x14ac:dyDescent="0.35">
      <c r="E61" s="3">
        <v>22</v>
      </c>
      <c r="F61">
        <v>3559</v>
      </c>
    </row>
    <row r="62" spans="1:6" x14ac:dyDescent="0.35">
      <c r="E62" s="3">
        <v>23</v>
      </c>
      <c r="F62">
        <v>4227</v>
      </c>
    </row>
    <row r="63" spans="1:6" x14ac:dyDescent="0.35">
      <c r="E63" s="3">
        <v>24</v>
      </c>
      <c r="F63">
        <v>5478</v>
      </c>
    </row>
    <row r="64" spans="1:6" x14ac:dyDescent="0.35">
      <c r="E64" s="3">
        <v>25</v>
      </c>
      <c r="F64">
        <v>4841</v>
      </c>
    </row>
    <row r="65" spans="5:6" x14ac:dyDescent="0.35">
      <c r="E65" s="3">
        <v>26</v>
      </c>
      <c r="F65">
        <v>4533</v>
      </c>
    </row>
    <row r="66" spans="5:6" x14ac:dyDescent="0.35">
      <c r="E66" s="3">
        <v>27</v>
      </c>
      <c r="F66">
        <v>4505</v>
      </c>
    </row>
    <row r="67" spans="5:6" x14ac:dyDescent="0.35">
      <c r="E67" s="3">
        <v>28</v>
      </c>
      <c r="F67">
        <v>4951</v>
      </c>
    </row>
    <row r="68" spans="5:6" x14ac:dyDescent="0.35">
      <c r="E68" s="3">
        <v>29</v>
      </c>
      <c r="F68">
        <v>4122</v>
      </c>
    </row>
    <row r="69" spans="5:6" x14ac:dyDescent="0.35">
      <c r="E69" s="3">
        <v>30</v>
      </c>
      <c r="F69">
        <v>4867</v>
      </c>
    </row>
    <row r="70" spans="5:6" x14ac:dyDescent="0.35">
      <c r="E70" s="3">
        <v>31</v>
      </c>
      <c r="F70">
        <v>5557</v>
      </c>
    </row>
    <row r="71" spans="5:6" x14ac:dyDescent="0.35">
      <c r="E71" s="3">
        <v>32</v>
      </c>
      <c r="F71">
        <v>4984</v>
      </c>
    </row>
    <row r="72" spans="5:6" x14ac:dyDescent="0.35">
      <c r="E72" s="3">
        <v>33</v>
      </c>
      <c r="F72">
        <v>5083</v>
      </c>
    </row>
    <row r="73" spans="5:6" x14ac:dyDescent="0.35">
      <c r="E73" s="3">
        <v>34</v>
      </c>
      <c r="F73">
        <v>4270</v>
      </c>
    </row>
    <row r="74" spans="5:6" x14ac:dyDescent="0.35">
      <c r="E74" s="3">
        <v>35</v>
      </c>
      <c r="F74">
        <v>3734</v>
      </c>
    </row>
    <row r="75" spans="5:6" x14ac:dyDescent="0.35">
      <c r="E75" s="3">
        <v>36</v>
      </c>
      <c r="F75">
        <v>4419</v>
      </c>
    </row>
    <row r="76" spans="5:6" x14ac:dyDescent="0.35">
      <c r="E76" s="3">
        <v>37</v>
      </c>
      <c r="F76">
        <v>4720</v>
      </c>
    </row>
    <row r="77" spans="5:6" x14ac:dyDescent="0.35">
      <c r="E77" s="3">
        <v>38</v>
      </c>
      <c r="F77">
        <v>4560</v>
      </c>
    </row>
    <row r="78" spans="5:6" x14ac:dyDescent="0.35">
      <c r="E78" s="3">
        <v>39</v>
      </c>
      <c r="F78">
        <v>4622</v>
      </c>
    </row>
    <row r="79" spans="5:6" x14ac:dyDescent="0.35">
      <c r="E79" s="3">
        <v>40</v>
      </c>
      <c r="F79">
        <v>4445</v>
      </c>
    </row>
    <row r="80" spans="5:6" x14ac:dyDescent="0.35">
      <c r="E80" s="3">
        <v>41</v>
      </c>
      <c r="F80">
        <v>4253</v>
      </c>
    </row>
    <row r="81" spans="5:6" x14ac:dyDescent="0.35">
      <c r="E81" s="3">
        <v>42</v>
      </c>
      <c r="F81">
        <v>4885</v>
      </c>
    </row>
    <row r="82" spans="5:6" x14ac:dyDescent="0.35">
      <c r="E82" s="3">
        <v>43</v>
      </c>
      <c r="F82">
        <v>3948</v>
      </c>
    </row>
    <row r="83" spans="5:6" x14ac:dyDescent="0.35">
      <c r="E83" s="3">
        <v>44</v>
      </c>
      <c r="F83">
        <v>4413</v>
      </c>
    </row>
    <row r="84" spans="5:6" x14ac:dyDescent="0.35">
      <c r="E84" s="3">
        <v>45</v>
      </c>
      <c r="F84">
        <v>4778</v>
      </c>
    </row>
    <row r="85" spans="5:6" x14ac:dyDescent="0.35">
      <c r="E85" s="3">
        <v>46</v>
      </c>
      <c r="F85">
        <v>4648</v>
      </c>
    </row>
    <row r="86" spans="5:6" x14ac:dyDescent="0.35">
      <c r="E86" s="3">
        <v>47</v>
      </c>
      <c r="F86">
        <v>5639</v>
      </c>
    </row>
    <row r="87" spans="5:6" x14ac:dyDescent="0.35">
      <c r="E87" s="3">
        <v>48</v>
      </c>
      <c r="F87">
        <v>5723</v>
      </c>
    </row>
    <row r="88" spans="5:6" x14ac:dyDescent="0.35">
      <c r="E88" s="3">
        <v>49</v>
      </c>
      <c r="F88">
        <v>3277</v>
      </c>
    </row>
    <row r="89" spans="5:6" x14ac:dyDescent="0.35">
      <c r="E89" s="3">
        <v>50</v>
      </c>
      <c r="F89">
        <v>5026</v>
      </c>
    </row>
    <row r="90" spans="5:6" x14ac:dyDescent="0.35">
      <c r="E90" s="3" t="s">
        <v>156</v>
      </c>
      <c r="F90">
        <v>233081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3A68-10F3-473A-AA06-4F49030C326F}">
  <sheetPr>
    <pageSetUpPr autoPageBreaks="0"/>
  </sheetPr>
  <dimension ref="G1"/>
  <sheetViews>
    <sheetView showGridLines="0" showRowColHeaders="0" zoomScale="75" zoomScaleNormal="75" workbookViewId="0">
      <selection activeCell="V19" sqref="V19"/>
    </sheetView>
  </sheetViews>
  <sheetFormatPr defaultRowHeight="14.5" x14ac:dyDescent="0.35"/>
  <cols>
    <col min="1" max="16384" width="8.7265625" style="9"/>
  </cols>
  <sheetData>
    <row r="1" spans="7:7" ht="25" x14ac:dyDescent="0.35">
      <c r="G1" s="8" t="s">
        <v>167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6D9E-7F5E-4640-9EA7-A8343F47FE60}">
  <dimension ref="H1"/>
  <sheetViews>
    <sheetView showGridLines="0" workbookViewId="0">
      <selection activeCell="H11" sqref="H11"/>
    </sheetView>
  </sheetViews>
  <sheetFormatPr defaultRowHeight="14.5" x14ac:dyDescent="0.35"/>
  <cols>
    <col min="1" max="16384" width="8.7265625" style="4"/>
  </cols>
  <sheetData>
    <row r="1" spans="8:8" ht="25.5" x14ac:dyDescent="0.55000000000000004">
      <c r="H1" s="5" t="s">
        <v>168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FF64-23EE-40DA-A952-916A62D3D5F0}">
  <dimension ref="A1:I22"/>
  <sheetViews>
    <sheetView tabSelected="1" topLeftCell="B1" zoomScale="77" workbookViewId="0">
      <selection activeCell="D2" sqref="D2"/>
    </sheetView>
  </sheetViews>
  <sheetFormatPr defaultRowHeight="14.5" x14ac:dyDescent="0.35"/>
  <cols>
    <col min="1" max="1" width="28.6328125" bestFit="1" customWidth="1"/>
    <col min="2" max="2" width="16" bestFit="1" customWidth="1"/>
    <col min="3" max="3" width="11.1796875" bestFit="1" customWidth="1"/>
    <col min="4" max="4" width="104.81640625" bestFit="1" customWidth="1"/>
    <col min="5" max="5" width="16" bestFit="1" customWidth="1"/>
    <col min="6" max="6" width="11.1796875" bestFit="1" customWidth="1"/>
  </cols>
  <sheetData>
    <row r="1" spans="1:9" ht="17.5" x14ac:dyDescent="0.35">
      <c r="D1" s="11" t="s">
        <v>196</v>
      </c>
      <c r="E1" s="12"/>
      <c r="F1" s="12"/>
      <c r="G1" s="12"/>
      <c r="H1" s="12"/>
      <c r="I1" s="12"/>
    </row>
    <row r="3" spans="1:9" x14ac:dyDescent="0.35">
      <c r="A3" s="6"/>
      <c r="B3" s="6"/>
      <c r="C3" s="6"/>
      <c r="D3" s="6" t="s">
        <v>169</v>
      </c>
      <c r="E3" s="6" t="s">
        <v>170</v>
      </c>
      <c r="F3" s="6" t="s">
        <v>171</v>
      </c>
    </row>
    <row r="4" spans="1:9" x14ac:dyDescent="0.35">
      <c r="C4" s="6"/>
      <c r="D4" t="s">
        <v>172</v>
      </c>
      <c r="E4" t="s">
        <v>20</v>
      </c>
      <c r="F4" t="s">
        <v>181</v>
      </c>
    </row>
    <row r="5" spans="1:9" x14ac:dyDescent="0.35">
      <c r="C5" s="6"/>
      <c r="D5" t="s">
        <v>173</v>
      </c>
      <c r="E5" t="s">
        <v>98</v>
      </c>
      <c r="F5" t="s">
        <v>174</v>
      </c>
    </row>
    <row r="6" spans="1:9" x14ac:dyDescent="0.35">
      <c r="C6" s="6"/>
      <c r="D6" t="s">
        <v>175</v>
      </c>
      <c r="E6" t="s">
        <v>38</v>
      </c>
      <c r="F6" t="s">
        <v>176</v>
      </c>
    </row>
    <row r="7" spans="1:9" x14ac:dyDescent="0.35">
      <c r="C7" s="6"/>
      <c r="D7" t="s">
        <v>177</v>
      </c>
      <c r="E7" t="s">
        <v>37</v>
      </c>
      <c r="F7" s="7">
        <v>0.35199999999999998</v>
      </c>
    </row>
    <row r="8" spans="1:9" x14ac:dyDescent="0.35">
      <c r="C8" s="6"/>
      <c r="D8" t="s">
        <v>178</v>
      </c>
      <c r="E8" t="s">
        <v>179</v>
      </c>
      <c r="F8" t="s">
        <v>180</v>
      </c>
    </row>
    <row r="9" spans="1:9" x14ac:dyDescent="0.35">
      <c r="C9" s="6"/>
      <c r="D9" t="s">
        <v>182</v>
      </c>
      <c r="E9" t="s">
        <v>41</v>
      </c>
      <c r="F9" t="s">
        <v>183</v>
      </c>
    </row>
    <row r="10" spans="1:9" x14ac:dyDescent="0.35">
      <c r="C10" s="6"/>
      <c r="D10" t="s">
        <v>184</v>
      </c>
      <c r="E10" t="s">
        <v>185</v>
      </c>
      <c r="F10" t="s">
        <v>186</v>
      </c>
    </row>
    <row r="11" spans="1:9" x14ac:dyDescent="0.35">
      <c r="C11" s="6"/>
      <c r="D11" t="s">
        <v>187</v>
      </c>
      <c r="E11" t="s">
        <v>43</v>
      </c>
      <c r="F11" t="s">
        <v>188</v>
      </c>
    </row>
    <row r="12" spans="1:9" x14ac:dyDescent="0.35">
      <c r="C12" s="6"/>
      <c r="D12" t="s">
        <v>189</v>
      </c>
      <c r="E12" t="s">
        <v>25</v>
      </c>
      <c r="F12" s="7">
        <v>0.435</v>
      </c>
    </row>
    <row r="14" spans="1:9" x14ac:dyDescent="0.35">
      <c r="A14" s="6"/>
      <c r="D14" s="6" t="s">
        <v>195</v>
      </c>
    </row>
    <row r="15" spans="1:9" x14ac:dyDescent="0.35">
      <c r="A15" s="10"/>
      <c r="B15" s="10"/>
      <c r="C15" s="10"/>
      <c r="D15" s="10" t="s">
        <v>190</v>
      </c>
      <c r="E15" s="10"/>
      <c r="F15" s="10"/>
    </row>
    <row r="16" spans="1:9" x14ac:dyDescent="0.35">
      <c r="A16" s="10"/>
      <c r="B16" s="10"/>
      <c r="C16" s="10"/>
      <c r="D16" t="s">
        <v>191</v>
      </c>
      <c r="E16" s="10"/>
      <c r="F16" s="10"/>
      <c r="G16" s="10"/>
    </row>
    <row r="17" spans="1:6" x14ac:dyDescent="0.35">
      <c r="A17" s="10"/>
      <c r="B17" s="10"/>
      <c r="C17" s="10"/>
      <c r="D17" s="10" t="s">
        <v>192</v>
      </c>
      <c r="E17" s="10"/>
      <c r="F17" s="10"/>
    </row>
    <row r="18" spans="1:6" x14ac:dyDescent="0.35">
      <c r="A18" s="10"/>
      <c r="B18" s="10"/>
      <c r="C18" s="10"/>
      <c r="D18" s="10" t="s">
        <v>193</v>
      </c>
      <c r="E18" s="10"/>
      <c r="F18" s="10"/>
    </row>
    <row r="19" spans="1:6" x14ac:dyDescent="0.35">
      <c r="A19" s="10"/>
      <c r="B19" s="10"/>
      <c r="C19" s="10"/>
      <c r="D19" s="10" t="s">
        <v>194</v>
      </c>
      <c r="E19" s="10"/>
      <c r="F19" s="10"/>
    </row>
    <row r="20" spans="1:6" x14ac:dyDescent="0.35">
      <c r="A20" s="10"/>
      <c r="B20" s="10"/>
      <c r="C20" s="10"/>
    </row>
    <row r="21" spans="1:6" x14ac:dyDescent="0.35">
      <c r="A21" s="10"/>
      <c r="B21" s="10"/>
      <c r="C21" s="10"/>
    </row>
    <row r="22" spans="1:6" x14ac:dyDescent="0.35">
      <c r="A22" s="10"/>
      <c r="B22" s="10"/>
      <c r="C22" s="10"/>
    </row>
  </sheetData>
  <mergeCells count="14">
    <mergeCell ref="D1:I1"/>
    <mergeCell ref="A15:C15"/>
    <mergeCell ref="A16:C16"/>
    <mergeCell ref="A17:C17"/>
    <mergeCell ref="A18:C18"/>
    <mergeCell ref="A20:C20"/>
    <mergeCell ref="A21:C21"/>
    <mergeCell ref="A22:C22"/>
    <mergeCell ref="D15:F15"/>
    <mergeCell ref="E16:G16"/>
    <mergeCell ref="D17:F17"/>
    <mergeCell ref="D18:F18"/>
    <mergeCell ref="D19:F19"/>
    <mergeCell ref="A19:C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50E5-B1AD-4CF2-9AD3-1145B3C2151B}">
  <dimension ref="A2:A6"/>
  <sheetViews>
    <sheetView workbookViewId="0">
      <selection activeCell="A6" sqref="A6"/>
    </sheetView>
  </sheetViews>
  <sheetFormatPr defaultRowHeight="14.5" x14ac:dyDescent="0.35"/>
  <sheetData>
    <row r="2" spans="1:1" x14ac:dyDescent="0.35">
      <c r="A2">
        <f>AVERAGE(shopping_behavior_updated!F:F)</f>
        <v>59.764358974358977</v>
      </c>
    </row>
    <row r="3" spans="1:1" x14ac:dyDescent="0.35">
      <c r="A3">
        <f>COUNT(shopping_behavior_updated!A:A)</f>
        <v>3900</v>
      </c>
    </row>
    <row r="4" spans="1:1" x14ac:dyDescent="0.35">
      <c r="A4">
        <f>AVERAGE(shopping_behavior_updated!K:K)</f>
        <v>3.7499487179487119</v>
      </c>
    </row>
    <row r="5" spans="1:1" x14ac:dyDescent="0.35">
      <c r="A5">
        <f>COUNTIF(shopping_behavior_updated!P:P,"&gt;1")/(COUNTA(shopping_behavior_updated!A:A)-1)*100</f>
        <v>97.871794871794876</v>
      </c>
    </row>
    <row r="6" spans="1:1" x14ac:dyDescent="0.35">
      <c r="A6">
        <f>COUNTIF(shopping_behavior_updated!N:N,"Yes")/(COUNTA(shopping_behavior_updated!A:A)-1)*100</f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A948-47D1-405E-8275-C2E7DE4BCDC5}">
  <dimension ref="A1:U3901"/>
  <sheetViews>
    <sheetView topLeftCell="C1" workbookViewId="0">
      <selection activeCell="C11" sqref="C11"/>
    </sheetView>
  </sheetViews>
  <sheetFormatPr defaultRowHeight="14.5" x14ac:dyDescent="0.35"/>
  <cols>
    <col min="1" max="1" width="13.1796875" customWidth="1"/>
    <col min="3" max="3" width="9" customWidth="1"/>
    <col min="4" max="4" width="15.7265625" customWidth="1"/>
    <col min="5" max="5" width="10.36328125" bestFit="1" customWidth="1"/>
    <col min="6" max="6" width="22.7265625" customWidth="1"/>
    <col min="7" max="7" width="14.1796875" bestFit="1" customWidth="1"/>
    <col min="9" max="9" width="9.1796875" bestFit="1" customWidth="1"/>
    <col min="10" max="10" width="8.7265625" customWidth="1"/>
    <col min="11" max="11" width="14.36328125" customWidth="1"/>
    <col min="12" max="12" width="18.6328125" customWidth="1"/>
    <col min="13" max="13" width="14.36328125" customWidth="1"/>
    <col min="14" max="14" width="16.90625" customWidth="1"/>
    <col min="15" max="15" width="17.7265625" customWidth="1"/>
    <col min="16" max="16" width="18.7265625" customWidth="1"/>
    <col min="17" max="17" width="17.1796875" customWidth="1"/>
    <col min="18" max="18" width="22.453125" customWidth="1"/>
    <col min="19" max="19" width="11.90625" bestFit="1" customWidth="1"/>
    <col min="20" max="20" width="10.26953125" bestFit="1" customWidth="1"/>
    <col min="21" max="21" width="17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153</v>
      </c>
      <c r="T1" s="1" t="s">
        <v>154</v>
      </c>
      <c r="U1" t="s">
        <v>155</v>
      </c>
    </row>
    <row r="2" spans="1:21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  <c r="S2" t="str">
        <f>IF(Table1[[#This Row],[Age]]&lt;=25,"Young",IF(Table1[[#This Row],[Age]]&lt;=50,"Adult","Senior"))</f>
        <v>Senior</v>
      </c>
      <c r="T2" s="1">
        <f>Table1[[#This Row],[Purchase Amount (USD)]]</f>
        <v>53</v>
      </c>
      <c r="U2">
        <f>IF(Table1[[#This Row],[Subscription Status]]="Yes",1,IF(Table1[[#This Row],[Subscription Status]]="No",0))</f>
        <v>1</v>
      </c>
    </row>
    <row r="3" spans="1:21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  <c r="S3" t="str">
        <f>IF(Table1[[#This Row],[Age]]&lt;=25,"Young",IF(Table1[[#This Row],[Age]]&lt;=50,"Adult","Senior"))</f>
        <v>Young</v>
      </c>
      <c r="T3" s="1">
        <f>Table1[[#This Row],[Purchase Amount (USD)]]</f>
        <v>64</v>
      </c>
      <c r="U3">
        <f>IF(Table1[[#This Row],[Subscription Status]]="Yes",1,IF(Table1[[#This Row],[Subscription Status]]="No",0))</f>
        <v>1</v>
      </c>
    </row>
    <row r="4" spans="1:21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  <c r="S4" t="str">
        <f>IF(Table1[[#This Row],[Age]]&lt;=25,"Young",IF(Table1[[#This Row],[Age]]&lt;=50,"Adult","Senior"))</f>
        <v>Adult</v>
      </c>
      <c r="T4" s="1">
        <f>Table1[[#This Row],[Purchase Amount (USD)]]</f>
        <v>73</v>
      </c>
      <c r="U4">
        <f>IF(Table1[[#This Row],[Subscription Status]]="Yes",1,IF(Table1[[#This Row],[Subscription Status]]="No",0))</f>
        <v>1</v>
      </c>
    </row>
    <row r="5" spans="1:21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  <c r="S5" t="str">
        <f>IF(Table1[[#This Row],[Age]]&lt;=25,"Young",IF(Table1[[#This Row],[Age]]&lt;=50,"Adult","Senior"))</f>
        <v>Young</v>
      </c>
      <c r="T5" s="1">
        <f>Table1[[#This Row],[Purchase Amount (USD)]]</f>
        <v>90</v>
      </c>
      <c r="U5">
        <f>IF(Table1[[#This Row],[Subscription Status]]="Yes",1,IF(Table1[[#This Row],[Subscription Status]]="No",0))</f>
        <v>1</v>
      </c>
    </row>
    <row r="6" spans="1:21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  <c r="S6" t="str">
        <f>IF(Table1[[#This Row],[Age]]&lt;=25,"Young",IF(Table1[[#This Row],[Age]]&lt;=50,"Adult","Senior"))</f>
        <v>Adult</v>
      </c>
      <c r="T6" s="1">
        <f>Table1[[#This Row],[Purchase Amount (USD)]]</f>
        <v>49</v>
      </c>
      <c r="U6">
        <f>IF(Table1[[#This Row],[Subscription Status]]="Yes",1,IF(Table1[[#This Row],[Subscription Status]]="No",0))</f>
        <v>1</v>
      </c>
    </row>
    <row r="7" spans="1:21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  <c r="S7" t="str">
        <f>IF(Table1[[#This Row],[Age]]&lt;=25,"Young",IF(Table1[[#This Row],[Age]]&lt;=50,"Adult","Senior"))</f>
        <v>Adult</v>
      </c>
      <c r="T7" s="1">
        <f>Table1[[#This Row],[Purchase Amount (USD)]]</f>
        <v>20</v>
      </c>
      <c r="U7">
        <f>IF(Table1[[#This Row],[Subscription Status]]="Yes",1,IF(Table1[[#This Row],[Subscription Status]]="No",0))</f>
        <v>1</v>
      </c>
    </row>
    <row r="8" spans="1:21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  <c r="S8" t="str">
        <f>IF(Table1[[#This Row],[Age]]&lt;=25,"Young",IF(Table1[[#This Row],[Age]]&lt;=50,"Adult","Senior"))</f>
        <v>Senior</v>
      </c>
      <c r="T8" s="1">
        <f>Table1[[#This Row],[Purchase Amount (USD)]]</f>
        <v>85</v>
      </c>
      <c r="U8">
        <f>IF(Table1[[#This Row],[Subscription Status]]="Yes",1,IF(Table1[[#This Row],[Subscription Status]]="No",0))</f>
        <v>1</v>
      </c>
    </row>
    <row r="9" spans="1:21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  <c r="S9" t="str">
        <f>IF(Table1[[#This Row],[Age]]&lt;=25,"Young",IF(Table1[[#This Row],[Age]]&lt;=50,"Adult","Senior"))</f>
        <v>Adult</v>
      </c>
      <c r="T9" s="1">
        <f>Table1[[#This Row],[Purchase Amount (USD)]]</f>
        <v>34</v>
      </c>
      <c r="U9">
        <f>IF(Table1[[#This Row],[Subscription Status]]="Yes",1,IF(Table1[[#This Row],[Subscription Status]]="No",0))</f>
        <v>1</v>
      </c>
    </row>
    <row r="10" spans="1:21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  <c r="S10" t="str">
        <f>IF(Table1[[#This Row],[Age]]&lt;=25,"Young",IF(Table1[[#This Row],[Age]]&lt;=50,"Adult","Senior"))</f>
        <v>Adult</v>
      </c>
      <c r="T10" s="1">
        <f>Table1[[#This Row],[Purchase Amount (USD)]]</f>
        <v>97</v>
      </c>
      <c r="U10">
        <f>IF(Table1[[#This Row],[Subscription Status]]="Yes",1,IF(Table1[[#This Row],[Subscription Status]]="No",0))</f>
        <v>1</v>
      </c>
    </row>
    <row r="11" spans="1:21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  <c r="S11" t="str">
        <f>IF(Table1[[#This Row],[Age]]&lt;=25,"Young",IF(Table1[[#This Row],[Age]]&lt;=50,"Adult","Senior"))</f>
        <v>Senior</v>
      </c>
      <c r="T11" s="1">
        <f>Table1[[#This Row],[Purchase Amount (USD)]]</f>
        <v>31</v>
      </c>
      <c r="U11">
        <f>IF(Table1[[#This Row],[Subscription Status]]="Yes",1,IF(Table1[[#This Row],[Subscription Status]]="No",0))</f>
        <v>1</v>
      </c>
    </row>
    <row r="12" spans="1:21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  <c r="S12" t="str">
        <f>IF(Table1[[#This Row],[Age]]&lt;=25,"Young",IF(Table1[[#This Row],[Age]]&lt;=50,"Adult","Senior"))</f>
        <v>Senior</v>
      </c>
      <c r="T12" s="1">
        <f>Table1[[#This Row],[Purchase Amount (USD)]]</f>
        <v>34</v>
      </c>
      <c r="U12">
        <f>IF(Table1[[#This Row],[Subscription Status]]="Yes",1,IF(Table1[[#This Row],[Subscription Status]]="No",0))</f>
        <v>1</v>
      </c>
    </row>
    <row r="13" spans="1:21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  <c r="S13" t="str">
        <f>IF(Table1[[#This Row],[Age]]&lt;=25,"Young",IF(Table1[[#This Row],[Age]]&lt;=50,"Adult","Senior"))</f>
        <v>Adult</v>
      </c>
      <c r="T13" s="1">
        <f>Table1[[#This Row],[Purchase Amount (USD)]]</f>
        <v>68</v>
      </c>
      <c r="U13">
        <f>IF(Table1[[#This Row],[Subscription Status]]="Yes",1,IF(Table1[[#This Row],[Subscription Status]]="No",0))</f>
        <v>1</v>
      </c>
    </row>
    <row r="14" spans="1:21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  <c r="S14" t="str">
        <f>IF(Table1[[#This Row],[Age]]&lt;=25,"Young",IF(Table1[[#This Row],[Age]]&lt;=50,"Adult","Senior"))</f>
        <v>Senior</v>
      </c>
      <c r="T14" s="1">
        <f>Table1[[#This Row],[Purchase Amount (USD)]]</f>
        <v>72</v>
      </c>
      <c r="U14">
        <f>IF(Table1[[#This Row],[Subscription Status]]="Yes",1,IF(Table1[[#This Row],[Subscription Status]]="No",0))</f>
        <v>1</v>
      </c>
    </row>
    <row r="15" spans="1:21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  <c r="S15" t="str">
        <f>IF(Table1[[#This Row],[Age]]&lt;=25,"Young",IF(Table1[[#This Row],[Age]]&lt;=50,"Adult","Senior"))</f>
        <v>Senior</v>
      </c>
      <c r="T15" s="1">
        <f>Table1[[#This Row],[Purchase Amount (USD)]]</f>
        <v>51</v>
      </c>
      <c r="U15">
        <f>IF(Table1[[#This Row],[Subscription Status]]="Yes",1,IF(Table1[[#This Row],[Subscription Status]]="No",0))</f>
        <v>1</v>
      </c>
    </row>
    <row r="16" spans="1:21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  <c r="S16" t="str">
        <f>IF(Table1[[#This Row],[Age]]&lt;=25,"Young",IF(Table1[[#This Row],[Age]]&lt;=50,"Adult","Senior"))</f>
        <v>Senior</v>
      </c>
      <c r="T16" s="1">
        <f>Table1[[#This Row],[Purchase Amount (USD)]]</f>
        <v>53</v>
      </c>
      <c r="U16">
        <f>IF(Table1[[#This Row],[Subscription Status]]="Yes",1,IF(Table1[[#This Row],[Subscription Status]]="No",0))</f>
        <v>1</v>
      </c>
    </row>
    <row r="17" spans="1:21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  <c r="S17" t="str">
        <f>IF(Table1[[#This Row],[Age]]&lt;=25,"Young",IF(Table1[[#This Row],[Age]]&lt;=50,"Adult","Senior"))</f>
        <v>Senior</v>
      </c>
      <c r="T17" s="1">
        <f>Table1[[#This Row],[Purchase Amount (USD)]]</f>
        <v>81</v>
      </c>
      <c r="U17">
        <f>IF(Table1[[#This Row],[Subscription Status]]="Yes",1,IF(Table1[[#This Row],[Subscription Status]]="No",0))</f>
        <v>1</v>
      </c>
    </row>
    <row r="18" spans="1:21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  <c r="S18" t="str">
        <f>IF(Table1[[#This Row],[Age]]&lt;=25,"Young",IF(Table1[[#This Row],[Age]]&lt;=50,"Adult","Senior"))</f>
        <v>Young</v>
      </c>
      <c r="T18" s="1">
        <f>Table1[[#This Row],[Purchase Amount (USD)]]</f>
        <v>36</v>
      </c>
      <c r="U18">
        <f>IF(Table1[[#This Row],[Subscription Status]]="Yes",1,IF(Table1[[#This Row],[Subscription Status]]="No",0))</f>
        <v>1</v>
      </c>
    </row>
    <row r="19" spans="1:21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  <c r="S19" t="str">
        <f>IF(Table1[[#This Row],[Age]]&lt;=25,"Young",IF(Table1[[#This Row],[Age]]&lt;=50,"Adult","Senior"))</f>
        <v>Senior</v>
      </c>
      <c r="T19" s="1">
        <f>Table1[[#This Row],[Purchase Amount (USD)]]</f>
        <v>38</v>
      </c>
      <c r="U19">
        <f>IF(Table1[[#This Row],[Subscription Status]]="Yes",1,IF(Table1[[#This Row],[Subscription Status]]="No",0))</f>
        <v>1</v>
      </c>
    </row>
    <row r="20" spans="1:21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  <c r="S20" t="str">
        <f>IF(Table1[[#This Row],[Age]]&lt;=25,"Young",IF(Table1[[#This Row],[Age]]&lt;=50,"Adult","Senior"))</f>
        <v>Senior</v>
      </c>
      <c r="T20" s="1">
        <f>Table1[[#This Row],[Purchase Amount (USD)]]</f>
        <v>48</v>
      </c>
      <c r="U20">
        <f>IF(Table1[[#This Row],[Subscription Status]]="Yes",1,IF(Table1[[#This Row],[Subscription Status]]="No",0))</f>
        <v>1</v>
      </c>
    </row>
    <row r="21" spans="1:21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  <c r="S21" t="str">
        <f>IF(Table1[[#This Row],[Age]]&lt;=25,"Young",IF(Table1[[#This Row],[Age]]&lt;=50,"Adult","Senior"))</f>
        <v>Senior</v>
      </c>
      <c r="T21" s="1">
        <f>Table1[[#This Row],[Purchase Amount (USD)]]</f>
        <v>90</v>
      </c>
      <c r="U21">
        <f>IF(Table1[[#This Row],[Subscription Status]]="Yes",1,IF(Table1[[#This Row],[Subscription Status]]="No",0))</f>
        <v>1</v>
      </c>
    </row>
    <row r="22" spans="1:21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  <c r="S22" t="str">
        <f>IF(Table1[[#This Row],[Age]]&lt;=25,"Young",IF(Table1[[#This Row],[Age]]&lt;=50,"Adult","Senior"))</f>
        <v>Young</v>
      </c>
      <c r="T22" s="1">
        <f>Table1[[#This Row],[Purchase Amount (USD)]]</f>
        <v>51</v>
      </c>
      <c r="U22">
        <f>IF(Table1[[#This Row],[Subscription Status]]="Yes",1,IF(Table1[[#This Row],[Subscription Status]]="No",0))</f>
        <v>1</v>
      </c>
    </row>
    <row r="23" spans="1:21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  <c r="S23" t="str">
        <f>IF(Table1[[#This Row],[Age]]&lt;=25,"Young",IF(Table1[[#This Row],[Age]]&lt;=50,"Adult","Senior"))</f>
        <v>Adult</v>
      </c>
      <c r="T23" s="1">
        <f>Table1[[#This Row],[Purchase Amount (USD)]]</f>
        <v>62</v>
      </c>
      <c r="U23">
        <f>IF(Table1[[#This Row],[Subscription Status]]="Yes",1,IF(Table1[[#This Row],[Subscription Status]]="No",0))</f>
        <v>1</v>
      </c>
    </row>
    <row r="24" spans="1:21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  <c r="S24" t="str">
        <f>IF(Table1[[#This Row],[Age]]&lt;=25,"Young",IF(Table1[[#This Row],[Age]]&lt;=50,"Adult","Senior"))</f>
        <v>Senior</v>
      </c>
      <c r="T24" s="1">
        <f>Table1[[#This Row],[Purchase Amount (USD)]]</f>
        <v>37</v>
      </c>
      <c r="U24">
        <f>IF(Table1[[#This Row],[Subscription Status]]="Yes",1,IF(Table1[[#This Row],[Subscription Status]]="No",0))</f>
        <v>1</v>
      </c>
    </row>
    <row r="25" spans="1:21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  <c r="S25" t="str">
        <f>IF(Table1[[#This Row],[Age]]&lt;=25,"Young",IF(Table1[[#This Row],[Age]]&lt;=50,"Adult","Senior"))</f>
        <v>Adult</v>
      </c>
      <c r="T25" s="1">
        <f>Table1[[#This Row],[Purchase Amount (USD)]]</f>
        <v>88</v>
      </c>
      <c r="U25">
        <f>IF(Table1[[#This Row],[Subscription Status]]="Yes",1,IF(Table1[[#This Row],[Subscription Status]]="No",0))</f>
        <v>1</v>
      </c>
    </row>
    <row r="26" spans="1:21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  <c r="S26" t="str">
        <f>IF(Table1[[#This Row],[Age]]&lt;=25,"Young",IF(Table1[[#This Row],[Age]]&lt;=50,"Adult","Senior"))</f>
        <v>Young</v>
      </c>
      <c r="T26" s="1">
        <f>Table1[[#This Row],[Purchase Amount (USD)]]</f>
        <v>22</v>
      </c>
      <c r="U26">
        <f>IF(Table1[[#This Row],[Subscription Status]]="Yes",1,IF(Table1[[#This Row],[Subscription Status]]="No",0))</f>
        <v>1</v>
      </c>
    </row>
    <row r="27" spans="1:21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  <c r="S27" t="str">
        <f>IF(Table1[[#This Row],[Age]]&lt;=25,"Young",IF(Table1[[#This Row],[Age]]&lt;=50,"Adult","Senior"))</f>
        <v>Young</v>
      </c>
      <c r="T27" s="1">
        <f>Table1[[#This Row],[Purchase Amount (USD)]]</f>
        <v>25</v>
      </c>
      <c r="U27">
        <f>IF(Table1[[#This Row],[Subscription Status]]="Yes",1,IF(Table1[[#This Row],[Subscription Status]]="No",0))</f>
        <v>1</v>
      </c>
    </row>
    <row r="28" spans="1:21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  <c r="S28" t="str">
        <f>IF(Table1[[#This Row],[Age]]&lt;=25,"Young",IF(Table1[[#This Row],[Age]]&lt;=50,"Adult","Senior"))</f>
        <v>Adult</v>
      </c>
      <c r="T28" s="1">
        <f>Table1[[#This Row],[Purchase Amount (USD)]]</f>
        <v>20</v>
      </c>
      <c r="U28">
        <f>IF(Table1[[#This Row],[Subscription Status]]="Yes",1,IF(Table1[[#This Row],[Subscription Status]]="No",0))</f>
        <v>1</v>
      </c>
    </row>
    <row r="29" spans="1:21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  <c r="S29" t="str">
        <f>IF(Table1[[#This Row],[Age]]&lt;=25,"Young",IF(Table1[[#This Row],[Age]]&lt;=50,"Adult","Senior"))</f>
        <v>Senior</v>
      </c>
      <c r="T29" s="1">
        <f>Table1[[#This Row],[Purchase Amount (USD)]]</f>
        <v>56</v>
      </c>
      <c r="U29">
        <f>IF(Table1[[#This Row],[Subscription Status]]="Yes",1,IF(Table1[[#This Row],[Subscription Status]]="No",0))</f>
        <v>1</v>
      </c>
    </row>
    <row r="30" spans="1:21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  <c r="S30" t="str">
        <f>IF(Table1[[#This Row],[Age]]&lt;=25,"Young",IF(Table1[[#This Row],[Age]]&lt;=50,"Adult","Senior"))</f>
        <v>Senior</v>
      </c>
      <c r="T30" s="1">
        <f>Table1[[#This Row],[Purchase Amount (USD)]]</f>
        <v>94</v>
      </c>
      <c r="U30">
        <f>IF(Table1[[#This Row],[Subscription Status]]="Yes",1,IF(Table1[[#This Row],[Subscription Status]]="No",0))</f>
        <v>1</v>
      </c>
    </row>
    <row r="31" spans="1:21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  <c r="S31" t="str">
        <f>IF(Table1[[#This Row],[Age]]&lt;=25,"Young",IF(Table1[[#This Row],[Age]]&lt;=50,"Adult","Senior"))</f>
        <v>Adult</v>
      </c>
      <c r="T31" s="1">
        <f>Table1[[#This Row],[Purchase Amount (USD)]]</f>
        <v>48</v>
      </c>
      <c r="U31">
        <f>IF(Table1[[#This Row],[Subscription Status]]="Yes",1,IF(Table1[[#This Row],[Subscription Status]]="No",0))</f>
        <v>1</v>
      </c>
    </row>
    <row r="32" spans="1:21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  <c r="S32" t="str">
        <f>IF(Table1[[#This Row],[Age]]&lt;=25,"Young",IF(Table1[[#This Row],[Age]]&lt;=50,"Adult","Senior"))</f>
        <v>Senior</v>
      </c>
      <c r="T32" s="1">
        <f>Table1[[#This Row],[Purchase Amount (USD)]]</f>
        <v>31</v>
      </c>
      <c r="U32">
        <f>IF(Table1[[#This Row],[Subscription Status]]="Yes",1,IF(Table1[[#This Row],[Subscription Status]]="No",0))</f>
        <v>1</v>
      </c>
    </row>
    <row r="33" spans="1:21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  <c r="S33" t="str">
        <f>IF(Table1[[#This Row],[Age]]&lt;=25,"Young",IF(Table1[[#This Row],[Age]]&lt;=50,"Adult","Senior"))</f>
        <v>Adult</v>
      </c>
      <c r="T33" s="1">
        <f>Table1[[#This Row],[Purchase Amount (USD)]]</f>
        <v>79</v>
      </c>
      <c r="U33">
        <f>IF(Table1[[#This Row],[Subscription Status]]="Yes",1,IF(Table1[[#This Row],[Subscription Status]]="No",0))</f>
        <v>1</v>
      </c>
    </row>
    <row r="34" spans="1:21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  <c r="S34" t="str">
        <f>IF(Table1[[#This Row],[Age]]&lt;=25,"Young",IF(Table1[[#This Row],[Age]]&lt;=50,"Adult","Senior"))</f>
        <v>Adult</v>
      </c>
      <c r="T34" s="1">
        <f>Table1[[#This Row],[Purchase Amount (USD)]]</f>
        <v>67</v>
      </c>
      <c r="U34">
        <f>IF(Table1[[#This Row],[Subscription Status]]="Yes",1,IF(Table1[[#This Row],[Subscription Status]]="No",0))</f>
        <v>1</v>
      </c>
    </row>
    <row r="35" spans="1:21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  <c r="S35" t="str">
        <f>IF(Table1[[#This Row],[Age]]&lt;=25,"Young",IF(Table1[[#This Row],[Age]]&lt;=50,"Adult","Senior"))</f>
        <v>Senior</v>
      </c>
      <c r="T35" s="1">
        <f>Table1[[#This Row],[Purchase Amount (USD)]]</f>
        <v>38</v>
      </c>
      <c r="U35">
        <f>IF(Table1[[#This Row],[Subscription Status]]="Yes",1,IF(Table1[[#This Row],[Subscription Status]]="No",0))</f>
        <v>1</v>
      </c>
    </row>
    <row r="36" spans="1:21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  <c r="S36" t="str">
        <f>IF(Table1[[#This Row],[Age]]&lt;=25,"Young",IF(Table1[[#This Row],[Age]]&lt;=50,"Adult","Senior"))</f>
        <v>Adult</v>
      </c>
      <c r="T36" s="1">
        <f>Table1[[#This Row],[Purchase Amount (USD)]]</f>
        <v>91</v>
      </c>
      <c r="U36">
        <f>IF(Table1[[#This Row],[Subscription Status]]="Yes",1,IF(Table1[[#This Row],[Subscription Status]]="No",0))</f>
        <v>1</v>
      </c>
    </row>
    <row r="37" spans="1:21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  <c r="S37" t="str">
        <f>IF(Table1[[#This Row],[Age]]&lt;=25,"Young",IF(Table1[[#This Row],[Age]]&lt;=50,"Adult","Senior"))</f>
        <v>Senior</v>
      </c>
      <c r="T37" s="1">
        <f>Table1[[#This Row],[Purchase Amount (USD)]]</f>
        <v>33</v>
      </c>
      <c r="U37">
        <f>IF(Table1[[#This Row],[Subscription Status]]="Yes",1,IF(Table1[[#This Row],[Subscription Status]]="No",0))</f>
        <v>1</v>
      </c>
    </row>
    <row r="38" spans="1:21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  <c r="S38" t="str">
        <f>IF(Table1[[#This Row],[Age]]&lt;=25,"Young",IF(Table1[[#This Row],[Age]]&lt;=50,"Adult","Senior"))</f>
        <v>Adult</v>
      </c>
      <c r="T38" s="1">
        <f>Table1[[#This Row],[Purchase Amount (USD)]]</f>
        <v>69</v>
      </c>
      <c r="U38">
        <f>IF(Table1[[#This Row],[Subscription Status]]="Yes",1,IF(Table1[[#This Row],[Subscription Status]]="No",0))</f>
        <v>1</v>
      </c>
    </row>
    <row r="39" spans="1:21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  <c r="S39" t="str">
        <f>IF(Table1[[#This Row],[Age]]&lt;=25,"Young",IF(Table1[[#This Row],[Age]]&lt;=50,"Adult","Senior"))</f>
        <v>Adult</v>
      </c>
      <c r="T39" s="1">
        <f>Table1[[#This Row],[Purchase Amount (USD)]]</f>
        <v>45</v>
      </c>
      <c r="U39">
        <f>IF(Table1[[#This Row],[Subscription Status]]="Yes",1,IF(Table1[[#This Row],[Subscription Status]]="No",0))</f>
        <v>1</v>
      </c>
    </row>
    <row r="40" spans="1:21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  <c r="S40" t="str">
        <f>IF(Table1[[#This Row],[Age]]&lt;=25,"Young",IF(Table1[[#This Row],[Age]]&lt;=50,"Adult","Senior"))</f>
        <v>Adult</v>
      </c>
      <c r="T40" s="1">
        <f>Table1[[#This Row],[Purchase Amount (USD)]]</f>
        <v>37</v>
      </c>
      <c r="U40">
        <f>IF(Table1[[#This Row],[Subscription Status]]="Yes",1,IF(Table1[[#This Row],[Subscription Status]]="No",0))</f>
        <v>1</v>
      </c>
    </row>
    <row r="41" spans="1:21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  <c r="S41" t="str">
        <f>IF(Table1[[#This Row],[Age]]&lt;=25,"Young",IF(Table1[[#This Row],[Age]]&lt;=50,"Adult","Senior"))</f>
        <v>Senior</v>
      </c>
      <c r="T41" s="1">
        <f>Table1[[#This Row],[Purchase Amount (USD)]]</f>
        <v>60</v>
      </c>
      <c r="U41">
        <f>IF(Table1[[#This Row],[Subscription Status]]="Yes",1,IF(Table1[[#This Row],[Subscription Status]]="No",0))</f>
        <v>1</v>
      </c>
    </row>
    <row r="42" spans="1:21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  <c r="S42" t="str">
        <f>IF(Table1[[#This Row],[Age]]&lt;=25,"Young",IF(Table1[[#This Row],[Age]]&lt;=50,"Adult","Senior"))</f>
        <v>Senior</v>
      </c>
      <c r="T42" s="1">
        <f>Table1[[#This Row],[Purchase Amount (USD)]]</f>
        <v>76</v>
      </c>
      <c r="U42">
        <f>IF(Table1[[#This Row],[Subscription Status]]="Yes",1,IF(Table1[[#This Row],[Subscription Status]]="No",0))</f>
        <v>1</v>
      </c>
    </row>
    <row r="43" spans="1:21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  <c r="S43" t="str">
        <f>IF(Table1[[#This Row],[Age]]&lt;=25,"Young",IF(Table1[[#This Row],[Age]]&lt;=50,"Adult","Senior"))</f>
        <v>Senior</v>
      </c>
      <c r="T43" s="1">
        <f>Table1[[#This Row],[Purchase Amount (USD)]]</f>
        <v>39</v>
      </c>
      <c r="U43">
        <f>IF(Table1[[#This Row],[Subscription Status]]="Yes",1,IF(Table1[[#This Row],[Subscription Status]]="No",0))</f>
        <v>1</v>
      </c>
    </row>
    <row r="44" spans="1:21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  <c r="S44" t="str">
        <f>IF(Table1[[#This Row],[Age]]&lt;=25,"Young",IF(Table1[[#This Row],[Age]]&lt;=50,"Adult","Senior"))</f>
        <v>Young</v>
      </c>
      <c r="T44" s="1">
        <f>Table1[[#This Row],[Purchase Amount (USD)]]</f>
        <v>100</v>
      </c>
      <c r="U44">
        <f>IF(Table1[[#This Row],[Subscription Status]]="Yes",1,IF(Table1[[#This Row],[Subscription Status]]="No",0))</f>
        <v>1</v>
      </c>
    </row>
    <row r="45" spans="1:21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  <c r="S45" t="str">
        <f>IF(Table1[[#This Row],[Age]]&lt;=25,"Young",IF(Table1[[#This Row],[Age]]&lt;=50,"Adult","Senior"))</f>
        <v>Young</v>
      </c>
      <c r="T45" s="1">
        <f>Table1[[#This Row],[Purchase Amount (USD)]]</f>
        <v>69</v>
      </c>
      <c r="U45">
        <f>IF(Table1[[#This Row],[Subscription Status]]="Yes",1,IF(Table1[[#This Row],[Subscription Status]]="No",0))</f>
        <v>1</v>
      </c>
    </row>
    <row r="46" spans="1:21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  <c r="S46" t="str">
        <f>IF(Table1[[#This Row],[Age]]&lt;=25,"Young",IF(Table1[[#This Row],[Age]]&lt;=50,"Adult","Senior"))</f>
        <v>Adult</v>
      </c>
      <c r="T46" s="1">
        <f>Table1[[#This Row],[Purchase Amount (USD)]]</f>
        <v>53</v>
      </c>
      <c r="U46">
        <f>IF(Table1[[#This Row],[Subscription Status]]="Yes",1,IF(Table1[[#This Row],[Subscription Status]]="No",0))</f>
        <v>1</v>
      </c>
    </row>
    <row r="47" spans="1:21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  <c r="S47" t="str">
        <f>IF(Table1[[#This Row],[Age]]&lt;=25,"Young",IF(Table1[[#This Row],[Age]]&lt;=50,"Adult","Senior"))</f>
        <v>Adult</v>
      </c>
      <c r="T47" s="1">
        <f>Table1[[#This Row],[Purchase Amount (USD)]]</f>
        <v>21</v>
      </c>
      <c r="U47">
        <f>IF(Table1[[#This Row],[Subscription Status]]="Yes",1,IF(Table1[[#This Row],[Subscription Status]]="No",0))</f>
        <v>1</v>
      </c>
    </row>
    <row r="48" spans="1:21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  <c r="S48" t="str">
        <f>IF(Table1[[#This Row],[Age]]&lt;=25,"Young",IF(Table1[[#This Row],[Age]]&lt;=50,"Adult","Senior"))</f>
        <v>Senior</v>
      </c>
      <c r="T48" s="1">
        <f>Table1[[#This Row],[Purchase Amount (USD)]]</f>
        <v>43</v>
      </c>
      <c r="U48">
        <f>IF(Table1[[#This Row],[Subscription Status]]="Yes",1,IF(Table1[[#This Row],[Subscription Status]]="No",0))</f>
        <v>1</v>
      </c>
    </row>
    <row r="49" spans="1:21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  <c r="S49" t="str">
        <f>IF(Table1[[#This Row],[Age]]&lt;=25,"Young",IF(Table1[[#This Row],[Age]]&lt;=50,"Adult","Senior"))</f>
        <v>Senior</v>
      </c>
      <c r="T49" s="1">
        <f>Table1[[#This Row],[Purchase Amount (USD)]]</f>
        <v>54</v>
      </c>
      <c r="U49">
        <f>IF(Table1[[#This Row],[Subscription Status]]="Yes",1,IF(Table1[[#This Row],[Subscription Status]]="No",0))</f>
        <v>1</v>
      </c>
    </row>
    <row r="50" spans="1:21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  <c r="S50" t="str">
        <f>IF(Table1[[#This Row],[Age]]&lt;=25,"Young",IF(Table1[[#This Row],[Age]]&lt;=50,"Adult","Senior"))</f>
        <v>Adult</v>
      </c>
      <c r="T50" s="1">
        <f>Table1[[#This Row],[Purchase Amount (USD)]]</f>
        <v>55</v>
      </c>
      <c r="U50">
        <f>IF(Table1[[#This Row],[Subscription Status]]="Yes",1,IF(Table1[[#This Row],[Subscription Status]]="No",0))</f>
        <v>1</v>
      </c>
    </row>
    <row r="51" spans="1:21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  <c r="S51" t="str">
        <f>IF(Table1[[#This Row],[Age]]&lt;=25,"Young",IF(Table1[[#This Row],[Age]]&lt;=50,"Adult","Senior"))</f>
        <v>Senior</v>
      </c>
      <c r="T51" s="1">
        <f>Table1[[#This Row],[Purchase Amount (USD)]]</f>
        <v>30</v>
      </c>
      <c r="U51">
        <f>IF(Table1[[#This Row],[Subscription Status]]="Yes",1,IF(Table1[[#This Row],[Subscription Status]]="No",0))</f>
        <v>1</v>
      </c>
    </row>
    <row r="52" spans="1:21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  <c r="S52" t="str">
        <f>IF(Table1[[#This Row],[Age]]&lt;=25,"Young",IF(Table1[[#This Row],[Age]]&lt;=50,"Adult","Senior"))</f>
        <v>Adult</v>
      </c>
      <c r="T52" s="1">
        <f>Table1[[#This Row],[Purchase Amount (USD)]]</f>
        <v>28</v>
      </c>
      <c r="U52">
        <f>IF(Table1[[#This Row],[Subscription Status]]="Yes",1,IF(Table1[[#This Row],[Subscription Status]]="No",0))</f>
        <v>1</v>
      </c>
    </row>
    <row r="53" spans="1:21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  <c r="S53" t="str">
        <f>IF(Table1[[#This Row],[Age]]&lt;=25,"Young",IF(Table1[[#This Row],[Age]]&lt;=50,"Adult","Senior"))</f>
        <v>Senior</v>
      </c>
      <c r="T53" s="1">
        <f>Table1[[#This Row],[Purchase Amount (USD)]]</f>
        <v>59</v>
      </c>
      <c r="U53">
        <f>IF(Table1[[#This Row],[Subscription Status]]="Yes",1,IF(Table1[[#This Row],[Subscription Status]]="No",0))</f>
        <v>1</v>
      </c>
    </row>
    <row r="54" spans="1:21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  <c r="S54" t="str">
        <f>IF(Table1[[#This Row],[Age]]&lt;=25,"Young",IF(Table1[[#This Row],[Age]]&lt;=50,"Adult","Senior"))</f>
        <v>Adult</v>
      </c>
      <c r="T54" s="1">
        <f>Table1[[#This Row],[Purchase Amount (USD)]]</f>
        <v>20</v>
      </c>
      <c r="U54">
        <f>IF(Table1[[#This Row],[Subscription Status]]="Yes",1,IF(Table1[[#This Row],[Subscription Status]]="No",0))</f>
        <v>1</v>
      </c>
    </row>
    <row r="55" spans="1:21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  <c r="S55" t="str">
        <f>IF(Table1[[#This Row],[Age]]&lt;=25,"Young",IF(Table1[[#This Row],[Age]]&lt;=50,"Adult","Senior"))</f>
        <v>Adult</v>
      </c>
      <c r="T55" s="1">
        <f>Table1[[#This Row],[Purchase Amount (USD)]]</f>
        <v>24</v>
      </c>
      <c r="U55">
        <f>IF(Table1[[#This Row],[Subscription Status]]="Yes",1,IF(Table1[[#This Row],[Subscription Status]]="No",0))</f>
        <v>1</v>
      </c>
    </row>
    <row r="56" spans="1:21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  <c r="S56" t="str">
        <f>IF(Table1[[#This Row],[Age]]&lt;=25,"Young",IF(Table1[[#This Row],[Age]]&lt;=50,"Adult","Senior"))</f>
        <v>Adult</v>
      </c>
      <c r="T56" s="1">
        <f>Table1[[#This Row],[Purchase Amount (USD)]]</f>
        <v>94</v>
      </c>
      <c r="U56">
        <f>IF(Table1[[#This Row],[Subscription Status]]="Yes",1,IF(Table1[[#This Row],[Subscription Status]]="No",0))</f>
        <v>1</v>
      </c>
    </row>
    <row r="57" spans="1:21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  <c r="S57" t="str">
        <f>IF(Table1[[#This Row],[Age]]&lt;=25,"Young",IF(Table1[[#This Row],[Age]]&lt;=50,"Adult","Senior"))</f>
        <v>Adult</v>
      </c>
      <c r="T57" s="1">
        <f>Table1[[#This Row],[Purchase Amount (USD)]]</f>
        <v>28</v>
      </c>
      <c r="U57">
        <f>IF(Table1[[#This Row],[Subscription Status]]="Yes",1,IF(Table1[[#This Row],[Subscription Status]]="No",0))</f>
        <v>1</v>
      </c>
    </row>
    <row r="58" spans="1:21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  <c r="S58" t="str">
        <f>IF(Table1[[#This Row],[Age]]&lt;=25,"Young",IF(Table1[[#This Row],[Age]]&lt;=50,"Adult","Senior"))</f>
        <v>Adult</v>
      </c>
      <c r="T58" s="1">
        <f>Table1[[#This Row],[Purchase Amount (USD)]]</f>
        <v>73</v>
      </c>
      <c r="U58">
        <f>IF(Table1[[#This Row],[Subscription Status]]="Yes",1,IF(Table1[[#This Row],[Subscription Status]]="No",0))</f>
        <v>1</v>
      </c>
    </row>
    <row r="59" spans="1:21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  <c r="S59" t="str">
        <f>IF(Table1[[#This Row],[Age]]&lt;=25,"Young",IF(Table1[[#This Row],[Age]]&lt;=50,"Adult","Senior"))</f>
        <v>Young</v>
      </c>
      <c r="T59" s="1">
        <f>Table1[[#This Row],[Purchase Amount (USD)]]</f>
        <v>64</v>
      </c>
      <c r="U59">
        <f>IF(Table1[[#This Row],[Subscription Status]]="Yes",1,IF(Table1[[#This Row],[Subscription Status]]="No",0))</f>
        <v>1</v>
      </c>
    </row>
    <row r="60" spans="1:21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  <c r="S60" t="str">
        <f>IF(Table1[[#This Row],[Age]]&lt;=25,"Young",IF(Table1[[#This Row],[Age]]&lt;=50,"Adult","Senior"))</f>
        <v>Senior</v>
      </c>
      <c r="T60" s="1">
        <f>Table1[[#This Row],[Purchase Amount (USD)]]</f>
        <v>54</v>
      </c>
      <c r="U60">
        <f>IF(Table1[[#This Row],[Subscription Status]]="Yes",1,IF(Table1[[#This Row],[Subscription Status]]="No",0))</f>
        <v>1</v>
      </c>
    </row>
    <row r="61" spans="1:21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  <c r="S61" t="str">
        <f>IF(Table1[[#This Row],[Age]]&lt;=25,"Young",IF(Table1[[#This Row],[Age]]&lt;=50,"Adult","Senior"))</f>
        <v>Senior</v>
      </c>
      <c r="T61" s="1">
        <f>Table1[[#This Row],[Purchase Amount (USD)]]</f>
        <v>79</v>
      </c>
      <c r="U61">
        <f>IF(Table1[[#This Row],[Subscription Status]]="Yes",1,IF(Table1[[#This Row],[Subscription Status]]="No",0))</f>
        <v>1</v>
      </c>
    </row>
    <row r="62" spans="1:21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  <c r="S62" t="str">
        <f>IF(Table1[[#This Row],[Age]]&lt;=25,"Young",IF(Table1[[#This Row],[Age]]&lt;=50,"Adult","Senior"))</f>
        <v>Adult</v>
      </c>
      <c r="T62" s="1">
        <f>Table1[[#This Row],[Purchase Amount (USD)]]</f>
        <v>37</v>
      </c>
      <c r="U62">
        <f>IF(Table1[[#This Row],[Subscription Status]]="Yes",1,IF(Table1[[#This Row],[Subscription Status]]="No",0))</f>
        <v>1</v>
      </c>
    </row>
    <row r="63" spans="1:21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  <c r="S63" t="str">
        <f>IF(Table1[[#This Row],[Age]]&lt;=25,"Young",IF(Table1[[#This Row],[Age]]&lt;=50,"Adult","Senior"))</f>
        <v>Senior</v>
      </c>
      <c r="T63" s="1">
        <f>Table1[[#This Row],[Purchase Amount (USD)]]</f>
        <v>68</v>
      </c>
      <c r="U63">
        <f>IF(Table1[[#This Row],[Subscription Status]]="Yes",1,IF(Table1[[#This Row],[Subscription Status]]="No",0))</f>
        <v>1</v>
      </c>
    </row>
    <row r="64" spans="1:21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  <c r="S64" t="str">
        <f>IF(Table1[[#This Row],[Age]]&lt;=25,"Young",IF(Table1[[#This Row],[Age]]&lt;=50,"Adult","Senior"))</f>
        <v>Adult</v>
      </c>
      <c r="T64" s="1">
        <f>Table1[[#This Row],[Purchase Amount (USD)]]</f>
        <v>21</v>
      </c>
      <c r="U64">
        <f>IF(Table1[[#This Row],[Subscription Status]]="Yes",1,IF(Table1[[#This Row],[Subscription Status]]="No",0))</f>
        <v>1</v>
      </c>
    </row>
    <row r="65" spans="1:21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  <c r="S65" t="str">
        <f>IF(Table1[[#This Row],[Age]]&lt;=25,"Young",IF(Table1[[#This Row],[Age]]&lt;=50,"Adult","Senior"))</f>
        <v>Adult</v>
      </c>
      <c r="T65" s="1">
        <f>Table1[[#This Row],[Purchase Amount (USD)]]</f>
        <v>79</v>
      </c>
      <c r="U65">
        <f>IF(Table1[[#This Row],[Subscription Status]]="Yes",1,IF(Table1[[#This Row],[Subscription Status]]="No",0))</f>
        <v>1</v>
      </c>
    </row>
    <row r="66" spans="1:21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  <c r="S66" t="str">
        <f>IF(Table1[[#This Row],[Age]]&lt;=25,"Young",IF(Table1[[#This Row],[Age]]&lt;=50,"Adult","Senior"))</f>
        <v>Senior</v>
      </c>
      <c r="T66" s="1">
        <f>Table1[[#This Row],[Purchase Amount (USD)]]</f>
        <v>83</v>
      </c>
      <c r="U66">
        <f>IF(Table1[[#This Row],[Subscription Status]]="Yes",1,IF(Table1[[#This Row],[Subscription Status]]="No",0))</f>
        <v>1</v>
      </c>
    </row>
    <row r="67" spans="1:21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  <c r="S67" t="str">
        <f>IF(Table1[[#This Row],[Age]]&lt;=25,"Young",IF(Table1[[#This Row],[Age]]&lt;=50,"Adult","Senior"))</f>
        <v>Senior</v>
      </c>
      <c r="T67" s="1">
        <f>Table1[[#This Row],[Purchase Amount (USD)]]</f>
        <v>36</v>
      </c>
      <c r="U67">
        <f>IF(Table1[[#This Row],[Subscription Status]]="Yes",1,IF(Table1[[#This Row],[Subscription Status]]="No",0))</f>
        <v>1</v>
      </c>
    </row>
    <row r="68" spans="1:21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  <c r="S68" t="str">
        <f>IF(Table1[[#This Row],[Age]]&lt;=25,"Young",IF(Table1[[#This Row],[Age]]&lt;=50,"Adult","Senior"))</f>
        <v>Adult</v>
      </c>
      <c r="T68" s="1">
        <f>Table1[[#This Row],[Purchase Amount (USD)]]</f>
        <v>94</v>
      </c>
      <c r="U68">
        <f>IF(Table1[[#This Row],[Subscription Status]]="Yes",1,IF(Table1[[#This Row],[Subscription Status]]="No",0))</f>
        <v>1</v>
      </c>
    </row>
    <row r="69" spans="1:21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  <c r="S69" t="str">
        <f>IF(Table1[[#This Row],[Age]]&lt;=25,"Young",IF(Table1[[#This Row],[Age]]&lt;=50,"Adult","Senior"))</f>
        <v>Adult</v>
      </c>
      <c r="T69" s="1">
        <f>Table1[[#This Row],[Purchase Amount (USD)]]</f>
        <v>33</v>
      </c>
      <c r="U69">
        <f>IF(Table1[[#This Row],[Subscription Status]]="Yes",1,IF(Table1[[#This Row],[Subscription Status]]="No",0))</f>
        <v>1</v>
      </c>
    </row>
    <row r="70" spans="1:21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  <c r="S70" t="str">
        <f>IF(Table1[[#This Row],[Age]]&lt;=25,"Young",IF(Table1[[#This Row],[Age]]&lt;=50,"Adult","Senior"))</f>
        <v>Senior</v>
      </c>
      <c r="T70" s="1">
        <f>Table1[[#This Row],[Purchase Amount (USD)]]</f>
        <v>46</v>
      </c>
      <c r="U70">
        <f>IF(Table1[[#This Row],[Subscription Status]]="Yes",1,IF(Table1[[#This Row],[Subscription Status]]="No",0))</f>
        <v>1</v>
      </c>
    </row>
    <row r="71" spans="1:21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  <c r="S71" t="str">
        <f>IF(Table1[[#This Row],[Age]]&lt;=25,"Young",IF(Table1[[#This Row],[Age]]&lt;=50,"Adult","Senior"))</f>
        <v>Adult</v>
      </c>
      <c r="T71" s="1">
        <f>Table1[[#This Row],[Purchase Amount (USD)]]</f>
        <v>70</v>
      </c>
      <c r="U71">
        <f>IF(Table1[[#This Row],[Subscription Status]]="Yes",1,IF(Table1[[#This Row],[Subscription Status]]="No",0))</f>
        <v>1</v>
      </c>
    </row>
    <row r="72" spans="1:21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  <c r="S72" t="str">
        <f>IF(Table1[[#This Row],[Age]]&lt;=25,"Young",IF(Table1[[#This Row],[Age]]&lt;=50,"Adult","Senior"))</f>
        <v>Young</v>
      </c>
      <c r="T72" s="1">
        <f>Table1[[#This Row],[Purchase Amount (USD)]]</f>
        <v>29</v>
      </c>
      <c r="U72">
        <f>IF(Table1[[#This Row],[Subscription Status]]="Yes",1,IF(Table1[[#This Row],[Subscription Status]]="No",0))</f>
        <v>1</v>
      </c>
    </row>
    <row r="73" spans="1:21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  <c r="S73" t="str">
        <f>IF(Table1[[#This Row],[Age]]&lt;=25,"Young",IF(Table1[[#This Row],[Age]]&lt;=50,"Adult","Senior"))</f>
        <v>Adult</v>
      </c>
      <c r="T73" s="1">
        <f>Table1[[#This Row],[Purchase Amount (USD)]]</f>
        <v>48</v>
      </c>
      <c r="U73">
        <f>IF(Table1[[#This Row],[Subscription Status]]="Yes",1,IF(Table1[[#This Row],[Subscription Status]]="No",0))</f>
        <v>1</v>
      </c>
    </row>
    <row r="74" spans="1:21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  <c r="S74" t="str">
        <f>IF(Table1[[#This Row],[Age]]&lt;=25,"Young",IF(Table1[[#This Row],[Age]]&lt;=50,"Adult","Senior"))</f>
        <v>Young</v>
      </c>
      <c r="T74" s="1">
        <f>Table1[[#This Row],[Purchase Amount (USD)]]</f>
        <v>26</v>
      </c>
      <c r="U74">
        <f>IF(Table1[[#This Row],[Subscription Status]]="Yes",1,IF(Table1[[#This Row],[Subscription Status]]="No",0))</f>
        <v>1</v>
      </c>
    </row>
    <row r="75" spans="1:21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  <c r="S75" t="str">
        <f>IF(Table1[[#This Row],[Age]]&lt;=25,"Young",IF(Table1[[#This Row],[Age]]&lt;=50,"Adult","Senior"))</f>
        <v>Adult</v>
      </c>
      <c r="T75" s="1">
        <f>Table1[[#This Row],[Purchase Amount (USD)]]</f>
        <v>85</v>
      </c>
      <c r="U75">
        <f>IF(Table1[[#This Row],[Subscription Status]]="Yes",1,IF(Table1[[#This Row],[Subscription Status]]="No",0))</f>
        <v>1</v>
      </c>
    </row>
    <row r="76" spans="1:21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  <c r="S76" t="str">
        <f>IF(Table1[[#This Row],[Age]]&lt;=25,"Young",IF(Table1[[#This Row],[Age]]&lt;=50,"Adult","Senior"))</f>
        <v>Adult</v>
      </c>
      <c r="T76" s="1">
        <f>Table1[[#This Row],[Purchase Amount (USD)]]</f>
        <v>58</v>
      </c>
      <c r="U76">
        <f>IF(Table1[[#This Row],[Subscription Status]]="Yes",1,IF(Table1[[#This Row],[Subscription Status]]="No",0))</f>
        <v>1</v>
      </c>
    </row>
    <row r="77" spans="1:21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  <c r="S77" t="str">
        <f>IF(Table1[[#This Row],[Age]]&lt;=25,"Young",IF(Table1[[#This Row],[Age]]&lt;=50,"Adult","Senior"))</f>
        <v>Senior</v>
      </c>
      <c r="T77" s="1">
        <f>Table1[[#This Row],[Purchase Amount (USD)]]</f>
        <v>85</v>
      </c>
      <c r="U77">
        <f>IF(Table1[[#This Row],[Subscription Status]]="Yes",1,IF(Table1[[#This Row],[Subscription Status]]="No",0))</f>
        <v>1</v>
      </c>
    </row>
    <row r="78" spans="1:21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  <c r="S78" t="str">
        <f>IF(Table1[[#This Row],[Age]]&lt;=25,"Young",IF(Table1[[#This Row],[Age]]&lt;=50,"Adult","Senior"))</f>
        <v>Adult</v>
      </c>
      <c r="T78" s="1">
        <f>Table1[[#This Row],[Purchase Amount (USD)]]</f>
        <v>43</v>
      </c>
      <c r="U78">
        <f>IF(Table1[[#This Row],[Subscription Status]]="Yes",1,IF(Table1[[#This Row],[Subscription Status]]="No",0))</f>
        <v>1</v>
      </c>
    </row>
    <row r="79" spans="1:21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  <c r="S79" t="str">
        <f>IF(Table1[[#This Row],[Age]]&lt;=25,"Young",IF(Table1[[#This Row],[Age]]&lt;=50,"Adult","Senior"))</f>
        <v>Young</v>
      </c>
      <c r="T79" s="1">
        <f>Table1[[#This Row],[Purchase Amount (USD)]]</f>
        <v>53</v>
      </c>
      <c r="U79">
        <f>IF(Table1[[#This Row],[Subscription Status]]="Yes",1,IF(Table1[[#This Row],[Subscription Status]]="No",0))</f>
        <v>1</v>
      </c>
    </row>
    <row r="80" spans="1:21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  <c r="S80" t="str">
        <f>IF(Table1[[#This Row],[Age]]&lt;=25,"Young",IF(Table1[[#This Row],[Age]]&lt;=50,"Adult","Senior"))</f>
        <v>Adult</v>
      </c>
      <c r="T80" s="1">
        <f>Table1[[#This Row],[Purchase Amount (USD)]]</f>
        <v>91</v>
      </c>
      <c r="U80">
        <f>IF(Table1[[#This Row],[Subscription Status]]="Yes",1,IF(Table1[[#This Row],[Subscription Status]]="No",0))</f>
        <v>1</v>
      </c>
    </row>
    <row r="81" spans="1:21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  <c r="S81" t="str">
        <f>IF(Table1[[#This Row],[Age]]&lt;=25,"Young",IF(Table1[[#This Row],[Age]]&lt;=50,"Adult","Senior"))</f>
        <v>Adult</v>
      </c>
      <c r="T81" s="1">
        <f>Table1[[#This Row],[Purchase Amount (USD)]]</f>
        <v>96</v>
      </c>
      <c r="U81">
        <f>IF(Table1[[#This Row],[Subscription Status]]="Yes",1,IF(Table1[[#This Row],[Subscription Status]]="No",0))</f>
        <v>1</v>
      </c>
    </row>
    <row r="82" spans="1:21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  <c r="S82" t="str">
        <f>IF(Table1[[#This Row],[Age]]&lt;=25,"Young",IF(Table1[[#This Row],[Age]]&lt;=50,"Adult","Senior"))</f>
        <v>Young</v>
      </c>
      <c r="T82" s="1">
        <f>Table1[[#This Row],[Purchase Amount (USD)]]</f>
        <v>72</v>
      </c>
      <c r="U82">
        <f>IF(Table1[[#This Row],[Subscription Status]]="Yes",1,IF(Table1[[#This Row],[Subscription Status]]="No",0))</f>
        <v>1</v>
      </c>
    </row>
    <row r="83" spans="1:21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  <c r="S83" t="str">
        <f>IF(Table1[[#This Row],[Age]]&lt;=25,"Young",IF(Table1[[#This Row],[Age]]&lt;=50,"Adult","Senior"))</f>
        <v>Senior</v>
      </c>
      <c r="T83" s="1">
        <f>Table1[[#This Row],[Purchase Amount (USD)]]</f>
        <v>96</v>
      </c>
      <c r="U83">
        <f>IF(Table1[[#This Row],[Subscription Status]]="Yes",1,IF(Table1[[#This Row],[Subscription Status]]="No",0))</f>
        <v>1</v>
      </c>
    </row>
    <row r="84" spans="1:21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  <c r="S84" t="str">
        <f>IF(Table1[[#This Row],[Age]]&lt;=25,"Young",IF(Table1[[#This Row],[Age]]&lt;=50,"Adult","Senior"))</f>
        <v>Young</v>
      </c>
      <c r="T84" s="1">
        <f>Table1[[#This Row],[Purchase Amount (USD)]]</f>
        <v>28</v>
      </c>
      <c r="U84">
        <f>IF(Table1[[#This Row],[Subscription Status]]="Yes",1,IF(Table1[[#This Row],[Subscription Status]]="No",0))</f>
        <v>1</v>
      </c>
    </row>
    <row r="85" spans="1:21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  <c r="S85" t="str">
        <f>IF(Table1[[#This Row],[Age]]&lt;=25,"Young",IF(Table1[[#This Row],[Age]]&lt;=50,"Adult","Senior"))</f>
        <v>Adult</v>
      </c>
      <c r="T85" s="1">
        <f>Table1[[#This Row],[Purchase Amount (USD)]]</f>
        <v>40</v>
      </c>
      <c r="U85">
        <f>IF(Table1[[#This Row],[Subscription Status]]="Yes",1,IF(Table1[[#This Row],[Subscription Status]]="No",0))</f>
        <v>1</v>
      </c>
    </row>
    <row r="86" spans="1:21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  <c r="S86" t="str">
        <f>IF(Table1[[#This Row],[Age]]&lt;=25,"Young",IF(Table1[[#This Row],[Age]]&lt;=50,"Adult","Senior"))</f>
        <v>Senior</v>
      </c>
      <c r="T86" s="1">
        <f>Table1[[#This Row],[Purchase Amount (USD)]]</f>
        <v>32</v>
      </c>
      <c r="U86">
        <f>IF(Table1[[#This Row],[Subscription Status]]="Yes",1,IF(Table1[[#This Row],[Subscription Status]]="No",0))</f>
        <v>1</v>
      </c>
    </row>
    <row r="87" spans="1:21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  <c r="S87" t="str">
        <f>IF(Table1[[#This Row],[Age]]&lt;=25,"Young",IF(Table1[[#This Row],[Age]]&lt;=50,"Adult","Senior"))</f>
        <v>Senior</v>
      </c>
      <c r="T87" s="1">
        <f>Table1[[#This Row],[Purchase Amount (USD)]]</f>
        <v>95</v>
      </c>
      <c r="U87">
        <f>IF(Table1[[#This Row],[Subscription Status]]="Yes",1,IF(Table1[[#This Row],[Subscription Status]]="No",0))</f>
        <v>1</v>
      </c>
    </row>
    <row r="88" spans="1:21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  <c r="S88" t="str">
        <f>IF(Table1[[#This Row],[Age]]&lt;=25,"Young",IF(Table1[[#This Row],[Age]]&lt;=50,"Adult","Senior"))</f>
        <v>Young</v>
      </c>
      <c r="T88" s="1">
        <f>Table1[[#This Row],[Purchase Amount (USD)]]</f>
        <v>41</v>
      </c>
      <c r="U88">
        <f>IF(Table1[[#This Row],[Subscription Status]]="Yes",1,IF(Table1[[#This Row],[Subscription Status]]="No",0))</f>
        <v>1</v>
      </c>
    </row>
    <row r="89" spans="1:21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  <c r="S89" t="str">
        <f>IF(Table1[[#This Row],[Age]]&lt;=25,"Young",IF(Table1[[#This Row],[Age]]&lt;=50,"Adult","Senior"))</f>
        <v>Senior</v>
      </c>
      <c r="T89" s="1">
        <f>Table1[[#This Row],[Purchase Amount (USD)]]</f>
        <v>53</v>
      </c>
      <c r="U89">
        <f>IF(Table1[[#This Row],[Subscription Status]]="Yes",1,IF(Table1[[#This Row],[Subscription Status]]="No",0))</f>
        <v>1</v>
      </c>
    </row>
    <row r="90" spans="1:21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  <c r="S90" t="str">
        <f>IF(Table1[[#This Row],[Age]]&lt;=25,"Young",IF(Table1[[#This Row],[Age]]&lt;=50,"Adult","Senior"))</f>
        <v>Adult</v>
      </c>
      <c r="T90" s="1">
        <f>Table1[[#This Row],[Purchase Amount (USD)]]</f>
        <v>47</v>
      </c>
      <c r="U90">
        <f>IF(Table1[[#This Row],[Subscription Status]]="Yes",1,IF(Table1[[#This Row],[Subscription Status]]="No",0))</f>
        <v>1</v>
      </c>
    </row>
    <row r="91" spans="1:21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  <c r="S91" t="str">
        <f>IF(Table1[[#This Row],[Age]]&lt;=25,"Young",IF(Table1[[#This Row],[Age]]&lt;=50,"Adult","Senior"))</f>
        <v>Adult</v>
      </c>
      <c r="T91" s="1">
        <f>Table1[[#This Row],[Purchase Amount (USD)]]</f>
        <v>83</v>
      </c>
      <c r="U91">
        <f>IF(Table1[[#This Row],[Subscription Status]]="Yes",1,IF(Table1[[#This Row],[Subscription Status]]="No",0))</f>
        <v>1</v>
      </c>
    </row>
    <row r="92" spans="1:21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  <c r="S92" t="str">
        <f>IF(Table1[[#This Row],[Age]]&lt;=25,"Young",IF(Table1[[#This Row],[Age]]&lt;=50,"Adult","Senior"))</f>
        <v>Young</v>
      </c>
      <c r="T92" s="1">
        <f>Table1[[#This Row],[Purchase Amount (USD)]]</f>
        <v>48</v>
      </c>
      <c r="U92">
        <f>IF(Table1[[#This Row],[Subscription Status]]="Yes",1,IF(Table1[[#This Row],[Subscription Status]]="No",0))</f>
        <v>1</v>
      </c>
    </row>
    <row r="93" spans="1:21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  <c r="S93" t="str">
        <f>IF(Table1[[#This Row],[Age]]&lt;=25,"Young",IF(Table1[[#This Row],[Age]]&lt;=50,"Adult","Senior"))</f>
        <v>Adult</v>
      </c>
      <c r="T93" s="1">
        <f>Table1[[#This Row],[Purchase Amount (USD)]]</f>
        <v>99</v>
      </c>
      <c r="U93">
        <f>IF(Table1[[#This Row],[Subscription Status]]="Yes",1,IF(Table1[[#This Row],[Subscription Status]]="No",0))</f>
        <v>1</v>
      </c>
    </row>
    <row r="94" spans="1:21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  <c r="S94" t="str">
        <f>IF(Table1[[#This Row],[Age]]&lt;=25,"Young",IF(Table1[[#This Row],[Age]]&lt;=50,"Adult","Senior"))</f>
        <v>Senior</v>
      </c>
      <c r="T94" s="1">
        <f>Table1[[#This Row],[Purchase Amount (USD)]]</f>
        <v>87</v>
      </c>
      <c r="U94">
        <f>IF(Table1[[#This Row],[Subscription Status]]="Yes",1,IF(Table1[[#This Row],[Subscription Status]]="No",0))</f>
        <v>1</v>
      </c>
    </row>
    <row r="95" spans="1:21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  <c r="S95" t="str">
        <f>IF(Table1[[#This Row],[Age]]&lt;=25,"Young",IF(Table1[[#This Row],[Age]]&lt;=50,"Adult","Senior"))</f>
        <v>Adult</v>
      </c>
      <c r="T95" s="1">
        <f>Table1[[#This Row],[Purchase Amount (USD)]]</f>
        <v>62</v>
      </c>
      <c r="U95">
        <f>IF(Table1[[#This Row],[Subscription Status]]="Yes",1,IF(Table1[[#This Row],[Subscription Status]]="No",0))</f>
        <v>1</v>
      </c>
    </row>
    <row r="96" spans="1:21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  <c r="S96" t="str">
        <f>IF(Table1[[#This Row],[Age]]&lt;=25,"Young",IF(Table1[[#This Row],[Age]]&lt;=50,"Adult","Senior"))</f>
        <v>Senior</v>
      </c>
      <c r="T96" s="1">
        <f>Table1[[#This Row],[Purchase Amount (USD)]]</f>
        <v>76</v>
      </c>
      <c r="U96">
        <f>IF(Table1[[#This Row],[Subscription Status]]="Yes",1,IF(Table1[[#This Row],[Subscription Status]]="No",0))</f>
        <v>1</v>
      </c>
    </row>
    <row r="97" spans="1:21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  <c r="S97" t="str">
        <f>IF(Table1[[#This Row],[Age]]&lt;=25,"Young",IF(Table1[[#This Row],[Age]]&lt;=50,"Adult","Senior"))</f>
        <v>Adult</v>
      </c>
      <c r="T97" s="1">
        <f>Table1[[#This Row],[Purchase Amount (USD)]]</f>
        <v>100</v>
      </c>
      <c r="U97">
        <f>IF(Table1[[#This Row],[Subscription Status]]="Yes",1,IF(Table1[[#This Row],[Subscription Status]]="No",0))</f>
        <v>1</v>
      </c>
    </row>
    <row r="98" spans="1:21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  <c r="S98" t="str">
        <f>IF(Table1[[#This Row],[Age]]&lt;=25,"Young",IF(Table1[[#This Row],[Age]]&lt;=50,"Adult","Senior"))</f>
        <v>Adult</v>
      </c>
      <c r="T98" s="1">
        <f>Table1[[#This Row],[Purchase Amount (USD)]]</f>
        <v>73</v>
      </c>
      <c r="U98">
        <f>IF(Table1[[#This Row],[Subscription Status]]="Yes",1,IF(Table1[[#This Row],[Subscription Status]]="No",0))</f>
        <v>1</v>
      </c>
    </row>
    <row r="99" spans="1:21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  <c r="S99" t="str">
        <f>IF(Table1[[#This Row],[Age]]&lt;=25,"Young",IF(Table1[[#This Row],[Age]]&lt;=50,"Adult","Senior"))</f>
        <v>Young</v>
      </c>
      <c r="T99" s="1">
        <f>Table1[[#This Row],[Purchase Amount (USD)]]</f>
        <v>92</v>
      </c>
      <c r="U99">
        <f>IF(Table1[[#This Row],[Subscription Status]]="Yes",1,IF(Table1[[#This Row],[Subscription Status]]="No",0))</f>
        <v>1</v>
      </c>
    </row>
    <row r="100" spans="1:21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  <c r="S100" t="str">
        <f>IF(Table1[[#This Row],[Age]]&lt;=25,"Young",IF(Table1[[#This Row],[Age]]&lt;=50,"Adult","Senior"))</f>
        <v>Young</v>
      </c>
      <c r="T100" s="1">
        <f>Table1[[#This Row],[Purchase Amount (USD)]]</f>
        <v>67</v>
      </c>
      <c r="U100">
        <f>IF(Table1[[#This Row],[Subscription Status]]="Yes",1,IF(Table1[[#This Row],[Subscription Status]]="No",0))</f>
        <v>1</v>
      </c>
    </row>
    <row r="101" spans="1:21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  <c r="S101" t="str">
        <f>IF(Table1[[#This Row],[Age]]&lt;=25,"Young",IF(Table1[[#This Row],[Age]]&lt;=50,"Adult","Senior"))</f>
        <v>Adult</v>
      </c>
      <c r="T101" s="1">
        <f>Table1[[#This Row],[Purchase Amount (USD)]]</f>
        <v>40</v>
      </c>
      <c r="U101">
        <f>IF(Table1[[#This Row],[Subscription Status]]="Yes",1,IF(Table1[[#This Row],[Subscription Status]]="No",0))</f>
        <v>1</v>
      </c>
    </row>
    <row r="102" spans="1:21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  <c r="S102" t="str">
        <f>IF(Table1[[#This Row],[Age]]&lt;=25,"Young",IF(Table1[[#This Row],[Age]]&lt;=50,"Adult","Senior"))</f>
        <v>Senior</v>
      </c>
      <c r="T102" s="1">
        <f>Table1[[#This Row],[Purchase Amount (USD)]]</f>
        <v>98</v>
      </c>
      <c r="U102">
        <f>IF(Table1[[#This Row],[Subscription Status]]="Yes",1,IF(Table1[[#This Row],[Subscription Status]]="No",0))</f>
        <v>1</v>
      </c>
    </row>
    <row r="103" spans="1:21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  <c r="S103" t="str">
        <f>IF(Table1[[#This Row],[Age]]&lt;=25,"Young",IF(Table1[[#This Row],[Age]]&lt;=50,"Adult","Senior"))</f>
        <v>Adult</v>
      </c>
      <c r="T103" s="1">
        <f>Table1[[#This Row],[Purchase Amount (USD)]]</f>
        <v>85</v>
      </c>
      <c r="U103">
        <f>IF(Table1[[#This Row],[Subscription Status]]="Yes",1,IF(Table1[[#This Row],[Subscription Status]]="No",0))</f>
        <v>1</v>
      </c>
    </row>
    <row r="104" spans="1:21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  <c r="S104" t="str">
        <f>IF(Table1[[#This Row],[Age]]&lt;=25,"Young",IF(Table1[[#This Row],[Age]]&lt;=50,"Adult","Senior"))</f>
        <v>Senior</v>
      </c>
      <c r="T104" s="1">
        <f>Table1[[#This Row],[Purchase Amount (USD)]]</f>
        <v>67</v>
      </c>
      <c r="U104">
        <f>IF(Table1[[#This Row],[Subscription Status]]="Yes",1,IF(Table1[[#This Row],[Subscription Status]]="No",0))</f>
        <v>1</v>
      </c>
    </row>
    <row r="105" spans="1:21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  <c r="S105" t="str">
        <f>IF(Table1[[#This Row],[Age]]&lt;=25,"Young",IF(Table1[[#This Row],[Age]]&lt;=50,"Adult","Senior"))</f>
        <v>Senior</v>
      </c>
      <c r="T105" s="1">
        <f>Table1[[#This Row],[Purchase Amount (USD)]]</f>
        <v>89</v>
      </c>
      <c r="U105">
        <f>IF(Table1[[#This Row],[Subscription Status]]="Yes",1,IF(Table1[[#This Row],[Subscription Status]]="No",0))</f>
        <v>1</v>
      </c>
    </row>
    <row r="106" spans="1:21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  <c r="S106" t="str">
        <f>IF(Table1[[#This Row],[Age]]&lt;=25,"Young",IF(Table1[[#This Row],[Age]]&lt;=50,"Adult","Senior"))</f>
        <v>Senior</v>
      </c>
      <c r="T106" s="1">
        <f>Table1[[#This Row],[Purchase Amount (USD)]]</f>
        <v>24</v>
      </c>
      <c r="U106">
        <f>IF(Table1[[#This Row],[Subscription Status]]="Yes",1,IF(Table1[[#This Row],[Subscription Status]]="No",0))</f>
        <v>1</v>
      </c>
    </row>
    <row r="107" spans="1:21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  <c r="S107" t="str">
        <f>IF(Table1[[#This Row],[Age]]&lt;=25,"Young",IF(Table1[[#This Row],[Age]]&lt;=50,"Adult","Senior"))</f>
        <v>Senior</v>
      </c>
      <c r="T107" s="1">
        <f>Table1[[#This Row],[Purchase Amount (USD)]]</f>
        <v>96</v>
      </c>
      <c r="U107">
        <f>IF(Table1[[#This Row],[Subscription Status]]="Yes",1,IF(Table1[[#This Row],[Subscription Status]]="No",0))</f>
        <v>1</v>
      </c>
    </row>
    <row r="108" spans="1:21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  <c r="S108" t="str">
        <f>IF(Table1[[#This Row],[Age]]&lt;=25,"Young",IF(Table1[[#This Row],[Age]]&lt;=50,"Adult","Senior"))</f>
        <v>Senior</v>
      </c>
      <c r="T108" s="1">
        <f>Table1[[#This Row],[Purchase Amount (USD)]]</f>
        <v>35</v>
      </c>
      <c r="U108">
        <f>IF(Table1[[#This Row],[Subscription Status]]="Yes",1,IF(Table1[[#This Row],[Subscription Status]]="No",0))</f>
        <v>1</v>
      </c>
    </row>
    <row r="109" spans="1:21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  <c r="S109" t="str">
        <f>IF(Table1[[#This Row],[Age]]&lt;=25,"Young",IF(Table1[[#This Row],[Age]]&lt;=50,"Adult","Senior"))</f>
        <v>Adult</v>
      </c>
      <c r="T109" s="1">
        <f>Table1[[#This Row],[Purchase Amount (USD)]]</f>
        <v>67</v>
      </c>
      <c r="U109">
        <f>IF(Table1[[#This Row],[Subscription Status]]="Yes",1,IF(Table1[[#This Row],[Subscription Status]]="No",0))</f>
        <v>1</v>
      </c>
    </row>
    <row r="110" spans="1:21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  <c r="S110" t="str">
        <f>IF(Table1[[#This Row],[Age]]&lt;=25,"Young",IF(Table1[[#This Row],[Age]]&lt;=50,"Adult","Senior"))</f>
        <v>Senior</v>
      </c>
      <c r="T110" s="1">
        <f>Table1[[#This Row],[Purchase Amount (USD)]]</f>
        <v>79</v>
      </c>
      <c r="U110">
        <f>IF(Table1[[#This Row],[Subscription Status]]="Yes",1,IF(Table1[[#This Row],[Subscription Status]]="No",0))</f>
        <v>1</v>
      </c>
    </row>
    <row r="111" spans="1:21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  <c r="S111" t="str">
        <f>IF(Table1[[#This Row],[Age]]&lt;=25,"Young",IF(Table1[[#This Row],[Age]]&lt;=50,"Adult","Senior"))</f>
        <v>Senior</v>
      </c>
      <c r="T111" s="1">
        <f>Table1[[#This Row],[Purchase Amount (USD)]]</f>
        <v>85</v>
      </c>
      <c r="U111">
        <f>IF(Table1[[#This Row],[Subscription Status]]="Yes",1,IF(Table1[[#This Row],[Subscription Status]]="No",0))</f>
        <v>1</v>
      </c>
    </row>
    <row r="112" spans="1:21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  <c r="S112" t="str">
        <f>IF(Table1[[#This Row],[Age]]&lt;=25,"Young",IF(Table1[[#This Row],[Age]]&lt;=50,"Adult","Senior"))</f>
        <v>Senior</v>
      </c>
      <c r="T112" s="1">
        <f>Table1[[#This Row],[Purchase Amount (USD)]]</f>
        <v>26</v>
      </c>
      <c r="U112">
        <f>IF(Table1[[#This Row],[Subscription Status]]="Yes",1,IF(Table1[[#This Row],[Subscription Status]]="No",0))</f>
        <v>1</v>
      </c>
    </row>
    <row r="113" spans="1:21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  <c r="S113" t="str">
        <f>IF(Table1[[#This Row],[Age]]&lt;=25,"Young",IF(Table1[[#This Row],[Age]]&lt;=50,"Adult","Senior"))</f>
        <v>Adult</v>
      </c>
      <c r="T113" s="1">
        <f>Table1[[#This Row],[Purchase Amount (USD)]]</f>
        <v>75</v>
      </c>
      <c r="U113">
        <f>IF(Table1[[#This Row],[Subscription Status]]="Yes",1,IF(Table1[[#This Row],[Subscription Status]]="No",0))</f>
        <v>1</v>
      </c>
    </row>
    <row r="114" spans="1:21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  <c r="S114" t="str">
        <f>IF(Table1[[#This Row],[Age]]&lt;=25,"Young",IF(Table1[[#This Row],[Age]]&lt;=50,"Adult","Senior"))</f>
        <v>Adult</v>
      </c>
      <c r="T114" s="1">
        <f>Table1[[#This Row],[Purchase Amount (USD)]]</f>
        <v>65</v>
      </c>
      <c r="U114">
        <f>IF(Table1[[#This Row],[Subscription Status]]="Yes",1,IF(Table1[[#This Row],[Subscription Status]]="No",0))</f>
        <v>1</v>
      </c>
    </row>
    <row r="115" spans="1:21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  <c r="S115" t="str">
        <f>IF(Table1[[#This Row],[Age]]&lt;=25,"Young",IF(Table1[[#This Row],[Age]]&lt;=50,"Adult","Senior"))</f>
        <v>Adult</v>
      </c>
      <c r="T115" s="1">
        <f>Table1[[#This Row],[Purchase Amount (USD)]]</f>
        <v>54</v>
      </c>
      <c r="U115">
        <f>IF(Table1[[#This Row],[Subscription Status]]="Yes",1,IF(Table1[[#This Row],[Subscription Status]]="No",0))</f>
        <v>1</v>
      </c>
    </row>
    <row r="116" spans="1:21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  <c r="S116" t="str">
        <f>IF(Table1[[#This Row],[Age]]&lt;=25,"Young",IF(Table1[[#This Row],[Age]]&lt;=50,"Adult","Senior"))</f>
        <v>Senior</v>
      </c>
      <c r="T116" s="1">
        <f>Table1[[#This Row],[Purchase Amount (USD)]]</f>
        <v>95</v>
      </c>
      <c r="U116">
        <f>IF(Table1[[#This Row],[Subscription Status]]="Yes",1,IF(Table1[[#This Row],[Subscription Status]]="No",0))</f>
        <v>1</v>
      </c>
    </row>
    <row r="117" spans="1:21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  <c r="S117" t="str">
        <f>IF(Table1[[#This Row],[Age]]&lt;=25,"Young",IF(Table1[[#This Row],[Age]]&lt;=50,"Adult","Senior"))</f>
        <v>Senior</v>
      </c>
      <c r="T117" s="1">
        <f>Table1[[#This Row],[Purchase Amount (USD)]]</f>
        <v>94</v>
      </c>
      <c r="U117">
        <f>IF(Table1[[#This Row],[Subscription Status]]="Yes",1,IF(Table1[[#This Row],[Subscription Status]]="No",0))</f>
        <v>1</v>
      </c>
    </row>
    <row r="118" spans="1:21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  <c r="S118" t="str">
        <f>IF(Table1[[#This Row],[Age]]&lt;=25,"Young",IF(Table1[[#This Row],[Age]]&lt;=50,"Adult","Senior"))</f>
        <v>Senior</v>
      </c>
      <c r="T118" s="1">
        <f>Table1[[#This Row],[Purchase Amount (USD)]]</f>
        <v>86</v>
      </c>
      <c r="U118">
        <f>IF(Table1[[#This Row],[Subscription Status]]="Yes",1,IF(Table1[[#This Row],[Subscription Status]]="No",0))</f>
        <v>1</v>
      </c>
    </row>
    <row r="119" spans="1:21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  <c r="S119" t="str">
        <f>IF(Table1[[#This Row],[Age]]&lt;=25,"Young",IF(Table1[[#This Row],[Age]]&lt;=50,"Adult","Senior"))</f>
        <v>Adult</v>
      </c>
      <c r="T119" s="1">
        <f>Table1[[#This Row],[Purchase Amount (USD)]]</f>
        <v>32</v>
      </c>
      <c r="U119">
        <f>IF(Table1[[#This Row],[Subscription Status]]="Yes",1,IF(Table1[[#This Row],[Subscription Status]]="No",0))</f>
        <v>1</v>
      </c>
    </row>
    <row r="120" spans="1:21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  <c r="S120" t="str">
        <f>IF(Table1[[#This Row],[Age]]&lt;=25,"Young",IF(Table1[[#This Row],[Age]]&lt;=50,"Adult","Senior"))</f>
        <v>Adult</v>
      </c>
      <c r="T120" s="1">
        <f>Table1[[#This Row],[Purchase Amount (USD)]]</f>
        <v>45</v>
      </c>
      <c r="U120">
        <f>IF(Table1[[#This Row],[Subscription Status]]="Yes",1,IF(Table1[[#This Row],[Subscription Status]]="No",0))</f>
        <v>1</v>
      </c>
    </row>
    <row r="121" spans="1:21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  <c r="S121" t="str">
        <f>IF(Table1[[#This Row],[Age]]&lt;=25,"Young",IF(Table1[[#This Row],[Age]]&lt;=50,"Adult","Senior"))</f>
        <v>Adult</v>
      </c>
      <c r="T121" s="1">
        <f>Table1[[#This Row],[Purchase Amount (USD)]]</f>
        <v>76</v>
      </c>
      <c r="U121">
        <f>IF(Table1[[#This Row],[Subscription Status]]="Yes",1,IF(Table1[[#This Row],[Subscription Status]]="No",0))</f>
        <v>1</v>
      </c>
    </row>
    <row r="122" spans="1:21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  <c r="S122" t="str">
        <f>IF(Table1[[#This Row],[Age]]&lt;=25,"Young",IF(Table1[[#This Row],[Age]]&lt;=50,"Adult","Senior"))</f>
        <v>Senior</v>
      </c>
      <c r="T122" s="1">
        <f>Table1[[#This Row],[Purchase Amount (USD)]]</f>
        <v>84</v>
      </c>
      <c r="U122">
        <f>IF(Table1[[#This Row],[Subscription Status]]="Yes",1,IF(Table1[[#This Row],[Subscription Status]]="No",0))</f>
        <v>1</v>
      </c>
    </row>
    <row r="123" spans="1:21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  <c r="S123" t="str">
        <f>IF(Table1[[#This Row],[Age]]&lt;=25,"Young",IF(Table1[[#This Row],[Age]]&lt;=50,"Adult","Senior"))</f>
        <v>Young</v>
      </c>
      <c r="T123" s="1">
        <f>Table1[[#This Row],[Purchase Amount (USD)]]</f>
        <v>72</v>
      </c>
      <c r="U123">
        <f>IF(Table1[[#This Row],[Subscription Status]]="Yes",1,IF(Table1[[#This Row],[Subscription Status]]="No",0))</f>
        <v>1</v>
      </c>
    </row>
    <row r="124" spans="1:21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  <c r="S124" t="str">
        <f>IF(Table1[[#This Row],[Age]]&lt;=25,"Young",IF(Table1[[#This Row],[Age]]&lt;=50,"Adult","Senior"))</f>
        <v>Adult</v>
      </c>
      <c r="T124" s="1">
        <f>Table1[[#This Row],[Purchase Amount (USD)]]</f>
        <v>40</v>
      </c>
      <c r="U124">
        <f>IF(Table1[[#This Row],[Subscription Status]]="Yes",1,IF(Table1[[#This Row],[Subscription Status]]="No",0))</f>
        <v>1</v>
      </c>
    </row>
    <row r="125" spans="1:21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  <c r="S125" t="str">
        <f>IF(Table1[[#This Row],[Age]]&lt;=25,"Young",IF(Table1[[#This Row],[Age]]&lt;=50,"Adult","Senior"))</f>
        <v>Senior</v>
      </c>
      <c r="T125" s="1">
        <f>Table1[[#This Row],[Purchase Amount (USD)]]</f>
        <v>89</v>
      </c>
      <c r="U125">
        <f>IF(Table1[[#This Row],[Subscription Status]]="Yes",1,IF(Table1[[#This Row],[Subscription Status]]="No",0))</f>
        <v>1</v>
      </c>
    </row>
    <row r="126" spans="1:21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  <c r="S126" t="str">
        <f>IF(Table1[[#This Row],[Age]]&lt;=25,"Young",IF(Table1[[#This Row],[Age]]&lt;=50,"Adult","Senior"))</f>
        <v>Adult</v>
      </c>
      <c r="T126" s="1">
        <f>Table1[[#This Row],[Purchase Amount (USD)]]</f>
        <v>86</v>
      </c>
      <c r="U126">
        <f>IF(Table1[[#This Row],[Subscription Status]]="Yes",1,IF(Table1[[#This Row],[Subscription Status]]="No",0))</f>
        <v>1</v>
      </c>
    </row>
    <row r="127" spans="1:21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  <c r="S127" t="str">
        <f>IF(Table1[[#This Row],[Age]]&lt;=25,"Young",IF(Table1[[#This Row],[Age]]&lt;=50,"Adult","Senior"))</f>
        <v>Adult</v>
      </c>
      <c r="T127" s="1">
        <f>Table1[[#This Row],[Purchase Amount (USD)]]</f>
        <v>54</v>
      </c>
      <c r="U127">
        <f>IF(Table1[[#This Row],[Subscription Status]]="Yes",1,IF(Table1[[#This Row],[Subscription Status]]="No",0))</f>
        <v>1</v>
      </c>
    </row>
    <row r="128" spans="1:21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  <c r="S128" t="str">
        <f>IF(Table1[[#This Row],[Age]]&lt;=25,"Young",IF(Table1[[#This Row],[Age]]&lt;=50,"Adult","Senior"))</f>
        <v>Adult</v>
      </c>
      <c r="T128" s="1">
        <f>Table1[[#This Row],[Purchase Amount (USD)]]</f>
        <v>36</v>
      </c>
      <c r="U128">
        <f>IF(Table1[[#This Row],[Subscription Status]]="Yes",1,IF(Table1[[#This Row],[Subscription Status]]="No",0))</f>
        <v>1</v>
      </c>
    </row>
    <row r="129" spans="1:21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  <c r="S129" t="str">
        <f>IF(Table1[[#This Row],[Age]]&lt;=25,"Young",IF(Table1[[#This Row],[Age]]&lt;=50,"Adult","Senior"))</f>
        <v>Young</v>
      </c>
      <c r="T129" s="1">
        <f>Table1[[#This Row],[Purchase Amount (USD)]]</f>
        <v>89</v>
      </c>
      <c r="U129">
        <f>IF(Table1[[#This Row],[Subscription Status]]="Yes",1,IF(Table1[[#This Row],[Subscription Status]]="No",0))</f>
        <v>1</v>
      </c>
    </row>
    <row r="130" spans="1:21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  <c r="S130" t="str">
        <f>IF(Table1[[#This Row],[Age]]&lt;=25,"Young",IF(Table1[[#This Row],[Age]]&lt;=50,"Adult","Senior"))</f>
        <v>Young</v>
      </c>
      <c r="T130" s="1">
        <f>Table1[[#This Row],[Purchase Amount (USD)]]</f>
        <v>32</v>
      </c>
      <c r="U130">
        <f>IF(Table1[[#This Row],[Subscription Status]]="Yes",1,IF(Table1[[#This Row],[Subscription Status]]="No",0))</f>
        <v>1</v>
      </c>
    </row>
    <row r="131" spans="1:21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  <c r="S131" t="str">
        <f>IF(Table1[[#This Row],[Age]]&lt;=25,"Young",IF(Table1[[#This Row],[Age]]&lt;=50,"Adult","Senior"))</f>
        <v>Young</v>
      </c>
      <c r="T131" s="1">
        <f>Table1[[#This Row],[Purchase Amount (USD)]]</f>
        <v>67</v>
      </c>
      <c r="U131">
        <f>IF(Table1[[#This Row],[Subscription Status]]="Yes",1,IF(Table1[[#This Row],[Subscription Status]]="No",0))</f>
        <v>1</v>
      </c>
    </row>
    <row r="132" spans="1:21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  <c r="S132" t="str">
        <f>IF(Table1[[#This Row],[Age]]&lt;=25,"Young",IF(Table1[[#This Row],[Age]]&lt;=50,"Adult","Senior"))</f>
        <v>Adult</v>
      </c>
      <c r="T132" s="1">
        <f>Table1[[#This Row],[Purchase Amount (USD)]]</f>
        <v>39</v>
      </c>
      <c r="U132">
        <f>IF(Table1[[#This Row],[Subscription Status]]="Yes",1,IF(Table1[[#This Row],[Subscription Status]]="No",0))</f>
        <v>1</v>
      </c>
    </row>
    <row r="133" spans="1:21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  <c r="S133" t="str">
        <f>IF(Table1[[#This Row],[Age]]&lt;=25,"Young",IF(Table1[[#This Row],[Age]]&lt;=50,"Adult","Senior"))</f>
        <v>Adult</v>
      </c>
      <c r="T133" s="1">
        <f>Table1[[#This Row],[Purchase Amount (USD)]]</f>
        <v>29</v>
      </c>
      <c r="U133">
        <f>IF(Table1[[#This Row],[Subscription Status]]="Yes",1,IF(Table1[[#This Row],[Subscription Status]]="No",0))</f>
        <v>1</v>
      </c>
    </row>
    <row r="134" spans="1:21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  <c r="S134" t="str">
        <f>IF(Table1[[#This Row],[Age]]&lt;=25,"Young",IF(Table1[[#This Row],[Age]]&lt;=50,"Adult","Senior"))</f>
        <v>Adult</v>
      </c>
      <c r="T134" s="1">
        <f>Table1[[#This Row],[Purchase Amount (USD)]]</f>
        <v>58</v>
      </c>
      <c r="U134">
        <f>IF(Table1[[#This Row],[Subscription Status]]="Yes",1,IF(Table1[[#This Row],[Subscription Status]]="No",0))</f>
        <v>1</v>
      </c>
    </row>
    <row r="135" spans="1:21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  <c r="S135" t="str">
        <f>IF(Table1[[#This Row],[Age]]&lt;=25,"Young",IF(Table1[[#This Row],[Age]]&lt;=50,"Adult","Senior"))</f>
        <v>Senior</v>
      </c>
      <c r="T135" s="1">
        <f>Table1[[#This Row],[Purchase Amount (USD)]]</f>
        <v>65</v>
      </c>
      <c r="U135">
        <f>IF(Table1[[#This Row],[Subscription Status]]="Yes",1,IF(Table1[[#This Row],[Subscription Status]]="No",0))</f>
        <v>1</v>
      </c>
    </row>
    <row r="136" spans="1:21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  <c r="S136" t="str">
        <f>IF(Table1[[#This Row],[Age]]&lt;=25,"Young",IF(Table1[[#This Row],[Age]]&lt;=50,"Adult","Senior"))</f>
        <v>Adult</v>
      </c>
      <c r="T136" s="1">
        <f>Table1[[#This Row],[Purchase Amount (USD)]]</f>
        <v>94</v>
      </c>
      <c r="U136">
        <f>IF(Table1[[#This Row],[Subscription Status]]="Yes",1,IF(Table1[[#This Row],[Subscription Status]]="No",0))</f>
        <v>1</v>
      </c>
    </row>
    <row r="137" spans="1:21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  <c r="S137" t="str">
        <f>IF(Table1[[#This Row],[Age]]&lt;=25,"Young",IF(Table1[[#This Row],[Age]]&lt;=50,"Adult","Senior"))</f>
        <v>Adult</v>
      </c>
      <c r="T137" s="1">
        <f>Table1[[#This Row],[Purchase Amount (USD)]]</f>
        <v>81</v>
      </c>
      <c r="U137">
        <f>IF(Table1[[#This Row],[Subscription Status]]="Yes",1,IF(Table1[[#This Row],[Subscription Status]]="No",0))</f>
        <v>1</v>
      </c>
    </row>
    <row r="138" spans="1:21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  <c r="S138" t="str">
        <f>IF(Table1[[#This Row],[Age]]&lt;=25,"Young",IF(Table1[[#This Row],[Age]]&lt;=50,"Adult","Senior"))</f>
        <v>Adult</v>
      </c>
      <c r="T138" s="1">
        <f>Table1[[#This Row],[Purchase Amount (USD)]]</f>
        <v>86</v>
      </c>
      <c r="U138">
        <f>IF(Table1[[#This Row],[Subscription Status]]="Yes",1,IF(Table1[[#This Row],[Subscription Status]]="No",0))</f>
        <v>1</v>
      </c>
    </row>
    <row r="139" spans="1:21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  <c r="S139" t="str">
        <f>IF(Table1[[#This Row],[Age]]&lt;=25,"Young",IF(Table1[[#This Row],[Age]]&lt;=50,"Adult","Senior"))</f>
        <v>Senior</v>
      </c>
      <c r="T139" s="1">
        <f>Table1[[#This Row],[Purchase Amount (USD)]]</f>
        <v>43</v>
      </c>
      <c r="U139">
        <f>IF(Table1[[#This Row],[Subscription Status]]="Yes",1,IF(Table1[[#This Row],[Subscription Status]]="No",0))</f>
        <v>1</v>
      </c>
    </row>
    <row r="140" spans="1:21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  <c r="S140" t="str">
        <f>IF(Table1[[#This Row],[Age]]&lt;=25,"Young",IF(Table1[[#This Row],[Age]]&lt;=50,"Adult","Senior"))</f>
        <v>Senior</v>
      </c>
      <c r="T140" s="1">
        <f>Table1[[#This Row],[Purchase Amount (USD)]]</f>
        <v>29</v>
      </c>
      <c r="U140">
        <f>IF(Table1[[#This Row],[Subscription Status]]="Yes",1,IF(Table1[[#This Row],[Subscription Status]]="No",0))</f>
        <v>1</v>
      </c>
    </row>
    <row r="141" spans="1:21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  <c r="S141" t="str">
        <f>IF(Table1[[#This Row],[Age]]&lt;=25,"Young",IF(Table1[[#This Row],[Age]]&lt;=50,"Adult","Senior"))</f>
        <v>Adult</v>
      </c>
      <c r="T141" s="1">
        <f>Table1[[#This Row],[Purchase Amount (USD)]]</f>
        <v>95</v>
      </c>
      <c r="U141">
        <f>IF(Table1[[#This Row],[Subscription Status]]="Yes",1,IF(Table1[[#This Row],[Subscription Status]]="No",0))</f>
        <v>1</v>
      </c>
    </row>
    <row r="142" spans="1:21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  <c r="S142" t="str">
        <f>IF(Table1[[#This Row],[Age]]&lt;=25,"Young",IF(Table1[[#This Row],[Age]]&lt;=50,"Adult","Senior"))</f>
        <v>Senior</v>
      </c>
      <c r="T142" s="1">
        <f>Table1[[#This Row],[Purchase Amount (USD)]]</f>
        <v>28</v>
      </c>
      <c r="U142">
        <f>IF(Table1[[#This Row],[Subscription Status]]="Yes",1,IF(Table1[[#This Row],[Subscription Status]]="No",0))</f>
        <v>1</v>
      </c>
    </row>
    <row r="143" spans="1:21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  <c r="S143" t="str">
        <f>IF(Table1[[#This Row],[Age]]&lt;=25,"Young",IF(Table1[[#This Row],[Age]]&lt;=50,"Adult","Senior"))</f>
        <v>Senior</v>
      </c>
      <c r="T143" s="1">
        <f>Table1[[#This Row],[Purchase Amount (USD)]]</f>
        <v>46</v>
      </c>
      <c r="U143">
        <f>IF(Table1[[#This Row],[Subscription Status]]="Yes",1,IF(Table1[[#This Row],[Subscription Status]]="No",0))</f>
        <v>1</v>
      </c>
    </row>
    <row r="144" spans="1:21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  <c r="S144" t="str">
        <f>IF(Table1[[#This Row],[Age]]&lt;=25,"Young",IF(Table1[[#This Row],[Age]]&lt;=50,"Adult","Senior"))</f>
        <v>Adult</v>
      </c>
      <c r="T144" s="1">
        <f>Table1[[#This Row],[Purchase Amount (USD)]]</f>
        <v>58</v>
      </c>
      <c r="U144">
        <f>IF(Table1[[#This Row],[Subscription Status]]="Yes",1,IF(Table1[[#This Row],[Subscription Status]]="No",0))</f>
        <v>1</v>
      </c>
    </row>
    <row r="145" spans="1:21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  <c r="S145" t="str">
        <f>IF(Table1[[#This Row],[Age]]&lt;=25,"Young",IF(Table1[[#This Row],[Age]]&lt;=50,"Adult","Senior"))</f>
        <v>Adult</v>
      </c>
      <c r="T145" s="1">
        <f>Table1[[#This Row],[Purchase Amount (USD)]]</f>
        <v>48</v>
      </c>
      <c r="U145">
        <f>IF(Table1[[#This Row],[Subscription Status]]="Yes",1,IF(Table1[[#This Row],[Subscription Status]]="No",0))</f>
        <v>1</v>
      </c>
    </row>
    <row r="146" spans="1:21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  <c r="S146" t="str">
        <f>IF(Table1[[#This Row],[Age]]&lt;=25,"Young",IF(Table1[[#This Row],[Age]]&lt;=50,"Adult","Senior"))</f>
        <v>Young</v>
      </c>
      <c r="T146" s="1">
        <f>Table1[[#This Row],[Purchase Amount (USD)]]</f>
        <v>43</v>
      </c>
      <c r="U146">
        <f>IF(Table1[[#This Row],[Subscription Status]]="Yes",1,IF(Table1[[#This Row],[Subscription Status]]="No",0))</f>
        <v>1</v>
      </c>
    </row>
    <row r="147" spans="1:21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  <c r="S147" t="str">
        <f>IF(Table1[[#This Row],[Age]]&lt;=25,"Young",IF(Table1[[#This Row],[Age]]&lt;=50,"Adult","Senior"))</f>
        <v>Young</v>
      </c>
      <c r="T147" s="1">
        <f>Table1[[#This Row],[Purchase Amount (USD)]]</f>
        <v>95</v>
      </c>
      <c r="U147">
        <f>IF(Table1[[#This Row],[Subscription Status]]="Yes",1,IF(Table1[[#This Row],[Subscription Status]]="No",0))</f>
        <v>1</v>
      </c>
    </row>
    <row r="148" spans="1:21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  <c r="S148" t="str">
        <f>IF(Table1[[#This Row],[Age]]&lt;=25,"Young",IF(Table1[[#This Row],[Age]]&lt;=50,"Adult","Senior"))</f>
        <v>Senior</v>
      </c>
      <c r="T148" s="1">
        <f>Table1[[#This Row],[Purchase Amount (USD)]]</f>
        <v>30</v>
      </c>
      <c r="U148">
        <f>IF(Table1[[#This Row],[Subscription Status]]="Yes",1,IF(Table1[[#This Row],[Subscription Status]]="No",0))</f>
        <v>1</v>
      </c>
    </row>
    <row r="149" spans="1:21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  <c r="S149" t="str">
        <f>IF(Table1[[#This Row],[Age]]&lt;=25,"Young",IF(Table1[[#This Row],[Age]]&lt;=50,"Adult","Senior"))</f>
        <v>Senior</v>
      </c>
      <c r="T149" s="1">
        <f>Table1[[#This Row],[Purchase Amount (USD)]]</f>
        <v>64</v>
      </c>
      <c r="U149">
        <f>IF(Table1[[#This Row],[Subscription Status]]="Yes",1,IF(Table1[[#This Row],[Subscription Status]]="No",0))</f>
        <v>1</v>
      </c>
    </row>
    <row r="150" spans="1:21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  <c r="S150" t="str">
        <f>IF(Table1[[#This Row],[Age]]&lt;=25,"Young",IF(Table1[[#This Row],[Age]]&lt;=50,"Adult","Senior"))</f>
        <v>Adult</v>
      </c>
      <c r="T150" s="1">
        <f>Table1[[#This Row],[Purchase Amount (USD)]]</f>
        <v>90</v>
      </c>
      <c r="U150">
        <f>IF(Table1[[#This Row],[Subscription Status]]="Yes",1,IF(Table1[[#This Row],[Subscription Status]]="No",0))</f>
        <v>1</v>
      </c>
    </row>
    <row r="151" spans="1:21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  <c r="S151" t="str">
        <f>IF(Table1[[#This Row],[Age]]&lt;=25,"Young",IF(Table1[[#This Row],[Age]]&lt;=50,"Adult","Senior"))</f>
        <v>Adult</v>
      </c>
      <c r="T151" s="1">
        <f>Table1[[#This Row],[Purchase Amount (USD)]]</f>
        <v>76</v>
      </c>
      <c r="U151">
        <f>IF(Table1[[#This Row],[Subscription Status]]="Yes",1,IF(Table1[[#This Row],[Subscription Status]]="No",0))</f>
        <v>1</v>
      </c>
    </row>
    <row r="152" spans="1:21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  <c r="S152" t="str">
        <f>IF(Table1[[#This Row],[Age]]&lt;=25,"Young",IF(Table1[[#This Row],[Age]]&lt;=50,"Adult","Senior"))</f>
        <v>Adult</v>
      </c>
      <c r="T152" s="1">
        <f>Table1[[#This Row],[Purchase Amount (USD)]]</f>
        <v>96</v>
      </c>
      <c r="U152">
        <f>IF(Table1[[#This Row],[Subscription Status]]="Yes",1,IF(Table1[[#This Row],[Subscription Status]]="No",0))</f>
        <v>1</v>
      </c>
    </row>
    <row r="153" spans="1:21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  <c r="S153" t="str">
        <f>IF(Table1[[#This Row],[Age]]&lt;=25,"Young",IF(Table1[[#This Row],[Age]]&lt;=50,"Adult","Senior"))</f>
        <v>Adult</v>
      </c>
      <c r="T153" s="1">
        <f>Table1[[#This Row],[Purchase Amount (USD)]]</f>
        <v>47</v>
      </c>
      <c r="U153">
        <f>IF(Table1[[#This Row],[Subscription Status]]="Yes",1,IF(Table1[[#This Row],[Subscription Status]]="No",0))</f>
        <v>1</v>
      </c>
    </row>
    <row r="154" spans="1:21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  <c r="S154" t="str">
        <f>IF(Table1[[#This Row],[Age]]&lt;=25,"Young",IF(Table1[[#This Row],[Age]]&lt;=50,"Adult","Senior"))</f>
        <v>Adult</v>
      </c>
      <c r="T154" s="1">
        <f>Table1[[#This Row],[Purchase Amount (USD)]]</f>
        <v>85</v>
      </c>
      <c r="U154">
        <f>IF(Table1[[#This Row],[Subscription Status]]="Yes",1,IF(Table1[[#This Row],[Subscription Status]]="No",0))</f>
        <v>1</v>
      </c>
    </row>
    <row r="155" spans="1:21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  <c r="S155" t="str">
        <f>IF(Table1[[#This Row],[Age]]&lt;=25,"Young",IF(Table1[[#This Row],[Age]]&lt;=50,"Adult","Senior"))</f>
        <v>Senior</v>
      </c>
      <c r="T155" s="1">
        <f>Table1[[#This Row],[Purchase Amount (USD)]]</f>
        <v>55</v>
      </c>
      <c r="U155">
        <f>IF(Table1[[#This Row],[Subscription Status]]="Yes",1,IF(Table1[[#This Row],[Subscription Status]]="No",0))</f>
        <v>1</v>
      </c>
    </row>
    <row r="156" spans="1:21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  <c r="S156" t="str">
        <f>IF(Table1[[#This Row],[Age]]&lt;=25,"Young",IF(Table1[[#This Row],[Age]]&lt;=50,"Adult","Senior"))</f>
        <v>Adult</v>
      </c>
      <c r="T156" s="1">
        <f>Table1[[#This Row],[Purchase Amount (USD)]]</f>
        <v>98</v>
      </c>
      <c r="U156">
        <f>IF(Table1[[#This Row],[Subscription Status]]="Yes",1,IF(Table1[[#This Row],[Subscription Status]]="No",0))</f>
        <v>1</v>
      </c>
    </row>
    <row r="157" spans="1:21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  <c r="S157" t="str">
        <f>IF(Table1[[#This Row],[Age]]&lt;=25,"Young",IF(Table1[[#This Row],[Age]]&lt;=50,"Adult","Senior"))</f>
        <v>Senior</v>
      </c>
      <c r="T157" s="1">
        <f>Table1[[#This Row],[Purchase Amount (USD)]]</f>
        <v>77</v>
      </c>
      <c r="U157">
        <f>IF(Table1[[#This Row],[Subscription Status]]="Yes",1,IF(Table1[[#This Row],[Subscription Status]]="No",0))</f>
        <v>1</v>
      </c>
    </row>
    <row r="158" spans="1:21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  <c r="S158" t="str">
        <f>IF(Table1[[#This Row],[Age]]&lt;=25,"Young",IF(Table1[[#This Row],[Age]]&lt;=50,"Adult","Senior"))</f>
        <v>Adult</v>
      </c>
      <c r="T158" s="1">
        <f>Table1[[#This Row],[Purchase Amount (USD)]]</f>
        <v>26</v>
      </c>
      <c r="U158">
        <f>IF(Table1[[#This Row],[Subscription Status]]="Yes",1,IF(Table1[[#This Row],[Subscription Status]]="No",0))</f>
        <v>1</v>
      </c>
    </row>
    <row r="159" spans="1:21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  <c r="S159" t="str">
        <f>IF(Table1[[#This Row],[Age]]&lt;=25,"Young",IF(Table1[[#This Row],[Age]]&lt;=50,"Adult","Senior"))</f>
        <v>Adult</v>
      </c>
      <c r="T159" s="1">
        <f>Table1[[#This Row],[Purchase Amount (USD)]]</f>
        <v>68</v>
      </c>
      <c r="U159">
        <f>IF(Table1[[#This Row],[Subscription Status]]="Yes",1,IF(Table1[[#This Row],[Subscription Status]]="No",0))</f>
        <v>1</v>
      </c>
    </row>
    <row r="160" spans="1:21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  <c r="S160" t="str">
        <f>IF(Table1[[#This Row],[Age]]&lt;=25,"Young",IF(Table1[[#This Row],[Age]]&lt;=50,"Adult","Senior"))</f>
        <v>Young</v>
      </c>
      <c r="T160" s="1">
        <f>Table1[[#This Row],[Purchase Amount (USD)]]</f>
        <v>73</v>
      </c>
      <c r="U160">
        <f>IF(Table1[[#This Row],[Subscription Status]]="Yes",1,IF(Table1[[#This Row],[Subscription Status]]="No",0))</f>
        <v>1</v>
      </c>
    </row>
    <row r="161" spans="1:21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  <c r="S161" t="str">
        <f>IF(Table1[[#This Row],[Age]]&lt;=25,"Young",IF(Table1[[#This Row],[Age]]&lt;=50,"Adult","Senior"))</f>
        <v>Senior</v>
      </c>
      <c r="T161" s="1">
        <f>Table1[[#This Row],[Purchase Amount (USD)]]</f>
        <v>27</v>
      </c>
      <c r="U161">
        <f>IF(Table1[[#This Row],[Subscription Status]]="Yes",1,IF(Table1[[#This Row],[Subscription Status]]="No",0))</f>
        <v>1</v>
      </c>
    </row>
    <row r="162" spans="1:21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  <c r="S162" t="str">
        <f>IF(Table1[[#This Row],[Age]]&lt;=25,"Young",IF(Table1[[#This Row],[Age]]&lt;=50,"Adult","Senior"))</f>
        <v>Adult</v>
      </c>
      <c r="T162" s="1">
        <f>Table1[[#This Row],[Purchase Amount (USD)]]</f>
        <v>23</v>
      </c>
      <c r="U162">
        <f>IF(Table1[[#This Row],[Subscription Status]]="Yes",1,IF(Table1[[#This Row],[Subscription Status]]="No",0))</f>
        <v>1</v>
      </c>
    </row>
    <row r="163" spans="1:21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  <c r="S163" t="str">
        <f>IF(Table1[[#This Row],[Age]]&lt;=25,"Young",IF(Table1[[#This Row],[Age]]&lt;=50,"Adult","Senior"))</f>
        <v>Senior</v>
      </c>
      <c r="T163" s="1">
        <f>Table1[[#This Row],[Purchase Amount (USD)]]</f>
        <v>49</v>
      </c>
      <c r="U163">
        <f>IF(Table1[[#This Row],[Subscription Status]]="Yes",1,IF(Table1[[#This Row],[Subscription Status]]="No",0))</f>
        <v>1</v>
      </c>
    </row>
    <row r="164" spans="1:21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  <c r="S164" t="str">
        <f>IF(Table1[[#This Row],[Age]]&lt;=25,"Young",IF(Table1[[#This Row],[Age]]&lt;=50,"Adult","Senior"))</f>
        <v>Senior</v>
      </c>
      <c r="T164" s="1">
        <f>Table1[[#This Row],[Purchase Amount (USD)]]</f>
        <v>74</v>
      </c>
      <c r="U164">
        <f>IF(Table1[[#This Row],[Subscription Status]]="Yes",1,IF(Table1[[#This Row],[Subscription Status]]="No",0))</f>
        <v>1</v>
      </c>
    </row>
    <row r="165" spans="1:21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  <c r="S165" t="str">
        <f>IF(Table1[[#This Row],[Age]]&lt;=25,"Young",IF(Table1[[#This Row],[Age]]&lt;=50,"Adult","Senior"))</f>
        <v>Senior</v>
      </c>
      <c r="T165" s="1">
        <f>Table1[[#This Row],[Purchase Amount (USD)]]</f>
        <v>67</v>
      </c>
      <c r="U165">
        <f>IF(Table1[[#This Row],[Subscription Status]]="Yes",1,IF(Table1[[#This Row],[Subscription Status]]="No",0))</f>
        <v>1</v>
      </c>
    </row>
    <row r="166" spans="1:21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  <c r="S166" t="str">
        <f>IF(Table1[[#This Row],[Age]]&lt;=25,"Young",IF(Table1[[#This Row],[Age]]&lt;=50,"Adult","Senior"))</f>
        <v>Senior</v>
      </c>
      <c r="T166" s="1">
        <f>Table1[[#This Row],[Purchase Amount (USD)]]</f>
        <v>65</v>
      </c>
      <c r="U166">
        <f>IF(Table1[[#This Row],[Subscription Status]]="Yes",1,IF(Table1[[#This Row],[Subscription Status]]="No",0))</f>
        <v>1</v>
      </c>
    </row>
    <row r="167" spans="1:21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  <c r="S167" t="str">
        <f>IF(Table1[[#This Row],[Age]]&lt;=25,"Young",IF(Table1[[#This Row],[Age]]&lt;=50,"Adult","Senior"))</f>
        <v>Adult</v>
      </c>
      <c r="T167" s="1">
        <f>Table1[[#This Row],[Purchase Amount (USD)]]</f>
        <v>60</v>
      </c>
      <c r="U167">
        <f>IF(Table1[[#This Row],[Subscription Status]]="Yes",1,IF(Table1[[#This Row],[Subscription Status]]="No",0))</f>
        <v>1</v>
      </c>
    </row>
    <row r="168" spans="1:21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  <c r="S168" t="str">
        <f>IF(Table1[[#This Row],[Age]]&lt;=25,"Young",IF(Table1[[#This Row],[Age]]&lt;=50,"Adult","Senior"))</f>
        <v>Adult</v>
      </c>
      <c r="T168" s="1">
        <f>Table1[[#This Row],[Purchase Amount (USD)]]</f>
        <v>31</v>
      </c>
      <c r="U168">
        <f>IF(Table1[[#This Row],[Subscription Status]]="Yes",1,IF(Table1[[#This Row],[Subscription Status]]="No",0))</f>
        <v>1</v>
      </c>
    </row>
    <row r="169" spans="1:21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  <c r="S169" t="str">
        <f>IF(Table1[[#This Row],[Age]]&lt;=25,"Young",IF(Table1[[#This Row],[Age]]&lt;=50,"Adult","Senior"))</f>
        <v>Adult</v>
      </c>
      <c r="T169" s="1">
        <f>Table1[[#This Row],[Purchase Amount (USD)]]</f>
        <v>27</v>
      </c>
      <c r="U169">
        <f>IF(Table1[[#This Row],[Subscription Status]]="Yes",1,IF(Table1[[#This Row],[Subscription Status]]="No",0))</f>
        <v>1</v>
      </c>
    </row>
    <row r="170" spans="1:21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  <c r="S170" t="str">
        <f>IF(Table1[[#This Row],[Age]]&lt;=25,"Young",IF(Table1[[#This Row],[Age]]&lt;=50,"Adult","Senior"))</f>
        <v>Adult</v>
      </c>
      <c r="T170" s="1">
        <f>Table1[[#This Row],[Purchase Amount (USD)]]</f>
        <v>80</v>
      </c>
      <c r="U170">
        <f>IF(Table1[[#This Row],[Subscription Status]]="Yes",1,IF(Table1[[#This Row],[Subscription Status]]="No",0))</f>
        <v>1</v>
      </c>
    </row>
    <row r="171" spans="1:21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  <c r="S171" t="str">
        <f>IF(Table1[[#This Row],[Age]]&lt;=25,"Young",IF(Table1[[#This Row],[Age]]&lt;=50,"Adult","Senior"))</f>
        <v>Adult</v>
      </c>
      <c r="T171" s="1">
        <f>Table1[[#This Row],[Purchase Amount (USD)]]</f>
        <v>30</v>
      </c>
      <c r="U171">
        <f>IF(Table1[[#This Row],[Subscription Status]]="Yes",1,IF(Table1[[#This Row],[Subscription Status]]="No",0))</f>
        <v>1</v>
      </c>
    </row>
    <row r="172" spans="1:21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  <c r="S172" t="str">
        <f>IF(Table1[[#This Row],[Age]]&lt;=25,"Young",IF(Table1[[#This Row],[Age]]&lt;=50,"Adult","Senior"))</f>
        <v>Senior</v>
      </c>
      <c r="T172" s="1">
        <f>Table1[[#This Row],[Purchase Amount (USD)]]</f>
        <v>25</v>
      </c>
      <c r="U172">
        <f>IF(Table1[[#This Row],[Subscription Status]]="Yes",1,IF(Table1[[#This Row],[Subscription Status]]="No",0))</f>
        <v>1</v>
      </c>
    </row>
    <row r="173" spans="1:21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  <c r="S173" t="str">
        <f>IF(Table1[[#This Row],[Age]]&lt;=25,"Young",IF(Table1[[#This Row],[Age]]&lt;=50,"Adult","Senior"))</f>
        <v>Adult</v>
      </c>
      <c r="T173" s="1">
        <f>Table1[[#This Row],[Purchase Amount (USD)]]</f>
        <v>35</v>
      </c>
      <c r="U173">
        <f>IF(Table1[[#This Row],[Subscription Status]]="Yes",1,IF(Table1[[#This Row],[Subscription Status]]="No",0))</f>
        <v>1</v>
      </c>
    </row>
    <row r="174" spans="1:21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  <c r="S174" t="str">
        <f>IF(Table1[[#This Row],[Age]]&lt;=25,"Young",IF(Table1[[#This Row],[Age]]&lt;=50,"Adult","Senior"))</f>
        <v>Senior</v>
      </c>
      <c r="T174" s="1">
        <f>Table1[[#This Row],[Purchase Amount (USD)]]</f>
        <v>67</v>
      </c>
      <c r="U174">
        <f>IF(Table1[[#This Row],[Subscription Status]]="Yes",1,IF(Table1[[#This Row],[Subscription Status]]="No",0))</f>
        <v>1</v>
      </c>
    </row>
    <row r="175" spans="1:21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  <c r="S175" t="str">
        <f>IF(Table1[[#This Row],[Age]]&lt;=25,"Young",IF(Table1[[#This Row],[Age]]&lt;=50,"Adult","Senior"))</f>
        <v>Young</v>
      </c>
      <c r="T175" s="1">
        <f>Table1[[#This Row],[Purchase Amount (USD)]]</f>
        <v>46</v>
      </c>
      <c r="U175">
        <f>IF(Table1[[#This Row],[Subscription Status]]="Yes",1,IF(Table1[[#This Row],[Subscription Status]]="No",0))</f>
        <v>1</v>
      </c>
    </row>
    <row r="176" spans="1:21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  <c r="S176" t="str">
        <f>IF(Table1[[#This Row],[Age]]&lt;=25,"Young",IF(Table1[[#This Row],[Age]]&lt;=50,"Adult","Senior"))</f>
        <v>Adult</v>
      </c>
      <c r="T176" s="1">
        <f>Table1[[#This Row],[Purchase Amount (USD)]]</f>
        <v>35</v>
      </c>
      <c r="U176">
        <f>IF(Table1[[#This Row],[Subscription Status]]="Yes",1,IF(Table1[[#This Row],[Subscription Status]]="No",0))</f>
        <v>1</v>
      </c>
    </row>
    <row r="177" spans="1:21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  <c r="S177" t="str">
        <f>IF(Table1[[#This Row],[Age]]&lt;=25,"Young",IF(Table1[[#This Row],[Age]]&lt;=50,"Adult","Senior"))</f>
        <v>Senior</v>
      </c>
      <c r="T177" s="1">
        <f>Table1[[#This Row],[Purchase Amount (USD)]]</f>
        <v>86</v>
      </c>
      <c r="U177">
        <f>IF(Table1[[#This Row],[Subscription Status]]="Yes",1,IF(Table1[[#This Row],[Subscription Status]]="No",0))</f>
        <v>1</v>
      </c>
    </row>
    <row r="178" spans="1:21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  <c r="S178" t="str">
        <f>IF(Table1[[#This Row],[Age]]&lt;=25,"Young",IF(Table1[[#This Row],[Age]]&lt;=50,"Adult","Senior"))</f>
        <v>Senior</v>
      </c>
      <c r="T178" s="1">
        <f>Table1[[#This Row],[Purchase Amount (USD)]]</f>
        <v>81</v>
      </c>
      <c r="U178">
        <f>IF(Table1[[#This Row],[Subscription Status]]="Yes",1,IF(Table1[[#This Row],[Subscription Status]]="No",0))</f>
        <v>1</v>
      </c>
    </row>
    <row r="179" spans="1:21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  <c r="S179" t="str">
        <f>IF(Table1[[#This Row],[Age]]&lt;=25,"Young",IF(Table1[[#This Row],[Age]]&lt;=50,"Adult","Senior"))</f>
        <v>Young</v>
      </c>
      <c r="T179" s="1">
        <f>Table1[[#This Row],[Purchase Amount (USD)]]</f>
        <v>42</v>
      </c>
      <c r="U179">
        <f>IF(Table1[[#This Row],[Subscription Status]]="Yes",1,IF(Table1[[#This Row],[Subscription Status]]="No",0))</f>
        <v>1</v>
      </c>
    </row>
    <row r="180" spans="1:21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  <c r="S180" t="str">
        <f>IF(Table1[[#This Row],[Age]]&lt;=25,"Young",IF(Table1[[#This Row],[Age]]&lt;=50,"Adult","Senior"))</f>
        <v>Senior</v>
      </c>
      <c r="T180" s="1">
        <f>Table1[[#This Row],[Purchase Amount (USD)]]</f>
        <v>43</v>
      </c>
      <c r="U180">
        <f>IF(Table1[[#This Row],[Subscription Status]]="Yes",1,IF(Table1[[#This Row],[Subscription Status]]="No",0))</f>
        <v>1</v>
      </c>
    </row>
    <row r="181" spans="1:21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  <c r="S181" t="str">
        <f>IF(Table1[[#This Row],[Age]]&lt;=25,"Young",IF(Table1[[#This Row],[Age]]&lt;=50,"Adult","Senior"))</f>
        <v>Senior</v>
      </c>
      <c r="T181" s="1">
        <f>Table1[[#This Row],[Purchase Amount (USD)]]</f>
        <v>31</v>
      </c>
      <c r="U181">
        <f>IF(Table1[[#This Row],[Subscription Status]]="Yes",1,IF(Table1[[#This Row],[Subscription Status]]="No",0))</f>
        <v>1</v>
      </c>
    </row>
    <row r="182" spans="1:21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  <c r="S182" t="str">
        <f>IF(Table1[[#This Row],[Age]]&lt;=25,"Young",IF(Table1[[#This Row],[Age]]&lt;=50,"Adult","Senior"))</f>
        <v>Senior</v>
      </c>
      <c r="T182" s="1">
        <f>Table1[[#This Row],[Purchase Amount (USD)]]</f>
        <v>81</v>
      </c>
      <c r="U182">
        <f>IF(Table1[[#This Row],[Subscription Status]]="Yes",1,IF(Table1[[#This Row],[Subscription Status]]="No",0))</f>
        <v>1</v>
      </c>
    </row>
    <row r="183" spans="1:21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  <c r="S183" t="str">
        <f>IF(Table1[[#This Row],[Age]]&lt;=25,"Young",IF(Table1[[#This Row],[Age]]&lt;=50,"Adult","Senior"))</f>
        <v>Adult</v>
      </c>
      <c r="T183" s="1">
        <f>Table1[[#This Row],[Purchase Amount (USD)]]</f>
        <v>61</v>
      </c>
      <c r="U183">
        <f>IF(Table1[[#This Row],[Subscription Status]]="Yes",1,IF(Table1[[#This Row],[Subscription Status]]="No",0))</f>
        <v>1</v>
      </c>
    </row>
    <row r="184" spans="1:21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  <c r="S184" t="str">
        <f>IF(Table1[[#This Row],[Age]]&lt;=25,"Young",IF(Table1[[#This Row],[Age]]&lt;=50,"Adult","Senior"))</f>
        <v>Adult</v>
      </c>
      <c r="T184" s="1">
        <f>Table1[[#This Row],[Purchase Amount (USD)]]</f>
        <v>96</v>
      </c>
      <c r="U184">
        <f>IF(Table1[[#This Row],[Subscription Status]]="Yes",1,IF(Table1[[#This Row],[Subscription Status]]="No",0))</f>
        <v>1</v>
      </c>
    </row>
    <row r="185" spans="1:21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  <c r="S185" t="str">
        <f>IF(Table1[[#This Row],[Age]]&lt;=25,"Young",IF(Table1[[#This Row],[Age]]&lt;=50,"Adult","Senior"))</f>
        <v>Senior</v>
      </c>
      <c r="T185" s="1">
        <f>Table1[[#This Row],[Purchase Amount (USD)]]</f>
        <v>29</v>
      </c>
      <c r="U185">
        <f>IF(Table1[[#This Row],[Subscription Status]]="Yes",1,IF(Table1[[#This Row],[Subscription Status]]="No",0))</f>
        <v>1</v>
      </c>
    </row>
    <row r="186" spans="1:21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  <c r="S186" t="str">
        <f>IF(Table1[[#This Row],[Age]]&lt;=25,"Young",IF(Table1[[#This Row],[Age]]&lt;=50,"Adult","Senior"))</f>
        <v>Adult</v>
      </c>
      <c r="T186" s="1">
        <f>Table1[[#This Row],[Purchase Amount (USD)]]</f>
        <v>33</v>
      </c>
      <c r="U186">
        <f>IF(Table1[[#This Row],[Subscription Status]]="Yes",1,IF(Table1[[#This Row],[Subscription Status]]="No",0))</f>
        <v>1</v>
      </c>
    </row>
    <row r="187" spans="1:21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  <c r="S187" t="str">
        <f>IF(Table1[[#This Row],[Age]]&lt;=25,"Young",IF(Table1[[#This Row],[Age]]&lt;=50,"Adult","Senior"))</f>
        <v>Adult</v>
      </c>
      <c r="T187" s="1">
        <f>Table1[[#This Row],[Purchase Amount (USD)]]</f>
        <v>32</v>
      </c>
      <c r="U187">
        <f>IF(Table1[[#This Row],[Subscription Status]]="Yes",1,IF(Table1[[#This Row],[Subscription Status]]="No",0))</f>
        <v>1</v>
      </c>
    </row>
    <row r="188" spans="1:21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  <c r="S188" t="str">
        <f>IF(Table1[[#This Row],[Age]]&lt;=25,"Young",IF(Table1[[#This Row],[Age]]&lt;=50,"Adult","Senior"))</f>
        <v>Adult</v>
      </c>
      <c r="T188" s="1">
        <f>Table1[[#This Row],[Purchase Amount (USD)]]</f>
        <v>56</v>
      </c>
      <c r="U188">
        <f>IF(Table1[[#This Row],[Subscription Status]]="Yes",1,IF(Table1[[#This Row],[Subscription Status]]="No",0))</f>
        <v>1</v>
      </c>
    </row>
    <row r="189" spans="1:21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  <c r="S189" t="str">
        <f>IF(Table1[[#This Row],[Age]]&lt;=25,"Young",IF(Table1[[#This Row],[Age]]&lt;=50,"Adult","Senior"))</f>
        <v>Young</v>
      </c>
      <c r="T189" s="1">
        <f>Table1[[#This Row],[Purchase Amount (USD)]]</f>
        <v>94</v>
      </c>
      <c r="U189">
        <f>IF(Table1[[#This Row],[Subscription Status]]="Yes",1,IF(Table1[[#This Row],[Subscription Status]]="No",0))</f>
        <v>1</v>
      </c>
    </row>
    <row r="190" spans="1:21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  <c r="S190" t="str">
        <f>IF(Table1[[#This Row],[Age]]&lt;=25,"Young",IF(Table1[[#This Row],[Age]]&lt;=50,"Adult","Senior"))</f>
        <v>Adult</v>
      </c>
      <c r="T190" s="1">
        <f>Table1[[#This Row],[Purchase Amount (USD)]]</f>
        <v>53</v>
      </c>
      <c r="U190">
        <f>IF(Table1[[#This Row],[Subscription Status]]="Yes",1,IF(Table1[[#This Row],[Subscription Status]]="No",0))</f>
        <v>1</v>
      </c>
    </row>
    <row r="191" spans="1:21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  <c r="S191" t="str">
        <f>IF(Table1[[#This Row],[Age]]&lt;=25,"Young",IF(Table1[[#This Row],[Age]]&lt;=50,"Adult","Senior"))</f>
        <v>Adult</v>
      </c>
      <c r="T191" s="1">
        <f>Table1[[#This Row],[Purchase Amount (USD)]]</f>
        <v>82</v>
      </c>
      <c r="U191">
        <f>IF(Table1[[#This Row],[Subscription Status]]="Yes",1,IF(Table1[[#This Row],[Subscription Status]]="No",0))</f>
        <v>1</v>
      </c>
    </row>
    <row r="192" spans="1:21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  <c r="S192" t="str">
        <f>IF(Table1[[#This Row],[Age]]&lt;=25,"Young",IF(Table1[[#This Row],[Age]]&lt;=50,"Adult","Senior"))</f>
        <v>Senior</v>
      </c>
      <c r="T192" s="1">
        <f>Table1[[#This Row],[Purchase Amount (USD)]]</f>
        <v>70</v>
      </c>
      <c r="U192">
        <f>IF(Table1[[#This Row],[Subscription Status]]="Yes",1,IF(Table1[[#This Row],[Subscription Status]]="No",0))</f>
        <v>1</v>
      </c>
    </row>
    <row r="193" spans="1:21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  <c r="S193" t="str">
        <f>IF(Table1[[#This Row],[Age]]&lt;=25,"Young",IF(Table1[[#This Row],[Age]]&lt;=50,"Adult","Senior"))</f>
        <v>Senior</v>
      </c>
      <c r="T193" s="1">
        <f>Table1[[#This Row],[Purchase Amount (USD)]]</f>
        <v>76</v>
      </c>
      <c r="U193">
        <f>IF(Table1[[#This Row],[Subscription Status]]="Yes",1,IF(Table1[[#This Row],[Subscription Status]]="No",0))</f>
        <v>1</v>
      </c>
    </row>
    <row r="194" spans="1:21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  <c r="S194" t="str">
        <f>IF(Table1[[#This Row],[Age]]&lt;=25,"Young",IF(Table1[[#This Row],[Age]]&lt;=50,"Adult","Senior"))</f>
        <v>Adult</v>
      </c>
      <c r="T194" s="1">
        <f>Table1[[#This Row],[Purchase Amount (USD)]]</f>
        <v>29</v>
      </c>
      <c r="U194">
        <f>IF(Table1[[#This Row],[Subscription Status]]="Yes",1,IF(Table1[[#This Row],[Subscription Status]]="No",0))</f>
        <v>1</v>
      </c>
    </row>
    <row r="195" spans="1:21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  <c r="S195" t="str">
        <f>IF(Table1[[#This Row],[Age]]&lt;=25,"Young",IF(Table1[[#This Row],[Age]]&lt;=50,"Adult","Senior"))</f>
        <v>Adult</v>
      </c>
      <c r="T195" s="1">
        <f>Table1[[#This Row],[Purchase Amount (USD)]]</f>
        <v>100</v>
      </c>
      <c r="U195">
        <f>IF(Table1[[#This Row],[Subscription Status]]="Yes",1,IF(Table1[[#This Row],[Subscription Status]]="No",0))</f>
        <v>1</v>
      </c>
    </row>
    <row r="196" spans="1:21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  <c r="S196" t="str">
        <f>IF(Table1[[#This Row],[Age]]&lt;=25,"Young",IF(Table1[[#This Row],[Age]]&lt;=50,"Adult","Senior"))</f>
        <v>Senior</v>
      </c>
      <c r="T196" s="1">
        <f>Table1[[#This Row],[Purchase Amount (USD)]]</f>
        <v>94</v>
      </c>
      <c r="U196">
        <f>IF(Table1[[#This Row],[Subscription Status]]="Yes",1,IF(Table1[[#This Row],[Subscription Status]]="No",0))</f>
        <v>1</v>
      </c>
    </row>
    <row r="197" spans="1:21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  <c r="S197" t="str">
        <f>IF(Table1[[#This Row],[Age]]&lt;=25,"Young",IF(Table1[[#This Row],[Age]]&lt;=50,"Adult","Senior"))</f>
        <v>Senior</v>
      </c>
      <c r="T197" s="1">
        <f>Table1[[#This Row],[Purchase Amount (USD)]]</f>
        <v>25</v>
      </c>
      <c r="U197">
        <f>IF(Table1[[#This Row],[Subscription Status]]="Yes",1,IF(Table1[[#This Row],[Subscription Status]]="No",0))</f>
        <v>1</v>
      </c>
    </row>
    <row r="198" spans="1:21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  <c r="S198" t="str">
        <f>IF(Table1[[#This Row],[Age]]&lt;=25,"Young",IF(Table1[[#This Row],[Age]]&lt;=50,"Adult","Senior"))</f>
        <v>Adult</v>
      </c>
      <c r="T198" s="1">
        <f>Table1[[#This Row],[Purchase Amount (USD)]]</f>
        <v>88</v>
      </c>
      <c r="U198">
        <f>IF(Table1[[#This Row],[Subscription Status]]="Yes",1,IF(Table1[[#This Row],[Subscription Status]]="No",0))</f>
        <v>1</v>
      </c>
    </row>
    <row r="199" spans="1:21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  <c r="S199" t="str">
        <f>IF(Table1[[#This Row],[Age]]&lt;=25,"Young",IF(Table1[[#This Row],[Age]]&lt;=50,"Adult","Senior"))</f>
        <v>Senior</v>
      </c>
      <c r="T199" s="1">
        <f>Table1[[#This Row],[Purchase Amount (USD)]]</f>
        <v>78</v>
      </c>
      <c r="U199">
        <f>IF(Table1[[#This Row],[Subscription Status]]="Yes",1,IF(Table1[[#This Row],[Subscription Status]]="No",0))</f>
        <v>1</v>
      </c>
    </row>
    <row r="200" spans="1:21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  <c r="S200" t="str">
        <f>IF(Table1[[#This Row],[Age]]&lt;=25,"Young",IF(Table1[[#This Row],[Age]]&lt;=50,"Adult","Senior"))</f>
        <v>Senior</v>
      </c>
      <c r="T200" s="1">
        <f>Table1[[#This Row],[Purchase Amount (USD)]]</f>
        <v>45</v>
      </c>
      <c r="U200">
        <f>IF(Table1[[#This Row],[Subscription Status]]="Yes",1,IF(Table1[[#This Row],[Subscription Status]]="No",0))</f>
        <v>1</v>
      </c>
    </row>
    <row r="201" spans="1:21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  <c r="S201" t="str">
        <f>IF(Table1[[#This Row],[Age]]&lt;=25,"Young",IF(Table1[[#This Row],[Age]]&lt;=50,"Adult","Senior"))</f>
        <v>Senior</v>
      </c>
      <c r="T201" s="1">
        <f>Table1[[#This Row],[Purchase Amount (USD)]]</f>
        <v>73</v>
      </c>
      <c r="U201">
        <f>IF(Table1[[#This Row],[Subscription Status]]="Yes",1,IF(Table1[[#This Row],[Subscription Status]]="No",0))</f>
        <v>1</v>
      </c>
    </row>
    <row r="202" spans="1:21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  <c r="S202" t="str">
        <f>IF(Table1[[#This Row],[Age]]&lt;=25,"Young",IF(Table1[[#This Row],[Age]]&lt;=50,"Adult","Senior"))</f>
        <v>Young</v>
      </c>
      <c r="T202" s="1">
        <f>Table1[[#This Row],[Purchase Amount (USD)]]</f>
        <v>61</v>
      </c>
      <c r="U202">
        <f>IF(Table1[[#This Row],[Subscription Status]]="Yes",1,IF(Table1[[#This Row],[Subscription Status]]="No",0))</f>
        <v>1</v>
      </c>
    </row>
    <row r="203" spans="1:21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  <c r="S203" t="str">
        <f>IF(Table1[[#This Row],[Age]]&lt;=25,"Young",IF(Table1[[#This Row],[Age]]&lt;=50,"Adult","Senior"))</f>
        <v>Senior</v>
      </c>
      <c r="T203" s="1">
        <f>Table1[[#This Row],[Purchase Amount (USD)]]</f>
        <v>22</v>
      </c>
      <c r="U203">
        <f>IF(Table1[[#This Row],[Subscription Status]]="Yes",1,IF(Table1[[#This Row],[Subscription Status]]="No",0))</f>
        <v>1</v>
      </c>
    </row>
    <row r="204" spans="1:21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  <c r="S204" t="str">
        <f>IF(Table1[[#This Row],[Age]]&lt;=25,"Young",IF(Table1[[#This Row],[Age]]&lt;=50,"Adult","Senior"))</f>
        <v>Senior</v>
      </c>
      <c r="T204" s="1">
        <f>Table1[[#This Row],[Purchase Amount (USD)]]</f>
        <v>38</v>
      </c>
      <c r="U204">
        <f>IF(Table1[[#This Row],[Subscription Status]]="Yes",1,IF(Table1[[#This Row],[Subscription Status]]="No",0))</f>
        <v>1</v>
      </c>
    </row>
    <row r="205" spans="1:21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  <c r="S205" t="str">
        <f>IF(Table1[[#This Row],[Age]]&lt;=25,"Young",IF(Table1[[#This Row],[Age]]&lt;=50,"Adult","Senior"))</f>
        <v>Senior</v>
      </c>
      <c r="T205" s="1">
        <f>Table1[[#This Row],[Purchase Amount (USD)]]</f>
        <v>38</v>
      </c>
      <c r="U205">
        <f>IF(Table1[[#This Row],[Subscription Status]]="Yes",1,IF(Table1[[#This Row],[Subscription Status]]="No",0))</f>
        <v>1</v>
      </c>
    </row>
    <row r="206" spans="1:21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  <c r="S206" t="str">
        <f>IF(Table1[[#This Row],[Age]]&lt;=25,"Young",IF(Table1[[#This Row],[Age]]&lt;=50,"Adult","Senior"))</f>
        <v>Young</v>
      </c>
      <c r="T206" s="1">
        <f>Table1[[#This Row],[Purchase Amount (USD)]]</f>
        <v>100</v>
      </c>
      <c r="U206">
        <f>IF(Table1[[#This Row],[Subscription Status]]="Yes",1,IF(Table1[[#This Row],[Subscription Status]]="No",0))</f>
        <v>1</v>
      </c>
    </row>
    <row r="207" spans="1:21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  <c r="S207" t="str">
        <f>IF(Table1[[#This Row],[Age]]&lt;=25,"Young",IF(Table1[[#This Row],[Age]]&lt;=50,"Adult","Senior"))</f>
        <v>Senior</v>
      </c>
      <c r="T207" s="1">
        <f>Table1[[#This Row],[Purchase Amount (USD)]]</f>
        <v>64</v>
      </c>
      <c r="U207">
        <f>IF(Table1[[#This Row],[Subscription Status]]="Yes",1,IF(Table1[[#This Row],[Subscription Status]]="No",0))</f>
        <v>1</v>
      </c>
    </row>
    <row r="208" spans="1:21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  <c r="S208" t="str">
        <f>IF(Table1[[#This Row],[Age]]&lt;=25,"Young",IF(Table1[[#This Row],[Age]]&lt;=50,"Adult","Senior"))</f>
        <v>Young</v>
      </c>
      <c r="T208" s="1">
        <f>Table1[[#This Row],[Purchase Amount (USD)]]</f>
        <v>55</v>
      </c>
      <c r="U208">
        <f>IF(Table1[[#This Row],[Subscription Status]]="Yes",1,IF(Table1[[#This Row],[Subscription Status]]="No",0))</f>
        <v>1</v>
      </c>
    </row>
    <row r="209" spans="1:21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  <c r="S209" t="str">
        <f>IF(Table1[[#This Row],[Age]]&lt;=25,"Young",IF(Table1[[#This Row],[Age]]&lt;=50,"Adult","Senior"))</f>
        <v>Senior</v>
      </c>
      <c r="T209" s="1">
        <f>Table1[[#This Row],[Purchase Amount (USD)]]</f>
        <v>91</v>
      </c>
      <c r="U209">
        <f>IF(Table1[[#This Row],[Subscription Status]]="Yes",1,IF(Table1[[#This Row],[Subscription Status]]="No",0))</f>
        <v>1</v>
      </c>
    </row>
    <row r="210" spans="1:21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  <c r="S210" t="str">
        <f>IF(Table1[[#This Row],[Age]]&lt;=25,"Young",IF(Table1[[#This Row],[Age]]&lt;=50,"Adult","Senior"))</f>
        <v>Senior</v>
      </c>
      <c r="T210" s="1">
        <f>Table1[[#This Row],[Purchase Amount (USD)]]</f>
        <v>38</v>
      </c>
      <c r="U210">
        <f>IF(Table1[[#This Row],[Subscription Status]]="Yes",1,IF(Table1[[#This Row],[Subscription Status]]="No",0))</f>
        <v>1</v>
      </c>
    </row>
    <row r="211" spans="1:21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  <c r="S211" t="str">
        <f>IF(Table1[[#This Row],[Age]]&lt;=25,"Young",IF(Table1[[#This Row],[Age]]&lt;=50,"Adult","Senior"))</f>
        <v>Senior</v>
      </c>
      <c r="T211" s="1">
        <f>Table1[[#This Row],[Purchase Amount (USD)]]</f>
        <v>97</v>
      </c>
      <c r="U211">
        <f>IF(Table1[[#This Row],[Subscription Status]]="Yes",1,IF(Table1[[#This Row],[Subscription Status]]="No",0))</f>
        <v>1</v>
      </c>
    </row>
    <row r="212" spans="1:21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  <c r="S212" t="str">
        <f>IF(Table1[[#This Row],[Age]]&lt;=25,"Young",IF(Table1[[#This Row],[Age]]&lt;=50,"Adult","Senior"))</f>
        <v>Adult</v>
      </c>
      <c r="T212" s="1">
        <f>Table1[[#This Row],[Purchase Amount (USD)]]</f>
        <v>22</v>
      </c>
      <c r="U212">
        <f>IF(Table1[[#This Row],[Subscription Status]]="Yes",1,IF(Table1[[#This Row],[Subscription Status]]="No",0))</f>
        <v>1</v>
      </c>
    </row>
    <row r="213" spans="1:21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  <c r="S213" t="str">
        <f>IF(Table1[[#This Row],[Age]]&lt;=25,"Young",IF(Table1[[#This Row],[Age]]&lt;=50,"Adult","Senior"))</f>
        <v>Senior</v>
      </c>
      <c r="T213" s="1">
        <f>Table1[[#This Row],[Purchase Amount (USD)]]</f>
        <v>92</v>
      </c>
      <c r="U213">
        <f>IF(Table1[[#This Row],[Subscription Status]]="Yes",1,IF(Table1[[#This Row],[Subscription Status]]="No",0))</f>
        <v>1</v>
      </c>
    </row>
    <row r="214" spans="1:21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  <c r="S214" t="str">
        <f>IF(Table1[[#This Row],[Age]]&lt;=25,"Young",IF(Table1[[#This Row],[Age]]&lt;=50,"Adult","Senior"))</f>
        <v>Senior</v>
      </c>
      <c r="T214" s="1">
        <f>Table1[[#This Row],[Purchase Amount (USD)]]</f>
        <v>84</v>
      </c>
      <c r="U214">
        <f>IF(Table1[[#This Row],[Subscription Status]]="Yes",1,IF(Table1[[#This Row],[Subscription Status]]="No",0))</f>
        <v>1</v>
      </c>
    </row>
    <row r="215" spans="1:21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  <c r="S215" t="str">
        <f>IF(Table1[[#This Row],[Age]]&lt;=25,"Young",IF(Table1[[#This Row],[Age]]&lt;=50,"Adult","Senior"))</f>
        <v>Adult</v>
      </c>
      <c r="T215" s="1">
        <f>Table1[[#This Row],[Purchase Amount (USD)]]</f>
        <v>93</v>
      </c>
      <c r="U215">
        <f>IF(Table1[[#This Row],[Subscription Status]]="Yes",1,IF(Table1[[#This Row],[Subscription Status]]="No",0))</f>
        <v>1</v>
      </c>
    </row>
    <row r="216" spans="1:21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  <c r="S216" t="str">
        <f>IF(Table1[[#This Row],[Age]]&lt;=25,"Young",IF(Table1[[#This Row],[Age]]&lt;=50,"Adult","Senior"))</f>
        <v>Young</v>
      </c>
      <c r="T216" s="1">
        <f>Table1[[#This Row],[Purchase Amount (USD)]]</f>
        <v>50</v>
      </c>
      <c r="U216">
        <f>IF(Table1[[#This Row],[Subscription Status]]="Yes",1,IF(Table1[[#This Row],[Subscription Status]]="No",0))</f>
        <v>1</v>
      </c>
    </row>
    <row r="217" spans="1:21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  <c r="S217" t="str">
        <f>IF(Table1[[#This Row],[Age]]&lt;=25,"Young",IF(Table1[[#This Row],[Age]]&lt;=50,"Adult","Senior"))</f>
        <v>Senior</v>
      </c>
      <c r="T217" s="1">
        <f>Table1[[#This Row],[Purchase Amount (USD)]]</f>
        <v>64</v>
      </c>
      <c r="U217">
        <f>IF(Table1[[#This Row],[Subscription Status]]="Yes",1,IF(Table1[[#This Row],[Subscription Status]]="No",0))</f>
        <v>1</v>
      </c>
    </row>
    <row r="218" spans="1:21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  <c r="S218" t="str">
        <f>IF(Table1[[#This Row],[Age]]&lt;=25,"Young",IF(Table1[[#This Row],[Age]]&lt;=50,"Adult","Senior"))</f>
        <v>Adult</v>
      </c>
      <c r="T218" s="1">
        <f>Table1[[#This Row],[Purchase Amount (USD)]]</f>
        <v>61</v>
      </c>
      <c r="U218">
        <f>IF(Table1[[#This Row],[Subscription Status]]="Yes",1,IF(Table1[[#This Row],[Subscription Status]]="No",0))</f>
        <v>1</v>
      </c>
    </row>
    <row r="219" spans="1:21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  <c r="S219" t="str">
        <f>IF(Table1[[#This Row],[Age]]&lt;=25,"Young",IF(Table1[[#This Row],[Age]]&lt;=50,"Adult","Senior"))</f>
        <v>Adult</v>
      </c>
      <c r="T219" s="1">
        <f>Table1[[#This Row],[Purchase Amount (USD)]]</f>
        <v>48</v>
      </c>
      <c r="U219">
        <f>IF(Table1[[#This Row],[Subscription Status]]="Yes",1,IF(Table1[[#This Row],[Subscription Status]]="No",0))</f>
        <v>1</v>
      </c>
    </row>
    <row r="220" spans="1:21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  <c r="S220" t="str">
        <f>IF(Table1[[#This Row],[Age]]&lt;=25,"Young",IF(Table1[[#This Row],[Age]]&lt;=50,"Adult","Senior"))</f>
        <v>Adult</v>
      </c>
      <c r="T220" s="1">
        <f>Table1[[#This Row],[Purchase Amount (USD)]]</f>
        <v>45</v>
      </c>
      <c r="U220">
        <f>IF(Table1[[#This Row],[Subscription Status]]="Yes",1,IF(Table1[[#This Row],[Subscription Status]]="No",0))</f>
        <v>1</v>
      </c>
    </row>
    <row r="221" spans="1:21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  <c r="S221" t="str">
        <f>IF(Table1[[#This Row],[Age]]&lt;=25,"Young",IF(Table1[[#This Row],[Age]]&lt;=50,"Adult","Senior"))</f>
        <v>Adult</v>
      </c>
      <c r="T221" s="1">
        <f>Table1[[#This Row],[Purchase Amount (USD)]]</f>
        <v>88</v>
      </c>
      <c r="U221">
        <f>IF(Table1[[#This Row],[Subscription Status]]="Yes",1,IF(Table1[[#This Row],[Subscription Status]]="No",0))</f>
        <v>1</v>
      </c>
    </row>
    <row r="222" spans="1:21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  <c r="S222" t="str">
        <f>IF(Table1[[#This Row],[Age]]&lt;=25,"Young",IF(Table1[[#This Row],[Age]]&lt;=50,"Adult","Senior"))</f>
        <v>Adult</v>
      </c>
      <c r="T222" s="1">
        <f>Table1[[#This Row],[Purchase Amount (USD)]]</f>
        <v>57</v>
      </c>
      <c r="U222">
        <f>IF(Table1[[#This Row],[Subscription Status]]="Yes",1,IF(Table1[[#This Row],[Subscription Status]]="No",0))</f>
        <v>1</v>
      </c>
    </row>
    <row r="223" spans="1:21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  <c r="S223" t="str">
        <f>IF(Table1[[#This Row],[Age]]&lt;=25,"Young",IF(Table1[[#This Row],[Age]]&lt;=50,"Adult","Senior"))</f>
        <v>Adult</v>
      </c>
      <c r="T223" s="1">
        <f>Table1[[#This Row],[Purchase Amount (USD)]]</f>
        <v>68</v>
      </c>
      <c r="U223">
        <f>IF(Table1[[#This Row],[Subscription Status]]="Yes",1,IF(Table1[[#This Row],[Subscription Status]]="No",0))</f>
        <v>1</v>
      </c>
    </row>
    <row r="224" spans="1:21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  <c r="S224" t="str">
        <f>IF(Table1[[#This Row],[Age]]&lt;=25,"Young",IF(Table1[[#This Row],[Age]]&lt;=50,"Adult","Senior"))</f>
        <v>Adult</v>
      </c>
      <c r="T224" s="1">
        <f>Table1[[#This Row],[Purchase Amount (USD)]]</f>
        <v>94</v>
      </c>
      <c r="U224">
        <f>IF(Table1[[#This Row],[Subscription Status]]="Yes",1,IF(Table1[[#This Row],[Subscription Status]]="No",0))</f>
        <v>1</v>
      </c>
    </row>
    <row r="225" spans="1:21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  <c r="S225" t="str">
        <f>IF(Table1[[#This Row],[Age]]&lt;=25,"Young",IF(Table1[[#This Row],[Age]]&lt;=50,"Adult","Senior"))</f>
        <v>Young</v>
      </c>
      <c r="T225" s="1">
        <f>Table1[[#This Row],[Purchase Amount (USD)]]</f>
        <v>41</v>
      </c>
      <c r="U225">
        <f>IF(Table1[[#This Row],[Subscription Status]]="Yes",1,IF(Table1[[#This Row],[Subscription Status]]="No",0))</f>
        <v>1</v>
      </c>
    </row>
    <row r="226" spans="1:21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  <c r="S226" t="str">
        <f>IF(Table1[[#This Row],[Age]]&lt;=25,"Young",IF(Table1[[#This Row],[Age]]&lt;=50,"Adult","Senior"))</f>
        <v>Senior</v>
      </c>
      <c r="T226" s="1">
        <f>Table1[[#This Row],[Purchase Amount (USD)]]</f>
        <v>83</v>
      </c>
      <c r="U226">
        <f>IF(Table1[[#This Row],[Subscription Status]]="Yes",1,IF(Table1[[#This Row],[Subscription Status]]="No",0))</f>
        <v>1</v>
      </c>
    </row>
    <row r="227" spans="1:21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  <c r="S227" t="str">
        <f>IF(Table1[[#This Row],[Age]]&lt;=25,"Young",IF(Table1[[#This Row],[Age]]&lt;=50,"Adult","Senior"))</f>
        <v>Young</v>
      </c>
      <c r="T227" s="1">
        <f>Table1[[#This Row],[Purchase Amount (USD)]]</f>
        <v>22</v>
      </c>
      <c r="U227">
        <f>IF(Table1[[#This Row],[Subscription Status]]="Yes",1,IF(Table1[[#This Row],[Subscription Status]]="No",0))</f>
        <v>1</v>
      </c>
    </row>
    <row r="228" spans="1:21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  <c r="S228" t="str">
        <f>IF(Table1[[#This Row],[Age]]&lt;=25,"Young",IF(Table1[[#This Row],[Age]]&lt;=50,"Adult","Senior"))</f>
        <v>Adult</v>
      </c>
      <c r="T228" s="1">
        <f>Table1[[#This Row],[Purchase Amount (USD)]]</f>
        <v>74</v>
      </c>
      <c r="U228">
        <f>IF(Table1[[#This Row],[Subscription Status]]="Yes",1,IF(Table1[[#This Row],[Subscription Status]]="No",0))</f>
        <v>1</v>
      </c>
    </row>
    <row r="229" spans="1:21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  <c r="S229" t="str">
        <f>IF(Table1[[#This Row],[Age]]&lt;=25,"Young",IF(Table1[[#This Row],[Age]]&lt;=50,"Adult","Senior"))</f>
        <v>Adult</v>
      </c>
      <c r="T229" s="1">
        <f>Table1[[#This Row],[Purchase Amount (USD)]]</f>
        <v>90</v>
      </c>
      <c r="U229">
        <f>IF(Table1[[#This Row],[Subscription Status]]="Yes",1,IF(Table1[[#This Row],[Subscription Status]]="No",0))</f>
        <v>1</v>
      </c>
    </row>
    <row r="230" spans="1:21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  <c r="S230" t="str">
        <f>IF(Table1[[#This Row],[Age]]&lt;=25,"Young",IF(Table1[[#This Row],[Age]]&lt;=50,"Adult","Senior"))</f>
        <v>Young</v>
      </c>
      <c r="T230" s="1">
        <f>Table1[[#This Row],[Purchase Amount (USD)]]</f>
        <v>79</v>
      </c>
      <c r="U230">
        <f>IF(Table1[[#This Row],[Subscription Status]]="Yes",1,IF(Table1[[#This Row],[Subscription Status]]="No",0))</f>
        <v>1</v>
      </c>
    </row>
    <row r="231" spans="1:21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  <c r="S231" t="str">
        <f>IF(Table1[[#This Row],[Age]]&lt;=25,"Young",IF(Table1[[#This Row],[Age]]&lt;=50,"Adult","Senior"))</f>
        <v>Senior</v>
      </c>
      <c r="T231" s="1">
        <f>Table1[[#This Row],[Purchase Amount (USD)]]</f>
        <v>28</v>
      </c>
      <c r="U231">
        <f>IF(Table1[[#This Row],[Subscription Status]]="Yes",1,IF(Table1[[#This Row],[Subscription Status]]="No",0))</f>
        <v>1</v>
      </c>
    </row>
    <row r="232" spans="1:21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  <c r="S232" t="str">
        <f>IF(Table1[[#This Row],[Age]]&lt;=25,"Young",IF(Table1[[#This Row],[Age]]&lt;=50,"Adult","Senior"))</f>
        <v>Senior</v>
      </c>
      <c r="T232" s="1">
        <f>Table1[[#This Row],[Purchase Amount (USD)]]</f>
        <v>88</v>
      </c>
      <c r="U232">
        <f>IF(Table1[[#This Row],[Subscription Status]]="Yes",1,IF(Table1[[#This Row],[Subscription Status]]="No",0))</f>
        <v>1</v>
      </c>
    </row>
    <row r="233" spans="1:21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  <c r="S233" t="str">
        <f>IF(Table1[[#This Row],[Age]]&lt;=25,"Young",IF(Table1[[#This Row],[Age]]&lt;=50,"Adult","Senior"))</f>
        <v>Adult</v>
      </c>
      <c r="T233" s="1">
        <f>Table1[[#This Row],[Purchase Amount (USD)]]</f>
        <v>26</v>
      </c>
      <c r="U233">
        <f>IF(Table1[[#This Row],[Subscription Status]]="Yes",1,IF(Table1[[#This Row],[Subscription Status]]="No",0))</f>
        <v>1</v>
      </c>
    </row>
    <row r="234" spans="1:21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  <c r="S234" t="str">
        <f>IF(Table1[[#This Row],[Age]]&lt;=25,"Young",IF(Table1[[#This Row],[Age]]&lt;=50,"Adult","Senior"))</f>
        <v>Senior</v>
      </c>
      <c r="T234" s="1">
        <f>Table1[[#This Row],[Purchase Amount (USD)]]</f>
        <v>27</v>
      </c>
      <c r="U234">
        <f>IF(Table1[[#This Row],[Subscription Status]]="Yes",1,IF(Table1[[#This Row],[Subscription Status]]="No",0))</f>
        <v>1</v>
      </c>
    </row>
    <row r="235" spans="1:21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  <c r="S235" t="str">
        <f>IF(Table1[[#This Row],[Age]]&lt;=25,"Young",IF(Table1[[#This Row],[Age]]&lt;=50,"Adult","Senior"))</f>
        <v>Young</v>
      </c>
      <c r="T235" s="1">
        <f>Table1[[#This Row],[Purchase Amount (USD)]]</f>
        <v>83</v>
      </c>
      <c r="U235">
        <f>IF(Table1[[#This Row],[Subscription Status]]="Yes",1,IF(Table1[[#This Row],[Subscription Status]]="No",0))</f>
        <v>1</v>
      </c>
    </row>
    <row r="236" spans="1:21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  <c r="S236" t="str">
        <f>IF(Table1[[#This Row],[Age]]&lt;=25,"Young",IF(Table1[[#This Row],[Age]]&lt;=50,"Adult","Senior"))</f>
        <v>Young</v>
      </c>
      <c r="T236" s="1">
        <f>Table1[[#This Row],[Purchase Amount (USD)]]</f>
        <v>39</v>
      </c>
      <c r="U236">
        <f>IF(Table1[[#This Row],[Subscription Status]]="Yes",1,IF(Table1[[#This Row],[Subscription Status]]="No",0))</f>
        <v>1</v>
      </c>
    </row>
    <row r="237" spans="1:21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  <c r="S237" t="str">
        <f>IF(Table1[[#This Row],[Age]]&lt;=25,"Young",IF(Table1[[#This Row],[Age]]&lt;=50,"Adult","Senior"))</f>
        <v>Adult</v>
      </c>
      <c r="T237" s="1">
        <f>Table1[[#This Row],[Purchase Amount (USD)]]</f>
        <v>89</v>
      </c>
      <c r="U237">
        <f>IF(Table1[[#This Row],[Subscription Status]]="Yes",1,IF(Table1[[#This Row],[Subscription Status]]="No",0))</f>
        <v>1</v>
      </c>
    </row>
    <row r="238" spans="1:21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  <c r="S238" t="str">
        <f>IF(Table1[[#This Row],[Age]]&lt;=25,"Young",IF(Table1[[#This Row],[Age]]&lt;=50,"Adult","Senior"))</f>
        <v>Adult</v>
      </c>
      <c r="T238" s="1">
        <f>Table1[[#This Row],[Purchase Amount (USD)]]</f>
        <v>68</v>
      </c>
      <c r="U238">
        <f>IF(Table1[[#This Row],[Subscription Status]]="Yes",1,IF(Table1[[#This Row],[Subscription Status]]="No",0))</f>
        <v>1</v>
      </c>
    </row>
    <row r="239" spans="1:21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  <c r="S239" t="str">
        <f>IF(Table1[[#This Row],[Age]]&lt;=25,"Young",IF(Table1[[#This Row],[Age]]&lt;=50,"Adult","Senior"))</f>
        <v>Adult</v>
      </c>
      <c r="T239" s="1">
        <f>Table1[[#This Row],[Purchase Amount (USD)]]</f>
        <v>90</v>
      </c>
      <c r="U239">
        <f>IF(Table1[[#This Row],[Subscription Status]]="Yes",1,IF(Table1[[#This Row],[Subscription Status]]="No",0))</f>
        <v>1</v>
      </c>
    </row>
    <row r="240" spans="1:21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  <c r="S240" t="str">
        <f>IF(Table1[[#This Row],[Age]]&lt;=25,"Young",IF(Table1[[#This Row],[Age]]&lt;=50,"Adult","Senior"))</f>
        <v>Senior</v>
      </c>
      <c r="T240" s="1">
        <f>Table1[[#This Row],[Purchase Amount (USD)]]</f>
        <v>34</v>
      </c>
      <c r="U240">
        <f>IF(Table1[[#This Row],[Subscription Status]]="Yes",1,IF(Table1[[#This Row],[Subscription Status]]="No",0))</f>
        <v>1</v>
      </c>
    </row>
    <row r="241" spans="1:21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  <c r="S241" t="str">
        <f>IF(Table1[[#This Row],[Age]]&lt;=25,"Young",IF(Table1[[#This Row],[Age]]&lt;=50,"Adult","Senior"))</f>
        <v>Adult</v>
      </c>
      <c r="T241" s="1">
        <f>Table1[[#This Row],[Purchase Amount (USD)]]</f>
        <v>51</v>
      </c>
      <c r="U241">
        <f>IF(Table1[[#This Row],[Subscription Status]]="Yes",1,IF(Table1[[#This Row],[Subscription Status]]="No",0))</f>
        <v>1</v>
      </c>
    </row>
    <row r="242" spans="1:21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  <c r="S242" t="str">
        <f>IF(Table1[[#This Row],[Age]]&lt;=25,"Young",IF(Table1[[#This Row],[Age]]&lt;=50,"Adult","Senior"))</f>
        <v>Adult</v>
      </c>
      <c r="T242" s="1">
        <f>Table1[[#This Row],[Purchase Amount (USD)]]</f>
        <v>45</v>
      </c>
      <c r="U242">
        <f>IF(Table1[[#This Row],[Subscription Status]]="Yes",1,IF(Table1[[#This Row],[Subscription Status]]="No",0))</f>
        <v>1</v>
      </c>
    </row>
    <row r="243" spans="1:21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  <c r="S243" t="str">
        <f>IF(Table1[[#This Row],[Age]]&lt;=25,"Young",IF(Table1[[#This Row],[Age]]&lt;=50,"Adult","Senior"))</f>
        <v>Adult</v>
      </c>
      <c r="T243" s="1">
        <f>Table1[[#This Row],[Purchase Amount (USD)]]</f>
        <v>88</v>
      </c>
      <c r="U243">
        <f>IF(Table1[[#This Row],[Subscription Status]]="Yes",1,IF(Table1[[#This Row],[Subscription Status]]="No",0))</f>
        <v>1</v>
      </c>
    </row>
    <row r="244" spans="1:21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  <c r="S244" t="str">
        <f>IF(Table1[[#This Row],[Age]]&lt;=25,"Young",IF(Table1[[#This Row],[Age]]&lt;=50,"Adult","Senior"))</f>
        <v>Senior</v>
      </c>
      <c r="T244" s="1">
        <f>Table1[[#This Row],[Purchase Amount (USD)]]</f>
        <v>85</v>
      </c>
      <c r="U244">
        <f>IF(Table1[[#This Row],[Subscription Status]]="Yes",1,IF(Table1[[#This Row],[Subscription Status]]="No",0))</f>
        <v>1</v>
      </c>
    </row>
    <row r="245" spans="1:21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  <c r="S245" t="str">
        <f>IF(Table1[[#This Row],[Age]]&lt;=25,"Young",IF(Table1[[#This Row],[Age]]&lt;=50,"Adult","Senior"))</f>
        <v>Young</v>
      </c>
      <c r="T245" s="1">
        <f>Table1[[#This Row],[Purchase Amount (USD)]]</f>
        <v>100</v>
      </c>
      <c r="U245">
        <f>IF(Table1[[#This Row],[Subscription Status]]="Yes",1,IF(Table1[[#This Row],[Subscription Status]]="No",0))</f>
        <v>1</v>
      </c>
    </row>
    <row r="246" spans="1:21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  <c r="S246" t="str">
        <f>IF(Table1[[#This Row],[Age]]&lt;=25,"Young",IF(Table1[[#This Row],[Age]]&lt;=50,"Adult","Senior"))</f>
        <v>Senior</v>
      </c>
      <c r="T246" s="1">
        <f>Table1[[#This Row],[Purchase Amount (USD)]]</f>
        <v>42</v>
      </c>
      <c r="U246">
        <f>IF(Table1[[#This Row],[Subscription Status]]="Yes",1,IF(Table1[[#This Row],[Subscription Status]]="No",0))</f>
        <v>1</v>
      </c>
    </row>
    <row r="247" spans="1:21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  <c r="S247" t="str">
        <f>IF(Table1[[#This Row],[Age]]&lt;=25,"Young",IF(Table1[[#This Row],[Age]]&lt;=50,"Adult","Senior"))</f>
        <v>Adult</v>
      </c>
      <c r="T247" s="1">
        <f>Table1[[#This Row],[Purchase Amount (USD)]]</f>
        <v>53</v>
      </c>
      <c r="U247">
        <f>IF(Table1[[#This Row],[Subscription Status]]="Yes",1,IF(Table1[[#This Row],[Subscription Status]]="No",0))</f>
        <v>1</v>
      </c>
    </row>
    <row r="248" spans="1:21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  <c r="S248" t="str">
        <f>IF(Table1[[#This Row],[Age]]&lt;=25,"Young",IF(Table1[[#This Row],[Age]]&lt;=50,"Adult","Senior"))</f>
        <v>Adult</v>
      </c>
      <c r="T248" s="1">
        <f>Table1[[#This Row],[Purchase Amount (USD)]]</f>
        <v>86</v>
      </c>
      <c r="U248">
        <f>IF(Table1[[#This Row],[Subscription Status]]="Yes",1,IF(Table1[[#This Row],[Subscription Status]]="No",0))</f>
        <v>1</v>
      </c>
    </row>
    <row r="249" spans="1:21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  <c r="S249" t="str">
        <f>IF(Table1[[#This Row],[Age]]&lt;=25,"Young",IF(Table1[[#This Row],[Age]]&lt;=50,"Adult","Senior"))</f>
        <v>Adult</v>
      </c>
      <c r="T249" s="1">
        <f>Table1[[#This Row],[Purchase Amount (USD)]]</f>
        <v>66</v>
      </c>
      <c r="U249">
        <f>IF(Table1[[#This Row],[Subscription Status]]="Yes",1,IF(Table1[[#This Row],[Subscription Status]]="No",0))</f>
        <v>1</v>
      </c>
    </row>
    <row r="250" spans="1:21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  <c r="S250" t="str">
        <f>IF(Table1[[#This Row],[Age]]&lt;=25,"Young",IF(Table1[[#This Row],[Age]]&lt;=50,"Adult","Senior"))</f>
        <v>Adult</v>
      </c>
      <c r="T250" s="1">
        <f>Table1[[#This Row],[Purchase Amount (USD)]]</f>
        <v>100</v>
      </c>
      <c r="U250">
        <f>IF(Table1[[#This Row],[Subscription Status]]="Yes",1,IF(Table1[[#This Row],[Subscription Status]]="No",0))</f>
        <v>1</v>
      </c>
    </row>
    <row r="251" spans="1:21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  <c r="S251" t="str">
        <f>IF(Table1[[#This Row],[Age]]&lt;=25,"Young",IF(Table1[[#This Row],[Age]]&lt;=50,"Adult","Senior"))</f>
        <v>Senior</v>
      </c>
      <c r="T251" s="1">
        <f>Table1[[#This Row],[Purchase Amount (USD)]]</f>
        <v>47</v>
      </c>
      <c r="U251">
        <f>IF(Table1[[#This Row],[Subscription Status]]="Yes",1,IF(Table1[[#This Row],[Subscription Status]]="No",0))</f>
        <v>1</v>
      </c>
    </row>
    <row r="252" spans="1:21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  <c r="S252" t="str">
        <f>IF(Table1[[#This Row],[Age]]&lt;=25,"Young",IF(Table1[[#This Row],[Age]]&lt;=50,"Adult","Senior"))</f>
        <v>Adult</v>
      </c>
      <c r="T252" s="1">
        <f>Table1[[#This Row],[Purchase Amount (USD)]]</f>
        <v>25</v>
      </c>
      <c r="U252">
        <f>IF(Table1[[#This Row],[Subscription Status]]="Yes",1,IF(Table1[[#This Row],[Subscription Status]]="No",0))</f>
        <v>1</v>
      </c>
    </row>
    <row r="253" spans="1:21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  <c r="S253" t="str">
        <f>IF(Table1[[#This Row],[Age]]&lt;=25,"Young",IF(Table1[[#This Row],[Age]]&lt;=50,"Adult","Senior"))</f>
        <v>Young</v>
      </c>
      <c r="T253" s="1">
        <f>Table1[[#This Row],[Purchase Amount (USD)]]</f>
        <v>51</v>
      </c>
      <c r="U253">
        <f>IF(Table1[[#This Row],[Subscription Status]]="Yes",1,IF(Table1[[#This Row],[Subscription Status]]="No",0))</f>
        <v>1</v>
      </c>
    </row>
    <row r="254" spans="1:21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  <c r="S254" t="str">
        <f>IF(Table1[[#This Row],[Age]]&lt;=25,"Young",IF(Table1[[#This Row],[Age]]&lt;=50,"Adult","Senior"))</f>
        <v>Adult</v>
      </c>
      <c r="T254" s="1">
        <f>Table1[[#This Row],[Purchase Amount (USD)]]</f>
        <v>41</v>
      </c>
      <c r="U254">
        <f>IF(Table1[[#This Row],[Subscription Status]]="Yes",1,IF(Table1[[#This Row],[Subscription Status]]="No",0))</f>
        <v>1</v>
      </c>
    </row>
    <row r="255" spans="1:21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  <c r="S255" t="str">
        <f>IF(Table1[[#This Row],[Age]]&lt;=25,"Young",IF(Table1[[#This Row],[Age]]&lt;=50,"Adult","Senior"))</f>
        <v>Senior</v>
      </c>
      <c r="T255" s="1">
        <f>Table1[[#This Row],[Purchase Amount (USD)]]</f>
        <v>73</v>
      </c>
      <c r="U255">
        <f>IF(Table1[[#This Row],[Subscription Status]]="Yes",1,IF(Table1[[#This Row],[Subscription Status]]="No",0))</f>
        <v>1</v>
      </c>
    </row>
    <row r="256" spans="1:21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  <c r="S256" t="str">
        <f>IF(Table1[[#This Row],[Age]]&lt;=25,"Young",IF(Table1[[#This Row],[Age]]&lt;=50,"Adult","Senior"))</f>
        <v>Senior</v>
      </c>
      <c r="T256" s="1">
        <f>Table1[[#This Row],[Purchase Amount (USD)]]</f>
        <v>42</v>
      </c>
      <c r="U256">
        <f>IF(Table1[[#This Row],[Subscription Status]]="Yes",1,IF(Table1[[#This Row],[Subscription Status]]="No",0))</f>
        <v>1</v>
      </c>
    </row>
    <row r="257" spans="1:21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  <c r="S257" t="str">
        <f>IF(Table1[[#This Row],[Age]]&lt;=25,"Young",IF(Table1[[#This Row],[Age]]&lt;=50,"Adult","Senior"))</f>
        <v>Adult</v>
      </c>
      <c r="T257" s="1">
        <f>Table1[[#This Row],[Purchase Amount (USD)]]</f>
        <v>20</v>
      </c>
      <c r="U257">
        <f>IF(Table1[[#This Row],[Subscription Status]]="Yes",1,IF(Table1[[#This Row],[Subscription Status]]="No",0))</f>
        <v>1</v>
      </c>
    </row>
    <row r="258" spans="1:21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  <c r="S258" t="str">
        <f>IF(Table1[[#This Row],[Age]]&lt;=25,"Young",IF(Table1[[#This Row],[Age]]&lt;=50,"Adult","Senior"))</f>
        <v>Senior</v>
      </c>
      <c r="T258" s="1">
        <f>Table1[[#This Row],[Purchase Amount (USD)]]</f>
        <v>30</v>
      </c>
      <c r="U258">
        <f>IF(Table1[[#This Row],[Subscription Status]]="Yes",1,IF(Table1[[#This Row],[Subscription Status]]="No",0))</f>
        <v>1</v>
      </c>
    </row>
    <row r="259" spans="1:21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  <c r="S259" t="str">
        <f>IF(Table1[[#This Row],[Age]]&lt;=25,"Young",IF(Table1[[#This Row],[Age]]&lt;=50,"Adult","Senior"))</f>
        <v>Young</v>
      </c>
      <c r="T259" s="1">
        <f>Table1[[#This Row],[Purchase Amount (USD)]]</f>
        <v>53</v>
      </c>
      <c r="U259">
        <f>IF(Table1[[#This Row],[Subscription Status]]="Yes",1,IF(Table1[[#This Row],[Subscription Status]]="No",0))</f>
        <v>1</v>
      </c>
    </row>
    <row r="260" spans="1:21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  <c r="S260" t="str">
        <f>IF(Table1[[#This Row],[Age]]&lt;=25,"Young",IF(Table1[[#This Row],[Age]]&lt;=50,"Adult","Senior"))</f>
        <v>Senior</v>
      </c>
      <c r="T260" s="1">
        <f>Table1[[#This Row],[Purchase Amount (USD)]]</f>
        <v>74</v>
      </c>
      <c r="U260">
        <f>IF(Table1[[#This Row],[Subscription Status]]="Yes",1,IF(Table1[[#This Row],[Subscription Status]]="No",0))</f>
        <v>1</v>
      </c>
    </row>
    <row r="261" spans="1:21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  <c r="S261" t="str">
        <f>IF(Table1[[#This Row],[Age]]&lt;=25,"Young",IF(Table1[[#This Row],[Age]]&lt;=50,"Adult","Senior"))</f>
        <v>Adult</v>
      </c>
      <c r="T261" s="1">
        <f>Table1[[#This Row],[Purchase Amount (USD)]]</f>
        <v>57</v>
      </c>
      <c r="U261">
        <f>IF(Table1[[#This Row],[Subscription Status]]="Yes",1,IF(Table1[[#This Row],[Subscription Status]]="No",0))</f>
        <v>1</v>
      </c>
    </row>
    <row r="262" spans="1:21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  <c r="S262" t="str">
        <f>IF(Table1[[#This Row],[Age]]&lt;=25,"Young",IF(Table1[[#This Row],[Age]]&lt;=50,"Adult","Senior"))</f>
        <v>Adult</v>
      </c>
      <c r="T262" s="1">
        <f>Table1[[#This Row],[Purchase Amount (USD)]]</f>
        <v>57</v>
      </c>
      <c r="U262">
        <f>IF(Table1[[#This Row],[Subscription Status]]="Yes",1,IF(Table1[[#This Row],[Subscription Status]]="No",0))</f>
        <v>1</v>
      </c>
    </row>
    <row r="263" spans="1:21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  <c r="S263" t="str">
        <f>IF(Table1[[#This Row],[Age]]&lt;=25,"Young",IF(Table1[[#This Row],[Age]]&lt;=50,"Adult","Senior"))</f>
        <v>Young</v>
      </c>
      <c r="T263" s="1">
        <f>Table1[[#This Row],[Purchase Amount (USD)]]</f>
        <v>77</v>
      </c>
      <c r="U263">
        <f>IF(Table1[[#This Row],[Subscription Status]]="Yes",1,IF(Table1[[#This Row],[Subscription Status]]="No",0))</f>
        <v>1</v>
      </c>
    </row>
    <row r="264" spans="1:21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  <c r="S264" t="str">
        <f>IF(Table1[[#This Row],[Age]]&lt;=25,"Young",IF(Table1[[#This Row],[Age]]&lt;=50,"Adult","Senior"))</f>
        <v>Adult</v>
      </c>
      <c r="T264" s="1">
        <f>Table1[[#This Row],[Purchase Amount (USD)]]</f>
        <v>40</v>
      </c>
      <c r="U264">
        <f>IF(Table1[[#This Row],[Subscription Status]]="Yes",1,IF(Table1[[#This Row],[Subscription Status]]="No",0))</f>
        <v>1</v>
      </c>
    </row>
    <row r="265" spans="1:21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  <c r="S265" t="str">
        <f>IF(Table1[[#This Row],[Age]]&lt;=25,"Young",IF(Table1[[#This Row],[Age]]&lt;=50,"Adult","Senior"))</f>
        <v>Adult</v>
      </c>
      <c r="T265" s="1">
        <f>Table1[[#This Row],[Purchase Amount (USD)]]</f>
        <v>46</v>
      </c>
      <c r="U265">
        <f>IF(Table1[[#This Row],[Subscription Status]]="Yes",1,IF(Table1[[#This Row],[Subscription Status]]="No",0))</f>
        <v>1</v>
      </c>
    </row>
    <row r="266" spans="1:21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  <c r="S266" t="str">
        <f>IF(Table1[[#This Row],[Age]]&lt;=25,"Young",IF(Table1[[#This Row],[Age]]&lt;=50,"Adult","Senior"))</f>
        <v>Adult</v>
      </c>
      <c r="T266" s="1">
        <f>Table1[[#This Row],[Purchase Amount (USD)]]</f>
        <v>78</v>
      </c>
      <c r="U266">
        <f>IF(Table1[[#This Row],[Subscription Status]]="Yes",1,IF(Table1[[#This Row],[Subscription Status]]="No",0))</f>
        <v>1</v>
      </c>
    </row>
    <row r="267" spans="1:21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  <c r="S267" t="str">
        <f>IF(Table1[[#This Row],[Age]]&lt;=25,"Young",IF(Table1[[#This Row],[Age]]&lt;=50,"Adult","Senior"))</f>
        <v>Adult</v>
      </c>
      <c r="T267" s="1">
        <f>Table1[[#This Row],[Purchase Amount (USD)]]</f>
        <v>59</v>
      </c>
      <c r="U267">
        <f>IF(Table1[[#This Row],[Subscription Status]]="Yes",1,IF(Table1[[#This Row],[Subscription Status]]="No",0))</f>
        <v>1</v>
      </c>
    </row>
    <row r="268" spans="1:21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  <c r="S268" t="str">
        <f>IF(Table1[[#This Row],[Age]]&lt;=25,"Young",IF(Table1[[#This Row],[Age]]&lt;=50,"Adult","Senior"))</f>
        <v>Senior</v>
      </c>
      <c r="T268" s="1">
        <f>Table1[[#This Row],[Purchase Amount (USD)]]</f>
        <v>75</v>
      </c>
      <c r="U268">
        <f>IF(Table1[[#This Row],[Subscription Status]]="Yes",1,IF(Table1[[#This Row],[Subscription Status]]="No",0))</f>
        <v>1</v>
      </c>
    </row>
    <row r="269" spans="1:21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  <c r="S269" t="str">
        <f>IF(Table1[[#This Row],[Age]]&lt;=25,"Young",IF(Table1[[#This Row],[Age]]&lt;=50,"Adult","Senior"))</f>
        <v>Senior</v>
      </c>
      <c r="T269" s="1">
        <f>Table1[[#This Row],[Purchase Amount (USD)]]</f>
        <v>54</v>
      </c>
      <c r="U269">
        <f>IF(Table1[[#This Row],[Subscription Status]]="Yes",1,IF(Table1[[#This Row],[Subscription Status]]="No",0))</f>
        <v>1</v>
      </c>
    </row>
    <row r="270" spans="1:21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  <c r="S270" t="str">
        <f>IF(Table1[[#This Row],[Age]]&lt;=25,"Young",IF(Table1[[#This Row],[Age]]&lt;=50,"Adult","Senior"))</f>
        <v>Senior</v>
      </c>
      <c r="T270" s="1">
        <f>Table1[[#This Row],[Purchase Amount (USD)]]</f>
        <v>42</v>
      </c>
      <c r="U270">
        <f>IF(Table1[[#This Row],[Subscription Status]]="Yes",1,IF(Table1[[#This Row],[Subscription Status]]="No",0))</f>
        <v>1</v>
      </c>
    </row>
    <row r="271" spans="1:21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  <c r="S271" t="str">
        <f>IF(Table1[[#This Row],[Age]]&lt;=25,"Young",IF(Table1[[#This Row],[Age]]&lt;=50,"Adult","Senior"))</f>
        <v>Senior</v>
      </c>
      <c r="T271" s="1">
        <f>Table1[[#This Row],[Purchase Amount (USD)]]</f>
        <v>44</v>
      </c>
      <c r="U271">
        <f>IF(Table1[[#This Row],[Subscription Status]]="Yes",1,IF(Table1[[#This Row],[Subscription Status]]="No",0))</f>
        <v>1</v>
      </c>
    </row>
    <row r="272" spans="1:21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  <c r="S272" t="str">
        <f>IF(Table1[[#This Row],[Age]]&lt;=25,"Young",IF(Table1[[#This Row],[Age]]&lt;=50,"Adult","Senior"))</f>
        <v>Adult</v>
      </c>
      <c r="T272" s="1">
        <f>Table1[[#This Row],[Purchase Amount (USD)]]</f>
        <v>52</v>
      </c>
      <c r="U272">
        <f>IF(Table1[[#This Row],[Subscription Status]]="Yes",1,IF(Table1[[#This Row],[Subscription Status]]="No",0))</f>
        <v>1</v>
      </c>
    </row>
    <row r="273" spans="1:21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  <c r="S273" t="str">
        <f>IF(Table1[[#This Row],[Age]]&lt;=25,"Young",IF(Table1[[#This Row],[Age]]&lt;=50,"Adult","Senior"))</f>
        <v>Senior</v>
      </c>
      <c r="T273" s="1">
        <f>Table1[[#This Row],[Purchase Amount (USD)]]</f>
        <v>69</v>
      </c>
      <c r="U273">
        <f>IF(Table1[[#This Row],[Subscription Status]]="Yes",1,IF(Table1[[#This Row],[Subscription Status]]="No",0))</f>
        <v>1</v>
      </c>
    </row>
    <row r="274" spans="1:21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  <c r="S274" t="str">
        <f>IF(Table1[[#This Row],[Age]]&lt;=25,"Young",IF(Table1[[#This Row],[Age]]&lt;=50,"Adult","Senior"))</f>
        <v>Adult</v>
      </c>
      <c r="T274" s="1">
        <f>Table1[[#This Row],[Purchase Amount (USD)]]</f>
        <v>26</v>
      </c>
      <c r="U274">
        <f>IF(Table1[[#This Row],[Subscription Status]]="Yes",1,IF(Table1[[#This Row],[Subscription Status]]="No",0))</f>
        <v>1</v>
      </c>
    </row>
    <row r="275" spans="1:21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  <c r="S275" t="str">
        <f>IF(Table1[[#This Row],[Age]]&lt;=25,"Young",IF(Table1[[#This Row],[Age]]&lt;=50,"Adult","Senior"))</f>
        <v>Senior</v>
      </c>
      <c r="T275" s="1">
        <f>Table1[[#This Row],[Purchase Amount (USD)]]</f>
        <v>33</v>
      </c>
      <c r="U275">
        <f>IF(Table1[[#This Row],[Subscription Status]]="Yes",1,IF(Table1[[#This Row],[Subscription Status]]="No",0))</f>
        <v>1</v>
      </c>
    </row>
    <row r="276" spans="1:21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  <c r="S276" t="str">
        <f>IF(Table1[[#This Row],[Age]]&lt;=25,"Young",IF(Table1[[#This Row],[Age]]&lt;=50,"Adult","Senior"))</f>
        <v>Senior</v>
      </c>
      <c r="T276" s="1">
        <f>Table1[[#This Row],[Purchase Amount (USD)]]</f>
        <v>32</v>
      </c>
      <c r="U276">
        <f>IF(Table1[[#This Row],[Subscription Status]]="Yes",1,IF(Table1[[#This Row],[Subscription Status]]="No",0))</f>
        <v>1</v>
      </c>
    </row>
    <row r="277" spans="1:21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  <c r="S277" t="str">
        <f>IF(Table1[[#This Row],[Age]]&lt;=25,"Young",IF(Table1[[#This Row],[Age]]&lt;=50,"Adult","Senior"))</f>
        <v>Adult</v>
      </c>
      <c r="T277" s="1">
        <f>Table1[[#This Row],[Purchase Amount (USD)]]</f>
        <v>85</v>
      </c>
      <c r="U277">
        <f>IF(Table1[[#This Row],[Subscription Status]]="Yes",1,IF(Table1[[#This Row],[Subscription Status]]="No",0))</f>
        <v>1</v>
      </c>
    </row>
    <row r="278" spans="1:21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  <c r="S278" t="str">
        <f>IF(Table1[[#This Row],[Age]]&lt;=25,"Young",IF(Table1[[#This Row],[Age]]&lt;=50,"Adult","Senior"))</f>
        <v>Young</v>
      </c>
      <c r="T278" s="1">
        <f>Table1[[#This Row],[Purchase Amount (USD)]]</f>
        <v>30</v>
      </c>
      <c r="U278">
        <f>IF(Table1[[#This Row],[Subscription Status]]="Yes",1,IF(Table1[[#This Row],[Subscription Status]]="No",0))</f>
        <v>1</v>
      </c>
    </row>
    <row r="279" spans="1:21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  <c r="S279" t="str">
        <f>IF(Table1[[#This Row],[Age]]&lt;=25,"Young",IF(Table1[[#This Row],[Age]]&lt;=50,"Adult","Senior"))</f>
        <v>Adult</v>
      </c>
      <c r="T279" s="1">
        <f>Table1[[#This Row],[Purchase Amount (USD)]]</f>
        <v>29</v>
      </c>
      <c r="U279">
        <f>IF(Table1[[#This Row],[Subscription Status]]="Yes",1,IF(Table1[[#This Row],[Subscription Status]]="No",0))</f>
        <v>1</v>
      </c>
    </row>
    <row r="280" spans="1:21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  <c r="S280" t="str">
        <f>IF(Table1[[#This Row],[Age]]&lt;=25,"Young",IF(Table1[[#This Row],[Age]]&lt;=50,"Adult","Senior"))</f>
        <v>Senior</v>
      </c>
      <c r="T280" s="1">
        <f>Table1[[#This Row],[Purchase Amount (USD)]]</f>
        <v>95</v>
      </c>
      <c r="U280">
        <f>IF(Table1[[#This Row],[Subscription Status]]="Yes",1,IF(Table1[[#This Row],[Subscription Status]]="No",0))</f>
        <v>1</v>
      </c>
    </row>
    <row r="281" spans="1:21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  <c r="S281" t="str">
        <f>IF(Table1[[#This Row],[Age]]&lt;=25,"Young",IF(Table1[[#This Row],[Age]]&lt;=50,"Adult","Senior"))</f>
        <v>Young</v>
      </c>
      <c r="T281" s="1">
        <f>Table1[[#This Row],[Purchase Amount (USD)]]</f>
        <v>69</v>
      </c>
      <c r="U281">
        <f>IF(Table1[[#This Row],[Subscription Status]]="Yes",1,IF(Table1[[#This Row],[Subscription Status]]="No",0))</f>
        <v>1</v>
      </c>
    </row>
    <row r="282" spans="1:21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  <c r="S282" t="str">
        <f>IF(Table1[[#This Row],[Age]]&lt;=25,"Young",IF(Table1[[#This Row],[Age]]&lt;=50,"Adult","Senior"))</f>
        <v>Adult</v>
      </c>
      <c r="T282" s="1">
        <f>Table1[[#This Row],[Purchase Amount (USD)]]</f>
        <v>69</v>
      </c>
      <c r="U282">
        <f>IF(Table1[[#This Row],[Subscription Status]]="Yes",1,IF(Table1[[#This Row],[Subscription Status]]="No",0))</f>
        <v>1</v>
      </c>
    </row>
    <row r="283" spans="1:21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  <c r="S283" t="str">
        <f>IF(Table1[[#This Row],[Age]]&lt;=25,"Young",IF(Table1[[#This Row],[Age]]&lt;=50,"Adult","Senior"))</f>
        <v>Adult</v>
      </c>
      <c r="T283" s="1">
        <f>Table1[[#This Row],[Purchase Amount (USD)]]</f>
        <v>61</v>
      </c>
      <c r="U283">
        <f>IF(Table1[[#This Row],[Subscription Status]]="Yes",1,IF(Table1[[#This Row],[Subscription Status]]="No",0))</f>
        <v>1</v>
      </c>
    </row>
    <row r="284" spans="1:21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  <c r="S284" t="str">
        <f>IF(Table1[[#This Row],[Age]]&lt;=25,"Young",IF(Table1[[#This Row],[Age]]&lt;=50,"Adult","Senior"))</f>
        <v>Young</v>
      </c>
      <c r="T284" s="1">
        <f>Table1[[#This Row],[Purchase Amount (USD)]]</f>
        <v>94</v>
      </c>
      <c r="U284">
        <f>IF(Table1[[#This Row],[Subscription Status]]="Yes",1,IF(Table1[[#This Row],[Subscription Status]]="No",0))</f>
        <v>1</v>
      </c>
    </row>
    <row r="285" spans="1:21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  <c r="S285" t="str">
        <f>IF(Table1[[#This Row],[Age]]&lt;=25,"Young",IF(Table1[[#This Row],[Age]]&lt;=50,"Adult","Senior"))</f>
        <v>Adult</v>
      </c>
      <c r="T285" s="1">
        <f>Table1[[#This Row],[Purchase Amount (USD)]]</f>
        <v>30</v>
      </c>
      <c r="U285">
        <f>IF(Table1[[#This Row],[Subscription Status]]="Yes",1,IF(Table1[[#This Row],[Subscription Status]]="No",0))</f>
        <v>1</v>
      </c>
    </row>
    <row r="286" spans="1:21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  <c r="S286" t="str">
        <f>IF(Table1[[#This Row],[Age]]&lt;=25,"Young",IF(Table1[[#This Row],[Age]]&lt;=50,"Adult","Senior"))</f>
        <v>Senior</v>
      </c>
      <c r="T286" s="1">
        <f>Table1[[#This Row],[Purchase Amount (USD)]]</f>
        <v>45</v>
      </c>
      <c r="U286">
        <f>IF(Table1[[#This Row],[Subscription Status]]="Yes",1,IF(Table1[[#This Row],[Subscription Status]]="No",0))</f>
        <v>1</v>
      </c>
    </row>
    <row r="287" spans="1:21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  <c r="S287" t="str">
        <f>IF(Table1[[#This Row],[Age]]&lt;=25,"Young",IF(Table1[[#This Row],[Age]]&lt;=50,"Adult","Senior"))</f>
        <v>Adult</v>
      </c>
      <c r="T287" s="1">
        <f>Table1[[#This Row],[Purchase Amount (USD)]]</f>
        <v>39</v>
      </c>
      <c r="U287">
        <f>IF(Table1[[#This Row],[Subscription Status]]="Yes",1,IF(Table1[[#This Row],[Subscription Status]]="No",0))</f>
        <v>1</v>
      </c>
    </row>
    <row r="288" spans="1:21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  <c r="S288" t="str">
        <f>IF(Table1[[#This Row],[Age]]&lt;=25,"Young",IF(Table1[[#This Row],[Age]]&lt;=50,"Adult","Senior"))</f>
        <v>Adult</v>
      </c>
      <c r="T288" s="1">
        <f>Table1[[#This Row],[Purchase Amount (USD)]]</f>
        <v>51</v>
      </c>
      <c r="U288">
        <f>IF(Table1[[#This Row],[Subscription Status]]="Yes",1,IF(Table1[[#This Row],[Subscription Status]]="No",0))</f>
        <v>1</v>
      </c>
    </row>
    <row r="289" spans="1:21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  <c r="S289" t="str">
        <f>IF(Table1[[#This Row],[Age]]&lt;=25,"Young",IF(Table1[[#This Row],[Age]]&lt;=50,"Adult","Senior"))</f>
        <v>Senior</v>
      </c>
      <c r="T289" s="1">
        <f>Table1[[#This Row],[Purchase Amount (USD)]]</f>
        <v>37</v>
      </c>
      <c r="U289">
        <f>IF(Table1[[#This Row],[Subscription Status]]="Yes",1,IF(Table1[[#This Row],[Subscription Status]]="No",0))</f>
        <v>1</v>
      </c>
    </row>
    <row r="290" spans="1:21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  <c r="S290" t="str">
        <f>IF(Table1[[#This Row],[Age]]&lt;=25,"Young",IF(Table1[[#This Row],[Age]]&lt;=50,"Adult","Senior"))</f>
        <v>Adult</v>
      </c>
      <c r="T290" s="1">
        <f>Table1[[#This Row],[Purchase Amount (USD)]]</f>
        <v>62</v>
      </c>
      <c r="U290">
        <f>IF(Table1[[#This Row],[Subscription Status]]="Yes",1,IF(Table1[[#This Row],[Subscription Status]]="No",0))</f>
        <v>1</v>
      </c>
    </row>
    <row r="291" spans="1:21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  <c r="S291" t="str">
        <f>IF(Table1[[#This Row],[Age]]&lt;=25,"Young",IF(Table1[[#This Row],[Age]]&lt;=50,"Adult","Senior"))</f>
        <v>Adult</v>
      </c>
      <c r="T291" s="1">
        <f>Table1[[#This Row],[Purchase Amount (USD)]]</f>
        <v>85</v>
      </c>
      <c r="U291">
        <f>IF(Table1[[#This Row],[Subscription Status]]="Yes",1,IF(Table1[[#This Row],[Subscription Status]]="No",0))</f>
        <v>1</v>
      </c>
    </row>
    <row r="292" spans="1:21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  <c r="S292" t="str">
        <f>IF(Table1[[#This Row],[Age]]&lt;=25,"Young",IF(Table1[[#This Row],[Age]]&lt;=50,"Adult","Senior"))</f>
        <v>Senior</v>
      </c>
      <c r="T292" s="1">
        <f>Table1[[#This Row],[Purchase Amount (USD)]]</f>
        <v>33</v>
      </c>
      <c r="U292">
        <f>IF(Table1[[#This Row],[Subscription Status]]="Yes",1,IF(Table1[[#This Row],[Subscription Status]]="No",0))</f>
        <v>1</v>
      </c>
    </row>
    <row r="293" spans="1:21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  <c r="S293" t="str">
        <f>IF(Table1[[#This Row],[Age]]&lt;=25,"Young",IF(Table1[[#This Row],[Age]]&lt;=50,"Adult","Senior"))</f>
        <v>Senior</v>
      </c>
      <c r="T293" s="1">
        <f>Table1[[#This Row],[Purchase Amount (USD)]]</f>
        <v>26</v>
      </c>
      <c r="U293">
        <f>IF(Table1[[#This Row],[Subscription Status]]="Yes",1,IF(Table1[[#This Row],[Subscription Status]]="No",0))</f>
        <v>1</v>
      </c>
    </row>
    <row r="294" spans="1:21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  <c r="S294" t="str">
        <f>IF(Table1[[#This Row],[Age]]&lt;=25,"Young",IF(Table1[[#This Row],[Age]]&lt;=50,"Adult","Senior"))</f>
        <v>Senior</v>
      </c>
      <c r="T294" s="1">
        <f>Table1[[#This Row],[Purchase Amount (USD)]]</f>
        <v>99</v>
      </c>
      <c r="U294">
        <f>IF(Table1[[#This Row],[Subscription Status]]="Yes",1,IF(Table1[[#This Row],[Subscription Status]]="No",0))</f>
        <v>1</v>
      </c>
    </row>
    <row r="295" spans="1:21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  <c r="S295" t="str">
        <f>IF(Table1[[#This Row],[Age]]&lt;=25,"Young",IF(Table1[[#This Row],[Age]]&lt;=50,"Adult","Senior"))</f>
        <v>Senior</v>
      </c>
      <c r="T295" s="1">
        <f>Table1[[#This Row],[Purchase Amount (USD)]]</f>
        <v>39</v>
      </c>
      <c r="U295">
        <f>IF(Table1[[#This Row],[Subscription Status]]="Yes",1,IF(Table1[[#This Row],[Subscription Status]]="No",0))</f>
        <v>1</v>
      </c>
    </row>
    <row r="296" spans="1:21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  <c r="S296" t="str">
        <f>IF(Table1[[#This Row],[Age]]&lt;=25,"Young",IF(Table1[[#This Row],[Age]]&lt;=50,"Adult","Senior"))</f>
        <v>Senior</v>
      </c>
      <c r="T296" s="1">
        <f>Table1[[#This Row],[Purchase Amount (USD)]]</f>
        <v>20</v>
      </c>
      <c r="U296">
        <f>IF(Table1[[#This Row],[Subscription Status]]="Yes",1,IF(Table1[[#This Row],[Subscription Status]]="No",0))</f>
        <v>1</v>
      </c>
    </row>
    <row r="297" spans="1:21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  <c r="S297" t="str">
        <f>IF(Table1[[#This Row],[Age]]&lt;=25,"Young",IF(Table1[[#This Row],[Age]]&lt;=50,"Adult","Senior"))</f>
        <v>Senior</v>
      </c>
      <c r="T297" s="1">
        <f>Table1[[#This Row],[Purchase Amount (USD)]]</f>
        <v>42</v>
      </c>
      <c r="U297">
        <f>IF(Table1[[#This Row],[Subscription Status]]="Yes",1,IF(Table1[[#This Row],[Subscription Status]]="No",0))</f>
        <v>1</v>
      </c>
    </row>
    <row r="298" spans="1:21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  <c r="S298" t="str">
        <f>IF(Table1[[#This Row],[Age]]&lt;=25,"Young",IF(Table1[[#This Row],[Age]]&lt;=50,"Adult","Senior"))</f>
        <v>Young</v>
      </c>
      <c r="T298" s="1">
        <f>Table1[[#This Row],[Purchase Amount (USD)]]</f>
        <v>74</v>
      </c>
      <c r="U298">
        <f>IF(Table1[[#This Row],[Subscription Status]]="Yes",1,IF(Table1[[#This Row],[Subscription Status]]="No",0))</f>
        <v>1</v>
      </c>
    </row>
    <row r="299" spans="1:21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  <c r="S299" t="str">
        <f>IF(Table1[[#This Row],[Age]]&lt;=25,"Young",IF(Table1[[#This Row],[Age]]&lt;=50,"Adult","Senior"))</f>
        <v>Adult</v>
      </c>
      <c r="T299" s="1">
        <f>Table1[[#This Row],[Purchase Amount (USD)]]</f>
        <v>26</v>
      </c>
      <c r="U299">
        <f>IF(Table1[[#This Row],[Subscription Status]]="Yes",1,IF(Table1[[#This Row],[Subscription Status]]="No",0))</f>
        <v>1</v>
      </c>
    </row>
    <row r="300" spans="1:21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  <c r="S300" t="str">
        <f>IF(Table1[[#This Row],[Age]]&lt;=25,"Young",IF(Table1[[#This Row],[Age]]&lt;=50,"Adult","Senior"))</f>
        <v>Senior</v>
      </c>
      <c r="T300" s="1">
        <f>Table1[[#This Row],[Purchase Amount (USD)]]</f>
        <v>53</v>
      </c>
      <c r="U300">
        <f>IF(Table1[[#This Row],[Subscription Status]]="Yes",1,IF(Table1[[#This Row],[Subscription Status]]="No",0))</f>
        <v>1</v>
      </c>
    </row>
    <row r="301" spans="1:21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  <c r="S301" t="str">
        <f>IF(Table1[[#This Row],[Age]]&lt;=25,"Young",IF(Table1[[#This Row],[Age]]&lt;=50,"Adult","Senior"))</f>
        <v>Young</v>
      </c>
      <c r="T301" s="1">
        <f>Table1[[#This Row],[Purchase Amount (USD)]]</f>
        <v>80</v>
      </c>
      <c r="U301">
        <f>IF(Table1[[#This Row],[Subscription Status]]="Yes",1,IF(Table1[[#This Row],[Subscription Status]]="No",0))</f>
        <v>1</v>
      </c>
    </row>
    <row r="302" spans="1:21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  <c r="S302" t="str">
        <f>IF(Table1[[#This Row],[Age]]&lt;=25,"Young",IF(Table1[[#This Row],[Age]]&lt;=50,"Adult","Senior"))</f>
        <v>Adult</v>
      </c>
      <c r="T302" s="1">
        <f>Table1[[#This Row],[Purchase Amount (USD)]]</f>
        <v>98</v>
      </c>
      <c r="U302">
        <f>IF(Table1[[#This Row],[Subscription Status]]="Yes",1,IF(Table1[[#This Row],[Subscription Status]]="No",0))</f>
        <v>1</v>
      </c>
    </row>
    <row r="303" spans="1:21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  <c r="S303" t="str">
        <f>IF(Table1[[#This Row],[Age]]&lt;=25,"Young",IF(Table1[[#This Row],[Age]]&lt;=50,"Adult","Senior"))</f>
        <v>Adult</v>
      </c>
      <c r="T303" s="1">
        <f>Table1[[#This Row],[Purchase Amount (USD)]]</f>
        <v>95</v>
      </c>
      <c r="U303">
        <f>IF(Table1[[#This Row],[Subscription Status]]="Yes",1,IF(Table1[[#This Row],[Subscription Status]]="No",0))</f>
        <v>1</v>
      </c>
    </row>
    <row r="304" spans="1:21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  <c r="S304" t="str">
        <f>IF(Table1[[#This Row],[Age]]&lt;=25,"Young",IF(Table1[[#This Row],[Age]]&lt;=50,"Adult","Senior"))</f>
        <v>Adult</v>
      </c>
      <c r="T304" s="1">
        <f>Table1[[#This Row],[Purchase Amount (USD)]]</f>
        <v>44</v>
      </c>
      <c r="U304">
        <f>IF(Table1[[#This Row],[Subscription Status]]="Yes",1,IF(Table1[[#This Row],[Subscription Status]]="No",0))</f>
        <v>1</v>
      </c>
    </row>
    <row r="305" spans="1:21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  <c r="S305" t="str">
        <f>IF(Table1[[#This Row],[Age]]&lt;=25,"Young",IF(Table1[[#This Row],[Age]]&lt;=50,"Adult","Senior"))</f>
        <v>Young</v>
      </c>
      <c r="T305" s="1">
        <f>Table1[[#This Row],[Purchase Amount (USD)]]</f>
        <v>60</v>
      </c>
      <c r="U305">
        <f>IF(Table1[[#This Row],[Subscription Status]]="Yes",1,IF(Table1[[#This Row],[Subscription Status]]="No",0))</f>
        <v>1</v>
      </c>
    </row>
    <row r="306" spans="1:21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  <c r="S306" t="str">
        <f>IF(Table1[[#This Row],[Age]]&lt;=25,"Young",IF(Table1[[#This Row],[Age]]&lt;=50,"Adult","Senior"))</f>
        <v>Adult</v>
      </c>
      <c r="T306" s="1">
        <f>Table1[[#This Row],[Purchase Amount (USD)]]</f>
        <v>84</v>
      </c>
      <c r="U306">
        <f>IF(Table1[[#This Row],[Subscription Status]]="Yes",1,IF(Table1[[#This Row],[Subscription Status]]="No",0))</f>
        <v>1</v>
      </c>
    </row>
    <row r="307" spans="1:21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  <c r="S307" t="str">
        <f>IF(Table1[[#This Row],[Age]]&lt;=25,"Young",IF(Table1[[#This Row],[Age]]&lt;=50,"Adult","Senior"))</f>
        <v>Senior</v>
      </c>
      <c r="T307" s="1">
        <f>Table1[[#This Row],[Purchase Amount (USD)]]</f>
        <v>59</v>
      </c>
      <c r="U307">
        <f>IF(Table1[[#This Row],[Subscription Status]]="Yes",1,IF(Table1[[#This Row],[Subscription Status]]="No",0))</f>
        <v>1</v>
      </c>
    </row>
    <row r="308" spans="1:21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  <c r="S308" t="str">
        <f>IF(Table1[[#This Row],[Age]]&lt;=25,"Young",IF(Table1[[#This Row],[Age]]&lt;=50,"Adult","Senior"))</f>
        <v>Adult</v>
      </c>
      <c r="T308" s="1">
        <f>Table1[[#This Row],[Purchase Amount (USD)]]</f>
        <v>49</v>
      </c>
      <c r="U308">
        <f>IF(Table1[[#This Row],[Subscription Status]]="Yes",1,IF(Table1[[#This Row],[Subscription Status]]="No",0))</f>
        <v>1</v>
      </c>
    </row>
    <row r="309" spans="1:21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  <c r="S309" t="str">
        <f>IF(Table1[[#This Row],[Age]]&lt;=25,"Young",IF(Table1[[#This Row],[Age]]&lt;=50,"Adult","Senior"))</f>
        <v>Adult</v>
      </c>
      <c r="T309" s="1">
        <f>Table1[[#This Row],[Purchase Amount (USD)]]</f>
        <v>32</v>
      </c>
      <c r="U309">
        <f>IF(Table1[[#This Row],[Subscription Status]]="Yes",1,IF(Table1[[#This Row],[Subscription Status]]="No",0))</f>
        <v>1</v>
      </c>
    </row>
    <row r="310" spans="1:21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  <c r="S310" t="str">
        <f>IF(Table1[[#This Row],[Age]]&lt;=25,"Young",IF(Table1[[#This Row],[Age]]&lt;=50,"Adult","Senior"))</f>
        <v>Senior</v>
      </c>
      <c r="T310" s="1">
        <f>Table1[[#This Row],[Purchase Amount (USD)]]</f>
        <v>29</v>
      </c>
      <c r="U310">
        <f>IF(Table1[[#This Row],[Subscription Status]]="Yes",1,IF(Table1[[#This Row],[Subscription Status]]="No",0))</f>
        <v>1</v>
      </c>
    </row>
    <row r="311" spans="1:21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  <c r="S311" t="str">
        <f>IF(Table1[[#This Row],[Age]]&lt;=25,"Young",IF(Table1[[#This Row],[Age]]&lt;=50,"Adult","Senior"))</f>
        <v>Senior</v>
      </c>
      <c r="T311" s="1">
        <f>Table1[[#This Row],[Purchase Amount (USD)]]</f>
        <v>22</v>
      </c>
      <c r="U311">
        <f>IF(Table1[[#This Row],[Subscription Status]]="Yes",1,IF(Table1[[#This Row],[Subscription Status]]="No",0))</f>
        <v>1</v>
      </c>
    </row>
    <row r="312" spans="1:21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  <c r="S312" t="str">
        <f>IF(Table1[[#This Row],[Age]]&lt;=25,"Young",IF(Table1[[#This Row],[Age]]&lt;=50,"Adult","Senior"))</f>
        <v>Senior</v>
      </c>
      <c r="T312" s="1">
        <f>Table1[[#This Row],[Purchase Amount (USD)]]</f>
        <v>85</v>
      </c>
      <c r="U312">
        <f>IF(Table1[[#This Row],[Subscription Status]]="Yes",1,IF(Table1[[#This Row],[Subscription Status]]="No",0))</f>
        <v>1</v>
      </c>
    </row>
    <row r="313" spans="1:21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  <c r="S313" t="str">
        <f>IF(Table1[[#This Row],[Age]]&lt;=25,"Young",IF(Table1[[#This Row],[Age]]&lt;=50,"Adult","Senior"))</f>
        <v>Senior</v>
      </c>
      <c r="T313" s="1">
        <f>Table1[[#This Row],[Purchase Amount (USD)]]</f>
        <v>52</v>
      </c>
      <c r="U313">
        <f>IF(Table1[[#This Row],[Subscription Status]]="Yes",1,IF(Table1[[#This Row],[Subscription Status]]="No",0))</f>
        <v>1</v>
      </c>
    </row>
    <row r="314" spans="1:21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  <c r="S314" t="str">
        <f>IF(Table1[[#This Row],[Age]]&lt;=25,"Young",IF(Table1[[#This Row],[Age]]&lt;=50,"Adult","Senior"))</f>
        <v>Adult</v>
      </c>
      <c r="T314" s="1">
        <f>Table1[[#This Row],[Purchase Amount (USD)]]</f>
        <v>89</v>
      </c>
      <c r="U314">
        <f>IF(Table1[[#This Row],[Subscription Status]]="Yes",1,IF(Table1[[#This Row],[Subscription Status]]="No",0))</f>
        <v>1</v>
      </c>
    </row>
    <row r="315" spans="1:21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  <c r="S315" t="str">
        <f>IF(Table1[[#This Row],[Age]]&lt;=25,"Young",IF(Table1[[#This Row],[Age]]&lt;=50,"Adult","Senior"))</f>
        <v>Adult</v>
      </c>
      <c r="T315" s="1">
        <f>Table1[[#This Row],[Purchase Amount (USD)]]</f>
        <v>77</v>
      </c>
      <c r="U315">
        <f>IF(Table1[[#This Row],[Subscription Status]]="Yes",1,IF(Table1[[#This Row],[Subscription Status]]="No",0))</f>
        <v>1</v>
      </c>
    </row>
    <row r="316" spans="1:21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  <c r="S316" t="str">
        <f>IF(Table1[[#This Row],[Age]]&lt;=25,"Young",IF(Table1[[#This Row],[Age]]&lt;=50,"Adult","Senior"))</f>
        <v>Adult</v>
      </c>
      <c r="T316" s="1">
        <f>Table1[[#This Row],[Purchase Amount (USD)]]</f>
        <v>24</v>
      </c>
      <c r="U316">
        <f>IF(Table1[[#This Row],[Subscription Status]]="Yes",1,IF(Table1[[#This Row],[Subscription Status]]="No",0))</f>
        <v>1</v>
      </c>
    </row>
    <row r="317" spans="1:21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  <c r="S317" t="str">
        <f>IF(Table1[[#This Row],[Age]]&lt;=25,"Young",IF(Table1[[#This Row],[Age]]&lt;=50,"Adult","Senior"))</f>
        <v>Senior</v>
      </c>
      <c r="T317" s="1">
        <f>Table1[[#This Row],[Purchase Amount (USD)]]</f>
        <v>24</v>
      </c>
      <c r="U317">
        <f>IF(Table1[[#This Row],[Subscription Status]]="Yes",1,IF(Table1[[#This Row],[Subscription Status]]="No",0))</f>
        <v>1</v>
      </c>
    </row>
    <row r="318" spans="1:21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  <c r="S318" t="str">
        <f>IF(Table1[[#This Row],[Age]]&lt;=25,"Young",IF(Table1[[#This Row],[Age]]&lt;=50,"Adult","Senior"))</f>
        <v>Adult</v>
      </c>
      <c r="T318" s="1">
        <f>Table1[[#This Row],[Purchase Amount (USD)]]</f>
        <v>22</v>
      </c>
      <c r="U318">
        <f>IF(Table1[[#This Row],[Subscription Status]]="Yes",1,IF(Table1[[#This Row],[Subscription Status]]="No",0))</f>
        <v>1</v>
      </c>
    </row>
    <row r="319" spans="1:21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  <c r="S319" t="str">
        <f>IF(Table1[[#This Row],[Age]]&lt;=25,"Young",IF(Table1[[#This Row],[Age]]&lt;=50,"Adult","Senior"))</f>
        <v>Senior</v>
      </c>
      <c r="T319" s="1">
        <f>Table1[[#This Row],[Purchase Amount (USD)]]</f>
        <v>82</v>
      </c>
      <c r="U319">
        <f>IF(Table1[[#This Row],[Subscription Status]]="Yes",1,IF(Table1[[#This Row],[Subscription Status]]="No",0))</f>
        <v>1</v>
      </c>
    </row>
    <row r="320" spans="1:21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  <c r="S320" t="str">
        <f>IF(Table1[[#This Row],[Age]]&lt;=25,"Young",IF(Table1[[#This Row],[Age]]&lt;=50,"Adult","Senior"))</f>
        <v>Adult</v>
      </c>
      <c r="T320" s="1">
        <f>Table1[[#This Row],[Purchase Amount (USD)]]</f>
        <v>67</v>
      </c>
      <c r="U320">
        <f>IF(Table1[[#This Row],[Subscription Status]]="Yes",1,IF(Table1[[#This Row],[Subscription Status]]="No",0))</f>
        <v>1</v>
      </c>
    </row>
    <row r="321" spans="1:21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  <c r="S321" t="str">
        <f>IF(Table1[[#This Row],[Age]]&lt;=25,"Young",IF(Table1[[#This Row],[Age]]&lt;=50,"Adult","Senior"))</f>
        <v>Adult</v>
      </c>
      <c r="T321" s="1">
        <f>Table1[[#This Row],[Purchase Amount (USD)]]</f>
        <v>74</v>
      </c>
      <c r="U321">
        <f>IF(Table1[[#This Row],[Subscription Status]]="Yes",1,IF(Table1[[#This Row],[Subscription Status]]="No",0))</f>
        <v>1</v>
      </c>
    </row>
    <row r="322" spans="1:21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  <c r="S322" t="str">
        <f>IF(Table1[[#This Row],[Age]]&lt;=25,"Young",IF(Table1[[#This Row],[Age]]&lt;=50,"Adult","Senior"))</f>
        <v>Senior</v>
      </c>
      <c r="T322" s="1">
        <f>Table1[[#This Row],[Purchase Amount (USD)]]</f>
        <v>72</v>
      </c>
      <c r="U322">
        <f>IF(Table1[[#This Row],[Subscription Status]]="Yes",1,IF(Table1[[#This Row],[Subscription Status]]="No",0))</f>
        <v>1</v>
      </c>
    </row>
    <row r="323" spans="1:21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  <c r="S323" t="str">
        <f>IF(Table1[[#This Row],[Age]]&lt;=25,"Young",IF(Table1[[#This Row],[Age]]&lt;=50,"Adult","Senior"))</f>
        <v>Adult</v>
      </c>
      <c r="T323" s="1">
        <f>Table1[[#This Row],[Purchase Amount (USD)]]</f>
        <v>36</v>
      </c>
      <c r="U323">
        <f>IF(Table1[[#This Row],[Subscription Status]]="Yes",1,IF(Table1[[#This Row],[Subscription Status]]="No",0))</f>
        <v>1</v>
      </c>
    </row>
    <row r="324" spans="1:21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  <c r="S324" t="str">
        <f>IF(Table1[[#This Row],[Age]]&lt;=25,"Young",IF(Table1[[#This Row],[Age]]&lt;=50,"Adult","Senior"))</f>
        <v>Adult</v>
      </c>
      <c r="T324" s="1">
        <f>Table1[[#This Row],[Purchase Amount (USD)]]</f>
        <v>95</v>
      </c>
      <c r="U324">
        <f>IF(Table1[[#This Row],[Subscription Status]]="Yes",1,IF(Table1[[#This Row],[Subscription Status]]="No",0))</f>
        <v>1</v>
      </c>
    </row>
    <row r="325" spans="1:21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  <c r="S325" t="str">
        <f>IF(Table1[[#This Row],[Age]]&lt;=25,"Young",IF(Table1[[#This Row],[Age]]&lt;=50,"Adult","Senior"))</f>
        <v>Senior</v>
      </c>
      <c r="T325" s="1">
        <f>Table1[[#This Row],[Purchase Amount (USD)]]</f>
        <v>78</v>
      </c>
      <c r="U325">
        <f>IF(Table1[[#This Row],[Subscription Status]]="Yes",1,IF(Table1[[#This Row],[Subscription Status]]="No",0))</f>
        <v>1</v>
      </c>
    </row>
    <row r="326" spans="1:21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  <c r="S326" t="str">
        <f>IF(Table1[[#This Row],[Age]]&lt;=25,"Young",IF(Table1[[#This Row],[Age]]&lt;=50,"Adult","Senior"))</f>
        <v>Adult</v>
      </c>
      <c r="T326" s="1">
        <f>Table1[[#This Row],[Purchase Amount (USD)]]</f>
        <v>82</v>
      </c>
      <c r="U326">
        <f>IF(Table1[[#This Row],[Subscription Status]]="Yes",1,IF(Table1[[#This Row],[Subscription Status]]="No",0))</f>
        <v>1</v>
      </c>
    </row>
    <row r="327" spans="1:21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  <c r="S327" t="str">
        <f>IF(Table1[[#This Row],[Age]]&lt;=25,"Young",IF(Table1[[#This Row],[Age]]&lt;=50,"Adult","Senior"))</f>
        <v>Senior</v>
      </c>
      <c r="T327" s="1">
        <f>Table1[[#This Row],[Purchase Amount (USD)]]</f>
        <v>70</v>
      </c>
      <c r="U327">
        <f>IF(Table1[[#This Row],[Subscription Status]]="Yes",1,IF(Table1[[#This Row],[Subscription Status]]="No",0))</f>
        <v>1</v>
      </c>
    </row>
    <row r="328" spans="1:21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  <c r="S328" t="str">
        <f>IF(Table1[[#This Row],[Age]]&lt;=25,"Young",IF(Table1[[#This Row],[Age]]&lt;=50,"Adult","Senior"))</f>
        <v>Senior</v>
      </c>
      <c r="T328" s="1">
        <f>Table1[[#This Row],[Purchase Amount (USD)]]</f>
        <v>41</v>
      </c>
      <c r="U328">
        <f>IF(Table1[[#This Row],[Subscription Status]]="Yes",1,IF(Table1[[#This Row],[Subscription Status]]="No",0))</f>
        <v>1</v>
      </c>
    </row>
    <row r="329" spans="1:21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  <c r="S329" t="str">
        <f>IF(Table1[[#This Row],[Age]]&lt;=25,"Young",IF(Table1[[#This Row],[Age]]&lt;=50,"Adult","Senior"))</f>
        <v>Senior</v>
      </c>
      <c r="T329" s="1">
        <f>Table1[[#This Row],[Purchase Amount (USD)]]</f>
        <v>42</v>
      </c>
      <c r="U329">
        <f>IF(Table1[[#This Row],[Subscription Status]]="Yes",1,IF(Table1[[#This Row],[Subscription Status]]="No",0))</f>
        <v>1</v>
      </c>
    </row>
    <row r="330" spans="1:21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  <c r="S330" t="str">
        <f>IF(Table1[[#This Row],[Age]]&lt;=25,"Young",IF(Table1[[#This Row],[Age]]&lt;=50,"Adult","Senior"))</f>
        <v>Adult</v>
      </c>
      <c r="T330" s="1">
        <f>Table1[[#This Row],[Purchase Amount (USD)]]</f>
        <v>50</v>
      </c>
      <c r="U330">
        <f>IF(Table1[[#This Row],[Subscription Status]]="Yes",1,IF(Table1[[#This Row],[Subscription Status]]="No",0))</f>
        <v>1</v>
      </c>
    </row>
    <row r="331" spans="1:21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  <c r="S331" t="str">
        <f>IF(Table1[[#This Row],[Age]]&lt;=25,"Young",IF(Table1[[#This Row],[Age]]&lt;=50,"Adult","Senior"))</f>
        <v>Senior</v>
      </c>
      <c r="T331" s="1">
        <f>Table1[[#This Row],[Purchase Amount (USD)]]</f>
        <v>31</v>
      </c>
      <c r="U331">
        <f>IF(Table1[[#This Row],[Subscription Status]]="Yes",1,IF(Table1[[#This Row],[Subscription Status]]="No",0))</f>
        <v>1</v>
      </c>
    </row>
    <row r="332" spans="1:21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  <c r="S332" t="str">
        <f>IF(Table1[[#This Row],[Age]]&lt;=25,"Young",IF(Table1[[#This Row],[Age]]&lt;=50,"Adult","Senior"))</f>
        <v>Adult</v>
      </c>
      <c r="T332" s="1">
        <f>Table1[[#This Row],[Purchase Amount (USD)]]</f>
        <v>51</v>
      </c>
      <c r="U332">
        <f>IF(Table1[[#This Row],[Subscription Status]]="Yes",1,IF(Table1[[#This Row],[Subscription Status]]="No",0))</f>
        <v>1</v>
      </c>
    </row>
    <row r="333" spans="1:21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  <c r="S333" t="str">
        <f>IF(Table1[[#This Row],[Age]]&lt;=25,"Young",IF(Table1[[#This Row],[Age]]&lt;=50,"Adult","Senior"))</f>
        <v>Adult</v>
      </c>
      <c r="T333" s="1">
        <f>Table1[[#This Row],[Purchase Amount (USD)]]</f>
        <v>98</v>
      </c>
      <c r="U333">
        <f>IF(Table1[[#This Row],[Subscription Status]]="Yes",1,IF(Table1[[#This Row],[Subscription Status]]="No",0))</f>
        <v>1</v>
      </c>
    </row>
    <row r="334" spans="1:21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  <c r="S334" t="str">
        <f>IF(Table1[[#This Row],[Age]]&lt;=25,"Young",IF(Table1[[#This Row],[Age]]&lt;=50,"Adult","Senior"))</f>
        <v>Young</v>
      </c>
      <c r="T334" s="1">
        <f>Table1[[#This Row],[Purchase Amount (USD)]]</f>
        <v>86</v>
      </c>
      <c r="U334">
        <f>IF(Table1[[#This Row],[Subscription Status]]="Yes",1,IF(Table1[[#This Row],[Subscription Status]]="No",0))</f>
        <v>1</v>
      </c>
    </row>
    <row r="335" spans="1:21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  <c r="S335" t="str">
        <f>IF(Table1[[#This Row],[Age]]&lt;=25,"Young",IF(Table1[[#This Row],[Age]]&lt;=50,"Adult","Senior"))</f>
        <v>Adult</v>
      </c>
      <c r="T335" s="1">
        <f>Table1[[#This Row],[Purchase Amount (USD)]]</f>
        <v>64</v>
      </c>
      <c r="U335">
        <f>IF(Table1[[#This Row],[Subscription Status]]="Yes",1,IF(Table1[[#This Row],[Subscription Status]]="No",0))</f>
        <v>1</v>
      </c>
    </row>
    <row r="336" spans="1:21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  <c r="S336" t="str">
        <f>IF(Table1[[#This Row],[Age]]&lt;=25,"Young",IF(Table1[[#This Row],[Age]]&lt;=50,"Adult","Senior"))</f>
        <v>Adult</v>
      </c>
      <c r="T336" s="1">
        <f>Table1[[#This Row],[Purchase Amount (USD)]]</f>
        <v>46</v>
      </c>
      <c r="U336">
        <f>IF(Table1[[#This Row],[Subscription Status]]="Yes",1,IF(Table1[[#This Row],[Subscription Status]]="No",0))</f>
        <v>1</v>
      </c>
    </row>
    <row r="337" spans="1:21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  <c r="S337" t="str">
        <f>IF(Table1[[#This Row],[Age]]&lt;=25,"Young",IF(Table1[[#This Row],[Age]]&lt;=50,"Adult","Senior"))</f>
        <v>Young</v>
      </c>
      <c r="T337" s="1">
        <f>Table1[[#This Row],[Purchase Amount (USD)]]</f>
        <v>85</v>
      </c>
      <c r="U337">
        <f>IF(Table1[[#This Row],[Subscription Status]]="Yes",1,IF(Table1[[#This Row],[Subscription Status]]="No",0))</f>
        <v>1</v>
      </c>
    </row>
    <row r="338" spans="1:21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  <c r="S338" t="str">
        <f>IF(Table1[[#This Row],[Age]]&lt;=25,"Young",IF(Table1[[#This Row],[Age]]&lt;=50,"Adult","Senior"))</f>
        <v>Adult</v>
      </c>
      <c r="T338" s="1">
        <f>Table1[[#This Row],[Purchase Amount (USD)]]</f>
        <v>81</v>
      </c>
      <c r="U338">
        <f>IF(Table1[[#This Row],[Subscription Status]]="Yes",1,IF(Table1[[#This Row],[Subscription Status]]="No",0))</f>
        <v>1</v>
      </c>
    </row>
    <row r="339" spans="1:21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  <c r="S339" t="str">
        <f>IF(Table1[[#This Row],[Age]]&lt;=25,"Young",IF(Table1[[#This Row],[Age]]&lt;=50,"Adult","Senior"))</f>
        <v>Adult</v>
      </c>
      <c r="T339" s="1">
        <f>Table1[[#This Row],[Purchase Amount (USD)]]</f>
        <v>59</v>
      </c>
      <c r="U339">
        <f>IF(Table1[[#This Row],[Subscription Status]]="Yes",1,IF(Table1[[#This Row],[Subscription Status]]="No",0))</f>
        <v>1</v>
      </c>
    </row>
    <row r="340" spans="1:21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  <c r="S340" t="str">
        <f>IF(Table1[[#This Row],[Age]]&lt;=25,"Young",IF(Table1[[#This Row],[Age]]&lt;=50,"Adult","Senior"))</f>
        <v>Senior</v>
      </c>
      <c r="T340" s="1">
        <f>Table1[[#This Row],[Purchase Amount (USD)]]</f>
        <v>79</v>
      </c>
      <c r="U340">
        <f>IF(Table1[[#This Row],[Subscription Status]]="Yes",1,IF(Table1[[#This Row],[Subscription Status]]="No",0))</f>
        <v>1</v>
      </c>
    </row>
    <row r="341" spans="1:21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  <c r="S341" t="str">
        <f>IF(Table1[[#This Row],[Age]]&lt;=25,"Young",IF(Table1[[#This Row],[Age]]&lt;=50,"Adult","Senior"))</f>
        <v>Adult</v>
      </c>
      <c r="T341" s="1">
        <f>Table1[[#This Row],[Purchase Amount (USD)]]</f>
        <v>33</v>
      </c>
      <c r="U341">
        <f>IF(Table1[[#This Row],[Subscription Status]]="Yes",1,IF(Table1[[#This Row],[Subscription Status]]="No",0))</f>
        <v>1</v>
      </c>
    </row>
    <row r="342" spans="1:21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  <c r="S342" t="str">
        <f>IF(Table1[[#This Row],[Age]]&lt;=25,"Young",IF(Table1[[#This Row],[Age]]&lt;=50,"Adult","Senior"))</f>
        <v>Adult</v>
      </c>
      <c r="T342" s="1">
        <f>Table1[[#This Row],[Purchase Amount (USD)]]</f>
        <v>47</v>
      </c>
      <c r="U342">
        <f>IF(Table1[[#This Row],[Subscription Status]]="Yes",1,IF(Table1[[#This Row],[Subscription Status]]="No",0))</f>
        <v>1</v>
      </c>
    </row>
    <row r="343" spans="1:21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  <c r="S343" t="str">
        <f>IF(Table1[[#This Row],[Age]]&lt;=25,"Young",IF(Table1[[#This Row],[Age]]&lt;=50,"Adult","Senior"))</f>
        <v>Young</v>
      </c>
      <c r="T343" s="1">
        <f>Table1[[#This Row],[Purchase Amount (USD)]]</f>
        <v>20</v>
      </c>
      <c r="U343">
        <f>IF(Table1[[#This Row],[Subscription Status]]="Yes",1,IF(Table1[[#This Row],[Subscription Status]]="No",0))</f>
        <v>1</v>
      </c>
    </row>
    <row r="344" spans="1:21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  <c r="S344" t="str">
        <f>IF(Table1[[#This Row],[Age]]&lt;=25,"Young",IF(Table1[[#This Row],[Age]]&lt;=50,"Adult","Senior"))</f>
        <v>Senior</v>
      </c>
      <c r="T344" s="1">
        <f>Table1[[#This Row],[Purchase Amount (USD)]]</f>
        <v>36</v>
      </c>
      <c r="U344">
        <f>IF(Table1[[#This Row],[Subscription Status]]="Yes",1,IF(Table1[[#This Row],[Subscription Status]]="No",0))</f>
        <v>1</v>
      </c>
    </row>
    <row r="345" spans="1:21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  <c r="S345" t="str">
        <f>IF(Table1[[#This Row],[Age]]&lt;=25,"Young",IF(Table1[[#This Row],[Age]]&lt;=50,"Adult","Senior"))</f>
        <v>Adult</v>
      </c>
      <c r="T345" s="1">
        <f>Table1[[#This Row],[Purchase Amount (USD)]]</f>
        <v>39</v>
      </c>
      <c r="U345">
        <f>IF(Table1[[#This Row],[Subscription Status]]="Yes",1,IF(Table1[[#This Row],[Subscription Status]]="No",0))</f>
        <v>1</v>
      </c>
    </row>
    <row r="346" spans="1:21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  <c r="S346" t="str">
        <f>IF(Table1[[#This Row],[Age]]&lt;=25,"Young",IF(Table1[[#This Row],[Age]]&lt;=50,"Adult","Senior"))</f>
        <v>Young</v>
      </c>
      <c r="T346" s="1">
        <f>Table1[[#This Row],[Purchase Amount (USD)]]</f>
        <v>71</v>
      </c>
      <c r="U346">
        <f>IF(Table1[[#This Row],[Subscription Status]]="Yes",1,IF(Table1[[#This Row],[Subscription Status]]="No",0))</f>
        <v>1</v>
      </c>
    </row>
    <row r="347" spans="1:21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  <c r="S347" t="str">
        <f>IF(Table1[[#This Row],[Age]]&lt;=25,"Young",IF(Table1[[#This Row],[Age]]&lt;=50,"Adult","Senior"))</f>
        <v>Adult</v>
      </c>
      <c r="T347" s="1">
        <f>Table1[[#This Row],[Purchase Amount (USD)]]</f>
        <v>59</v>
      </c>
      <c r="U347">
        <f>IF(Table1[[#This Row],[Subscription Status]]="Yes",1,IF(Table1[[#This Row],[Subscription Status]]="No",0))</f>
        <v>1</v>
      </c>
    </row>
    <row r="348" spans="1:21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  <c r="S348" t="str">
        <f>IF(Table1[[#This Row],[Age]]&lt;=25,"Young",IF(Table1[[#This Row],[Age]]&lt;=50,"Adult","Senior"))</f>
        <v>Adult</v>
      </c>
      <c r="T348" s="1">
        <f>Table1[[#This Row],[Purchase Amount (USD)]]</f>
        <v>50</v>
      </c>
      <c r="U348">
        <f>IF(Table1[[#This Row],[Subscription Status]]="Yes",1,IF(Table1[[#This Row],[Subscription Status]]="No",0))</f>
        <v>1</v>
      </c>
    </row>
    <row r="349" spans="1:21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  <c r="S349" t="str">
        <f>IF(Table1[[#This Row],[Age]]&lt;=25,"Young",IF(Table1[[#This Row],[Age]]&lt;=50,"Adult","Senior"))</f>
        <v>Adult</v>
      </c>
      <c r="T349" s="1">
        <f>Table1[[#This Row],[Purchase Amount (USD)]]</f>
        <v>41</v>
      </c>
      <c r="U349">
        <f>IF(Table1[[#This Row],[Subscription Status]]="Yes",1,IF(Table1[[#This Row],[Subscription Status]]="No",0))</f>
        <v>1</v>
      </c>
    </row>
    <row r="350" spans="1:21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  <c r="S350" t="str">
        <f>IF(Table1[[#This Row],[Age]]&lt;=25,"Young",IF(Table1[[#This Row],[Age]]&lt;=50,"Adult","Senior"))</f>
        <v>Senior</v>
      </c>
      <c r="T350" s="1">
        <f>Table1[[#This Row],[Purchase Amount (USD)]]</f>
        <v>59</v>
      </c>
      <c r="U350">
        <f>IF(Table1[[#This Row],[Subscription Status]]="Yes",1,IF(Table1[[#This Row],[Subscription Status]]="No",0))</f>
        <v>1</v>
      </c>
    </row>
    <row r="351" spans="1:21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  <c r="S351" t="str">
        <f>IF(Table1[[#This Row],[Age]]&lt;=25,"Young",IF(Table1[[#This Row],[Age]]&lt;=50,"Adult","Senior"))</f>
        <v>Adult</v>
      </c>
      <c r="T351" s="1">
        <f>Table1[[#This Row],[Purchase Amount (USD)]]</f>
        <v>87</v>
      </c>
      <c r="U351">
        <f>IF(Table1[[#This Row],[Subscription Status]]="Yes",1,IF(Table1[[#This Row],[Subscription Status]]="No",0))</f>
        <v>1</v>
      </c>
    </row>
    <row r="352" spans="1:21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  <c r="S352" t="str">
        <f>IF(Table1[[#This Row],[Age]]&lt;=25,"Young",IF(Table1[[#This Row],[Age]]&lt;=50,"Adult","Senior"))</f>
        <v>Adult</v>
      </c>
      <c r="T352" s="1">
        <f>Table1[[#This Row],[Purchase Amount (USD)]]</f>
        <v>68</v>
      </c>
      <c r="U352">
        <f>IF(Table1[[#This Row],[Subscription Status]]="Yes",1,IF(Table1[[#This Row],[Subscription Status]]="No",0))</f>
        <v>1</v>
      </c>
    </row>
    <row r="353" spans="1:21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  <c r="S353" t="str">
        <f>IF(Table1[[#This Row],[Age]]&lt;=25,"Young",IF(Table1[[#This Row],[Age]]&lt;=50,"Adult","Senior"))</f>
        <v>Adult</v>
      </c>
      <c r="T353" s="1">
        <f>Table1[[#This Row],[Purchase Amount (USD)]]</f>
        <v>90</v>
      </c>
      <c r="U353">
        <f>IF(Table1[[#This Row],[Subscription Status]]="Yes",1,IF(Table1[[#This Row],[Subscription Status]]="No",0))</f>
        <v>1</v>
      </c>
    </row>
    <row r="354" spans="1:21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  <c r="S354" t="str">
        <f>IF(Table1[[#This Row],[Age]]&lt;=25,"Young",IF(Table1[[#This Row],[Age]]&lt;=50,"Adult","Senior"))</f>
        <v>Adult</v>
      </c>
      <c r="T354" s="1">
        <f>Table1[[#This Row],[Purchase Amount (USD)]]</f>
        <v>71</v>
      </c>
      <c r="U354">
        <f>IF(Table1[[#This Row],[Subscription Status]]="Yes",1,IF(Table1[[#This Row],[Subscription Status]]="No",0))</f>
        <v>1</v>
      </c>
    </row>
    <row r="355" spans="1:21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  <c r="S355" t="str">
        <f>IF(Table1[[#This Row],[Age]]&lt;=25,"Young",IF(Table1[[#This Row],[Age]]&lt;=50,"Adult","Senior"))</f>
        <v>Senior</v>
      </c>
      <c r="T355" s="1">
        <f>Table1[[#This Row],[Purchase Amount (USD)]]</f>
        <v>64</v>
      </c>
      <c r="U355">
        <f>IF(Table1[[#This Row],[Subscription Status]]="Yes",1,IF(Table1[[#This Row],[Subscription Status]]="No",0))</f>
        <v>1</v>
      </c>
    </row>
    <row r="356" spans="1:21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  <c r="S356" t="str">
        <f>IF(Table1[[#This Row],[Age]]&lt;=25,"Young",IF(Table1[[#This Row],[Age]]&lt;=50,"Adult","Senior"))</f>
        <v>Senior</v>
      </c>
      <c r="T356" s="1">
        <f>Table1[[#This Row],[Purchase Amount (USD)]]</f>
        <v>76</v>
      </c>
      <c r="U356">
        <f>IF(Table1[[#This Row],[Subscription Status]]="Yes",1,IF(Table1[[#This Row],[Subscription Status]]="No",0))</f>
        <v>1</v>
      </c>
    </row>
    <row r="357" spans="1:21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  <c r="S357" t="str">
        <f>IF(Table1[[#This Row],[Age]]&lt;=25,"Young",IF(Table1[[#This Row],[Age]]&lt;=50,"Adult","Senior"))</f>
        <v>Adult</v>
      </c>
      <c r="T357" s="1">
        <f>Table1[[#This Row],[Purchase Amount (USD)]]</f>
        <v>42</v>
      </c>
      <c r="U357">
        <f>IF(Table1[[#This Row],[Subscription Status]]="Yes",1,IF(Table1[[#This Row],[Subscription Status]]="No",0))</f>
        <v>1</v>
      </c>
    </row>
    <row r="358" spans="1:21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  <c r="S358" t="str">
        <f>IF(Table1[[#This Row],[Age]]&lt;=25,"Young",IF(Table1[[#This Row],[Age]]&lt;=50,"Adult","Senior"))</f>
        <v>Senior</v>
      </c>
      <c r="T358" s="1">
        <f>Table1[[#This Row],[Purchase Amount (USD)]]</f>
        <v>80</v>
      </c>
      <c r="U358">
        <f>IF(Table1[[#This Row],[Subscription Status]]="Yes",1,IF(Table1[[#This Row],[Subscription Status]]="No",0))</f>
        <v>1</v>
      </c>
    </row>
    <row r="359" spans="1:21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  <c r="S359" t="str">
        <f>IF(Table1[[#This Row],[Age]]&lt;=25,"Young",IF(Table1[[#This Row],[Age]]&lt;=50,"Adult","Senior"))</f>
        <v>Young</v>
      </c>
      <c r="T359" s="1">
        <f>Table1[[#This Row],[Purchase Amount (USD)]]</f>
        <v>56</v>
      </c>
      <c r="U359">
        <f>IF(Table1[[#This Row],[Subscription Status]]="Yes",1,IF(Table1[[#This Row],[Subscription Status]]="No",0))</f>
        <v>1</v>
      </c>
    </row>
    <row r="360" spans="1:21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  <c r="S360" t="str">
        <f>IF(Table1[[#This Row],[Age]]&lt;=25,"Young",IF(Table1[[#This Row],[Age]]&lt;=50,"Adult","Senior"))</f>
        <v>Adult</v>
      </c>
      <c r="T360" s="1">
        <f>Table1[[#This Row],[Purchase Amount (USD)]]</f>
        <v>25</v>
      </c>
      <c r="U360">
        <f>IF(Table1[[#This Row],[Subscription Status]]="Yes",1,IF(Table1[[#This Row],[Subscription Status]]="No",0))</f>
        <v>1</v>
      </c>
    </row>
    <row r="361" spans="1:21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  <c r="S361" t="str">
        <f>IF(Table1[[#This Row],[Age]]&lt;=25,"Young",IF(Table1[[#This Row],[Age]]&lt;=50,"Adult","Senior"))</f>
        <v>Adult</v>
      </c>
      <c r="T361" s="1">
        <f>Table1[[#This Row],[Purchase Amount (USD)]]</f>
        <v>74</v>
      </c>
      <c r="U361">
        <f>IF(Table1[[#This Row],[Subscription Status]]="Yes",1,IF(Table1[[#This Row],[Subscription Status]]="No",0))</f>
        <v>1</v>
      </c>
    </row>
    <row r="362" spans="1:21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  <c r="S362" t="str">
        <f>IF(Table1[[#This Row],[Age]]&lt;=25,"Young",IF(Table1[[#This Row],[Age]]&lt;=50,"Adult","Senior"))</f>
        <v>Senior</v>
      </c>
      <c r="T362" s="1">
        <f>Table1[[#This Row],[Purchase Amount (USD)]]</f>
        <v>30</v>
      </c>
      <c r="U362">
        <f>IF(Table1[[#This Row],[Subscription Status]]="Yes",1,IF(Table1[[#This Row],[Subscription Status]]="No",0))</f>
        <v>1</v>
      </c>
    </row>
    <row r="363" spans="1:21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  <c r="S363" t="str">
        <f>IF(Table1[[#This Row],[Age]]&lt;=25,"Young",IF(Table1[[#This Row],[Age]]&lt;=50,"Adult","Senior"))</f>
        <v>Senior</v>
      </c>
      <c r="T363" s="1">
        <f>Table1[[#This Row],[Purchase Amount (USD)]]</f>
        <v>96</v>
      </c>
      <c r="U363">
        <f>IF(Table1[[#This Row],[Subscription Status]]="Yes",1,IF(Table1[[#This Row],[Subscription Status]]="No",0))</f>
        <v>1</v>
      </c>
    </row>
    <row r="364" spans="1:21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  <c r="S364" t="str">
        <f>IF(Table1[[#This Row],[Age]]&lt;=25,"Young",IF(Table1[[#This Row],[Age]]&lt;=50,"Adult","Senior"))</f>
        <v>Senior</v>
      </c>
      <c r="T364" s="1">
        <f>Table1[[#This Row],[Purchase Amount (USD)]]</f>
        <v>64</v>
      </c>
      <c r="U364">
        <f>IF(Table1[[#This Row],[Subscription Status]]="Yes",1,IF(Table1[[#This Row],[Subscription Status]]="No",0))</f>
        <v>1</v>
      </c>
    </row>
    <row r="365" spans="1:21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  <c r="S365" t="str">
        <f>IF(Table1[[#This Row],[Age]]&lt;=25,"Young",IF(Table1[[#This Row],[Age]]&lt;=50,"Adult","Senior"))</f>
        <v>Senior</v>
      </c>
      <c r="T365" s="1">
        <f>Table1[[#This Row],[Purchase Amount (USD)]]</f>
        <v>88</v>
      </c>
      <c r="U365">
        <f>IF(Table1[[#This Row],[Subscription Status]]="Yes",1,IF(Table1[[#This Row],[Subscription Status]]="No",0))</f>
        <v>1</v>
      </c>
    </row>
    <row r="366" spans="1:21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  <c r="S366" t="str">
        <f>IF(Table1[[#This Row],[Age]]&lt;=25,"Young",IF(Table1[[#This Row],[Age]]&lt;=50,"Adult","Senior"))</f>
        <v>Senior</v>
      </c>
      <c r="T366" s="1">
        <f>Table1[[#This Row],[Purchase Amount (USD)]]</f>
        <v>88</v>
      </c>
      <c r="U366">
        <f>IF(Table1[[#This Row],[Subscription Status]]="Yes",1,IF(Table1[[#This Row],[Subscription Status]]="No",0))</f>
        <v>1</v>
      </c>
    </row>
    <row r="367" spans="1:21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  <c r="S367" t="str">
        <f>IF(Table1[[#This Row],[Age]]&lt;=25,"Young",IF(Table1[[#This Row],[Age]]&lt;=50,"Adult","Senior"))</f>
        <v>Senior</v>
      </c>
      <c r="T367" s="1">
        <f>Table1[[#This Row],[Purchase Amount (USD)]]</f>
        <v>88</v>
      </c>
      <c r="U367">
        <f>IF(Table1[[#This Row],[Subscription Status]]="Yes",1,IF(Table1[[#This Row],[Subscription Status]]="No",0))</f>
        <v>1</v>
      </c>
    </row>
    <row r="368" spans="1:21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  <c r="S368" t="str">
        <f>IF(Table1[[#This Row],[Age]]&lt;=25,"Young",IF(Table1[[#This Row],[Age]]&lt;=50,"Adult","Senior"))</f>
        <v>Senior</v>
      </c>
      <c r="T368" s="1">
        <f>Table1[[#This Row],[Purchase Amount (USD)]]</f>
        <v>36</v>
      </c>
      <c r="U368">
        <f>IF(Table1[[#This Row],[Subscription Status]]="Yes",1,IF(Table1[[#This Row],[Subscription Status]]="No",0))</f>
        <v>1</v>
      </c>
    </row>
    <row r="369" spans="1:21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  <c r="S369" t="str">
        <f>IF(Table1[[#This Row],[Age]]&lt;=25,"Young",IF(Table1[[#This Row],[Age]]&lt;=50,"Adult","Senior"))</f>
        <v>Senior</v>
      </c>
      <c r="T369" s="1">
        <f>Table1[[#This Row],[Purchase Amount (USD)]]</f>
        <v>40</v>
      </c>
      <c r="U369">
        <f>IF(Table1[[#This Row],[Subscription Status]]="Yes",1,IF(Table1[[#This Row],[Subscription Status]]="No",0))</f>
        <v>1</v>
      </c>
    </row>
    <row r="370" spans="1:21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  <c r="S370" t="str">
        <f>IF(Table1[[#This Row],[Age]]&lt;=25,"Young",IF(Table1[[#This Row],[Age]]&lt;=50,"Adult","Senior"))</f>
        <v>Young</v>
      </c>
      <c r="T370" s="1">
        <f>Table1[[#This Row],[Purchase Amount (USD)]]</f>
        <v>39</v>
      </c>
      <c r="U370">
        <f>IF(Table1[[#This Row],[Subscription Status]]="Yes",1,IF(Table1[[#This Row],[Subscription Status]]="No",0))</f>
        <v>1</v>
      </c>
    </row>
    <row r="371" spans="1:21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  <c r="S371" t="str">
        <f>IF(Table1[[#This Row],[Age]]&lt;=25,"Young",IF(Table1[[#This Row],[Age]]&lt;=50,"Adult","Senior"))</f>
        <v>Adult</v>
      </c>
      <c r="T371" s="1">
        <f>Table1[[#This Row],[Purchase Amount (USD)]]</f>
        <v>40</v>
      </c>
      <c r="U371">
        <f>IF(Table1[[#This Row],[Subscription Status]]="Yes",1,IF(Table1[[#This Row],[Subscription Status]]="No",0))</f>
        <v>1</v>
      </c>
    </row>
    <row r="372" spans="1:21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  <c r="S372" t="str">
        <f>IF(Table1[[#This Row],[Age]]&lt;=25,"Young",IF(Table1[[#This Row],[Age]]&lt;=50,"Adult","Senior"))</f>
        <v>Senior</v>
      </c>
      <c r="T372" s="1">
        <f>Table1[[#This Row],[Purchase Amount (USD)]]</f>
        <v>34</v>
      </c>
      <c r="U372">
        <f>IF(Table1[[#This Row],[Subscription Status]]="Yes",1,IF(Table1[[#This Row],[Subscription Status]]="No",0))</f>
        <v>1</v>
      </c>
    </row>
    <row r="373" spans="1:21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  <c r="S373" t="str">
        <f>IF(Table1[[#This Row],[Age]]&lt;=25,"Young",IF(Table1[[#This Row],[Age]]&lt;=50,"Adult","Senior"))</f>
        <v>Adult</v>
      </c>
      <c r="T373" s="1">
        <f>Table1[[#This Row],[Purchase Amount (USD)]]</f>
        <v>83</v>
      </c>
      <c r="U373">
        <f>IF(Table1[[#This Row],[Subscription Status]]="Yes",1,IF(Table1[[#This Row],[Subscription Status]]="No",0))</f>
        <v>1</v>
      </c>
    </row>
    <row r="374" spans="1:21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  <c r="S374" t="str">
        <f>IF(Table1[[#This Row],[Age]]&lt;=25,"Young",IF(Table1[[#This Row],[Age]]&lt;=50,"Adult","Senior"))</f>
        <v>Young</v>
      </c>
      <c r="T374" s="1">
        <f>Table1[[#This Row],[Purchase Amount (USD)]]</f>
        <v>85</v>
      </c>
      <c r="U374">
        <f>IF(Table1[[#This Row],[Subscription Status]]="Yes",1,IF(Table1[[#This Row],[Subscription Status]]="No",0))</f>
        <v>1</v>
      </c>
    </row>
    <row r="375" spans="1:21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  <c r="S375" t="str">
        <f>IF(Table1[[#This Row],[Age]]&lt;=25,"Young",IF(Table1[[#This Row],[Age]]&lt;=50,"Adult","Senior"))</f>
        <v>Young</v>
      </c>
      <c r="T375" s="1">
        <f>Table1[[#This Row],[Purchase Amount (USD)]]</f>
        <v>27</v>
      </c>
      <c r="U375">
        <f>IF(Table1[[#This Row],[Subscription Status]]="Yes",1,IF(Table1[[#This Row],[Subscription Status]]="No",0))</f>
        <v>1</v>
      </c>
    </row>
    <row r="376" spans="1:21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  <c r="S376" t="str">
        <f>IF(Table1[[#This Row],[Age]]&lt;=25,"Young",IF(Table1[[#This Row],[Age]]&lt;=50,"Adult","Senior"))</f>
        <v>Senior</v>
      </c>
      <c r="T376" s="1">
        <f>Table1[[#This Row],[Purchase Amount (USD)]]</f>
        <v>78</v>
      </c>
      <c r="U376">
        <f>IF(Table1[[#This Row],[Subscription Status]]="Yes",1,IF(Table1[[#This Row],[Subscription Status]]="No",0))</f>
        <v>1</v>
      </c>
    </row>
    <row r="377" spans="1:21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  <c r="S377" t="str">
        <f>IF(Table1[[#This Row],[Age]]&lt;=25,"Young",IF(Table1[[#This Row],[Age]]&lt;=50,"Adult","Senior"))</f>
        <v>Senior</v>
      </c>
      <c r="T377" s="1">
        <f>Table1[[#This Row],[Purchase Amount (USD)]]</f>
        <v>32</v>
      </c>
      <c r="U377">
        <f>IF(Table1[[#This Row],[Subscription Status]]="Yes",1,IF(Table1[[#This Row],[Subscription Status]]="No",0))</f>
        <v>1</v>
      </c>
    </row>
    <row r="378" spans="1:21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  <c r="S378" t="str">
        <f>IF(Table1[[#This Row],[Age]]&lt;=25,"Young",IF(Table1[[#This Row],[Age]]&lt;=50,"Adult","Senior"))</f>
        <v>Senior</v>
      </c>
      <c r="T378" s="1">
        <f>Table1[[#This Row],[Purchase Amount (USD)]]</f>
        <v>51</v>
      </c>
      <c r="U378">
        <f>IF(Table1[[#This Row],[Subscription Status]]="Yes",1,IF(Table1[[#This Row],[Subscription Status]]="No",0))</f>
        <v>1</v>
      </c>
    </row>
    <row r="379" spans="1:21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  <c r="S379" t="str">
        <f>IF(Table1[[#This Row],[Age]]&lt;=25,"Young",IF(Table1[[#This Row],[Age]]&lt;=50,"Adult","Senior"))</f>
        <v>Senior</v>
      </c>
      <c r="T379" s="1">
        <f>Table1[[#This Row],[Purchase Amount (USD)]]</f>
        <v>32</v>
      </c>
      <c r="U379">
        <f>IF(Table1[[#This Row],[Subscription Status]]="Yes",1,IF(Table1[[#This Row],[Subscription Status]]="No",0))</f>
        <v>1</v>
      </c>
    </row>
    <row r="380" spans="1:21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  <c r="S380" t="str">
        <f>IF(Table1[[#This Row],[Age]]&lt;=25,"Young",IF(Table1[[#This Row],[Age]]&lt;=50,"Adult","Senior"))</f>
        <v>Senior</v>
      </c>
      <c r="T380" s="1">
        <f>Table1[[#This Row],[Purchase Amount (USD)]]</f>
        <v>62</v>
      </c>
      <c r="U380">
        <f>IF(Table1[[#This Row],[Subscription Status]]="Yes",1,IF(Table1[[#This Row],[Subscription Status]]="No",0))</f>
        <v>1</v>
      </c>
    </row>
    <row r="381" spans="1:21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  <c r="S381" t="str">
        <f>IF(Table1[[#This Row],[Age]]&lt;=25,"Young",IF(Table1[[#This Row],[Age]]&lt;=50,"Adult","Senior"))</f>
        <v>Adult</v>
      </c>
      <c r="T381" s="1">
        <f>Table1[[#This Row],[Purchase Amount (USD)]]</f>
        <v>29</v>
      </c>
      <c r="U381">
        <f>IF(Table1[[#This Row],[Subscription Status]]="Yes",1,IF(Table1[[#This Row],[Subscription Status]]="No",0))</f>
        <v>1</v>
      </c>
    </row>
    <row r="382" spans="1:21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  <c r="S382" t="str">
        <f>IF(Table1[[#This Row],[Age]]&lt;=25,"Young",IF(Table1[[#This Row],[Age]]&lt;=50,"Adult","Senior"))</f>
        <v>Adult</v>
      </c>
      <c r="T382" s="1">
        <f>Table1[[#This Row],[Purchase Amount (USD)]]</f>
        <v>69</v>
      </c>
      <c r="U382">
        <f>IF(Table1[[#This Row],[Subscription Status]]="Yes",1,IF(Table1[[#This Row],[Subscription Status]]="No",0))</f>
        <v>1</v>
      </c>
    </row>
    <row r="383" spans="1:21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  <c r="S383" t="str">
        <f>IF(Table1[[#This Row],[Age]]&lt;=25,"Young",IF(Table1[[#This Row],[Age]]&lt;=50,"Adult","Senior"))</f>
        <v>Senior</v>
      </c>
      <c r="T383" s="1">
        <f>Table1[[#This Row],[Purchase Amount (USD)]]</f>
        <v>25</v>
      </c>
      <c r="U383">
        <f>IF(Table1[[#This Row],[Subscription Status]]="Yes",1,IF(Table1[[#This Row],[Subscription Status]]="No",0))</f>
        <v>1</v>
      </c>
    </row>
    <row r="384" spans="1:21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  <c r="S384" t="str">
        <f>IF(Table1[[#This Row],[Age]]&lt;=25,"Young",IF(Table1[[#This Row],[Age]]&lt;=50,"Adult","Senior"))</f>
        <v>Adult</v>
      </c>
      <c r="T384" s="1">
        <f>Table1[[#This Row],[Purchase Amount (USD)]]</f>
        <v>76</v>
      </c>
      <c r="U384">
        <f>IF(Table1[[#This Row],[Subscription Status]]="Yes",1,IF(Table1[[#This Row],[Subscription Status]]="No",0))</f>
        <v>1</v>
      </c>
    </row>
    <row r="385" spans="1:21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  <c r="S385" t="str">
        <f>IF(Table1[[#This Row],[Age]]&lt;=25,"Young",IF(Table1[[#This Row],[Age]]&lt;=50,"Adult","Senior"))</f>
        <v>Adult</v>
      </c>
      <c r="T385" s="1">
        <f>Table1[[#This Row],[Purchase Amount (USD)]]</f>
        <v>77</v>
      </c>
      <c r="U385">
        <f>IF(Table1[[#This Row],[Subscription Status]]="Yes",1,IF(Table1[[#This Row],[Subscription Status]]="No",0))</f>
        <v>1</v>
      </c>
    </row>
    <row r="386" spans="1:21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  <c r="S386" t="str">
        <f>IF(Table1[[#This Row],[Age]]&lt;=25,"Young",IF(Table1[[#This Row],[Age]]&lt;=50,"Adult","Senior"))</f>
        <v>Senior</v>
      </c>
      <c r="T386" s="1">
        <f>Table1[[#This Row],[Purchase Amount (USD)]]</f>
        <v>33</v>
      </c>
      <c r="U386">
        <f>IF(Table1[[#This Row],[Subscription Status]]="Yes",1,IF(Table1[[#This Row],[Subscription Status]]="No",0))</f>
        <v>1</v>
      </c>
    </row>
    <row r="387" spans="1:21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  <c r="S387" t="str">
        <f>IF(Table1[[#This Row],[Age]]&lt;=25,"Young",IF(Table1[[#This Row],[Age]]&lt;=50,"Adult","Senior"))</f>
        <v>Senior</v>
      </c>
      <c r="T387" s="1">
        <f>Table1[[#This Row],[Purchase Amount (USD)]]</f>
        <v>93</v>
      </c>
      <c r="U387">
        <f>IF(Table1[[#This Row],[Subscription Status]]="Yes",1,IF(Table1[[#This Row],[Subscription Status]]="No",0))</f>
        <v>1</v>
      </c>
    </row>
    <row r="388" spans="1:21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  <c r="S388" t="str">
        <f>IF(Table1[[#This Row],[Age]]&lt;=25,"Young",IF(Table1[[#This Row],[Age]]&lt;=50,"Adult","Senior"))</f>
        <v>Senior</v>
      </c>
      <c r="T388" s="1">
        <f>Table1[[#This Row],[Purchase Amount (USD)]]</f>
        <v>39</v>
      </c>
      <c r="U388">
        <f>IF(Table1[[#This Row],[Subscription Status]]="Yes",1,IF(Table1[[#This Row],[Subscription Status]]="No",0))</f>
        <v>1</v>
      </c>
    </row>
    <row r="389" spans="1:21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  <c r="S389" t="str">
        <f>IF(Table1[[#This Row],[Age]]&lt;=25,"Young",IF(Table1[[#This Row],[Age]]&lt;=50,"Adult","Senior"))</f>
        <v>Adult</v>
      </c>
      <c r="T389" s="1">
        <f>Table1[[#This Row],[Purchase Amount (USD)]]</f>
        <v>93</v>
      </c>
      <c r="U389">
        <f>IF(Table1[[#This Row],[Subscription Status]]="Yes",1,IF(Table1[[#This Row],[Subscription Status]]="No",0))</f>
        <v>1</v>
      </c>
    </row>
    <row r="390" spans="1:21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  <c r="S390" t="str">
        <f>IF(Table1[[#This Row],[Age]]&lt;=25,"Young",IF(Table1[[#This Row],[Age]]&lt;=50,"Adult","Senior"))</f>
        <v>Young</v>
      </c>
      <c r="T390" s="1">
        <f>Table1[[#This Row],[Purchase Amount (USD)]]</f>
        <v>82</v>
      </c>
      <c r="U390">
        <f>IF(Table1[[#This Row],[Subscription Status]]="Yes",1,IF(Table1[[#This Row],[Subscription Status]]="No",0))</f>
        <v>1</v>
      </c>
    </row>
    <row r="391" spans="1:21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  <c r="S391" t="str">
        <f>IF(Table1[[#This Row],[Age]]&lt;=25,"Young",IF(Table1[[#This Row],[Age]]&lt;=50,"Adult","Senior"))</f>
        <v>Adult</v>
      </c>
      <c r="T391" s="1">
        <f>Table1[[#This Row],[Purchase Amount (USD)]]</f>
        <v>42</v>
      </c>
      <c r="U391">
        <f>IF(Table1[[#This Row],[Subscription Status]]="Yes",1,IF(Table1[[#This Row],[Subscription Status]]="No",0))</f>
        <v>1</v>
      </c>
    </row>
    <row r="392" spans="1:21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  <c r="S392" t="str">
        <f>IF(Table1[[#This Row],[Age]]&lt;=25,"Young",IF(Table1[[#This Row],[Age]]&lt;=50,"Adult","Senior"))</f>
        <v>Young</v>
      </c>
      <c r="T392" s="1">
        <f>Table1[[#This Row],[Purchase Amount (USD)]]</f>
        <v>71</v>
      </c>
      <c r="U392">
        <f>IF(Table1[[#This Row],[Subscription Status]]="Yes",1,IF(Table1[[#This Row],[Subscription Status]]="No",0))</f>
        <v>1</v>
      </c>
    </row>
    <row r="393" spans="1:21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  <c r="S393" t="str">
        <f>IF(Table1[[#This Row],[Age]]&lt;=25,"Young",IF(Table1[[#This Row],[Age]]&lt;=50,"Adult","Senior"))</f>
        <v>Adult</v>
      </c>
      <c r="T393" s="1">
        <f>Table1[[#This Row],[Purchase Amount (USD)]]</f>
        <v>86</v>
      </c>
      <c r="U393">
        <f>IF(Table1[[#This Row],[Subscription Status]]="Yes",1,IF(Table1[[#This Row],[Subscription Status]]="No",0))</f>
        <v>1</v>
      </c>
    </row>
    <row r="394" spans="1:21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  <c r="S394" t="str">
        <f>IF(Table1[[#This Row],[Age]]&lt;=25,"Young",IF(Table1[[#This Row],[Age]]&lt;=50,"Adult","Senior"))</f>
        <v>Adult</v>
      </c>
      <c r="T394" s="1">
        <f>Table1[[#This Row],[Purchase Amount (USD)]]</f>
        <v>82</v>
      </c>
      <c r="U394">
        <f>IF(Table1[[#This Row],[Subscription Status]]="Yes",1,IF(Table1[[#This Row],[Subscription Status]]="No",0))</f>
        <v>1</v>
      </c>
    </row>
    <row r="395" spans="1:21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  <c r="S395" t="str">
        <f>IF(Table1[[#This Row],[Age]]&lt;=25,"Young",IF(Table1[[#This Row],[Age]]&lt;=50,"Adult","Senior"))</f>
        <v>Adult</v>
      </c>
      <c r="T395" s="1">
        <f>Table1[[#This Row],[Purchase Amount (USD)]]</f>
        <v>65</v>
      </c>
      <c r="U395">
        <f>IF(Table1[[#This Row],[Subscription Status]]="Yes",1,IF(Table1[[#This Row],[Subscription Status]]="No",0))</f>
        <v>1</v>
      </c>
    </row>
    <row r="396" spans="1:21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  <c r="S396" t="str">
        <f>IF(Table1[[#This Row],[Age]]&lt;=25,"Young",IF(Table1[[#This Row],[Age]]&lt;=50,"Adult","Senior"))</f>
        <v>Adult</v>
      </c>
      <c r="T396" s="1">
        <f>Table1[[#This Row],[Purchase Amount (USD)]]</f>
        <v>29</v>
      </c>
      <c r="U396">
        <f>IF(Table1[[#This Row],[Subscription Status]]="Yes",1,IF(Table1[[#This Row],[Subscription Status]]="No",0))</f>
        <v>1</v>
      </c>
    </row>
    <row r="397" spans="1:21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  <c r="S397" t="str">
        <f>IF(Table1[[#This Row],[Age]]&lt;=25,"Young",IF(Table1[[#This Row],[Age]]&lt;=50,"Adult","Senior"))</f>
        <v>Adult</v>
      </c>
      <c r="T397" s="1">
        <f>Table1[[#This Row],[Purchase Amount (USD)]]</f>
        <v>65</v>
      </c>
      <c r="U397">
        <f>IF(Table1[[#This Row],[Subscription Status]]="Yes",1,IF(Table1[[#This Row],[Subscription Status]]="No",0))</f>
        <v>1</v>
      </c>
    </row>
    <row r="398" spans="1:21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  <c r="S398" t="str">
        <f>IF(Table1[[#This Row],[Age]]&lt;=25,"Young",IF(Table1[[#This Row],[Age]]&lt;=50,"Adult","Senior"))</f>
        <v>Adult</v>
      </c>
      <c r="T398" s="1">
        <f>Table1[[#This Row],[Purchase Amount (USD)]]</f>
        <v>88</v>
      </c>
      <c r="U398">
        <f>IF(Table1[[#This Row],[Subscription Status]]="Yes",1,IF(Table1[[#This Row],[Subscription Status]]="No",0))</f>
        <v>1</v>
      </c>
    </row>
    <row r="399" spans="1:21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  <c r="S399" t="str">
        <f>IF(Table1[[#This Row],[Age]]&lt;=25,"Young",IF(Table1[[#This Row],[Age]]&lt;=50,"Adult","Senior"))</f>
        <v>Young</v>
      </c>
      <c r="T399" s="1">
        <f>Table1[[#This Row],[Purchase Amount (USD)]]</f>
        <v>46</v>
      </c>
      <c r="U399">
        <f>IF(Table1[[#This Row],[Subscription Status]]="Yes",1,IF(Table1[[#This Row],[Subscription Status]]="No",0))</f>
        <v>1</v>
      </c>
    </row>
    <row r="400" spans="1:21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  <c r="S400" t="str">
        <f>IF(Table1[[#This Row],[Age]]&lt;=25,"Young",IF(Table1[[#This Row],[Age]]&lt;=50,"Adult","Senior"))</f>
        <v>Young</v>
      </c>
      <c r="T400" s="1">
        <f>Table1[[#This Row],[Purchase Amount (USD)]]</f>
        <v>67</v>
      </c>
      <c r="U400">
        <f>IF(Table1[[#This Row],[Subscription Status]]="Yes",1,IF(Table1[[#This Row],[Subscription Status]]="No",0))</f>
        <v>1</v>
      </c>
    </row>
    <row r="401" spans="1:21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  <c r="S401" t="str">
        <f>IF(Table1[[#This Row],[Age]]&lt;=25,"Young",IF(Table1[[#This Row],[Age]]&lt;=50,"Adult","Senior"))</f>
        <v>Senior</v>
      </c>
      <c r="T401" s="1">
        <f>Table1[[#This Row],[Purchase Amount (USD)]]</f>
        <v>35</v>
      </c>
      <c r="U401">
        <f>IF(Table1[[#This Row],[Subscription Status]]="Yes",1,IF(Table1[[#This Row],[Subscription Status]]="No",0))</f>
        <v>1</v>
      </c>
    </row>
    <row r="402" spans="1:21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  <c r="S402" t="str">
        <f>IF(Table1[[#This Row],[Age]]&lt;=25,"Young",IF(Table1[[#This Row],[Age]]&lt;=50,"Adult","Senior"))</f>
        <v>Adult</v>
      </c>
      <c r="T402" s="1">
        <f>Table1[[#This Row],[Purchase Amount (USD)]]</f>
        <v>66</v>
      </c>
      <c r="U402">
        <f>IF(Table1[[#This Row],[Subscription Status]]="Yes",1,IF(Table1[[#This Row],[Subscription Status]]="No",0))</f>
        <v>1</v>
      </c>
    </row>
    <row r="403" spans="1:21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  <c r="S403" t="str">
        <f>IF(Table1[[#This Row],[Age]]&lt;=25,"Young",IF(Table1[[#This Row],[Age]]&lt;=50,"Adult","Senior"))</f>
        <v>Adult</v>
      </c>
      <c r="T403" s="1">
        <f>Table1[[#This Row],[Purchase Amount (USD)]]</f>
        <v>91</v>
      </c>
      <c r="U403">
        <f>IF(Table1[[#This Row],[Subscription Status]]="Yes",1,IF(Table1[[#This Row],[Subscription Status]]="No",0))</f>
        <v>1</v>
      </c>
    </row>
    <row r="404" spans="1:21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  <c r="S404" t="str">
        <f>IF(Table1[[#This Row],[Age]]&lt;=25,"Young",IF(Table1[[#This Row],[Age]]&lt;=50,"Adult","Senior"))</f>
        <v>Adult</v>
      </c>
      <c r="T404" s="1">
        <f>Table1[[#This Row],[Purchase Amount (USD)]]</f>
        <v>78</v>
      </c>
      <c r="U404">
        <f>IF(Table1[[#This Row],[Subscription Status]]="Yes",1,IF(Table1[[#This Row],[Subscription Status]]="No",0))</f>
        <v>1</v>
      </c>
    </row>
    <row r="405" spans="1:21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  <c r="S405" t="str">
        <f>IF(Table1[[#This Row],[Age]]&lt;=25,"Young",IF(Table1[[#This Row],[Age]]&lt;=50,"Adult","Senior"))</f>
        <v>Young</v>
      </c>
      <c r="T405" s="1">
        <f>Table1[[#This Row],[Purchase Amount (USD)]]</f>
        <v>45</v>
      </c>
      <c r="U405">
        <f>IF(Table1[[#This Row],[Subscription Status]]="Yes",1,IF(Table1[[#This Row],[Subscription Status]]="No",0))</f>
        <v>1</v>
      </c>
    </row>
    <row r="406" spans="1:21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  <c r="S406" t="str">
        <f>IF(Table1[[#This Row],[Age]]&lt;=25,"Young",IF(Table1[[#This Row],[Age]]&lt;=50,"Adult","Senior"))</f>
        <v>Adult</v>
      </c>
      <c r="T406" s="1">
        <f>Table1[[#This Row],[Purchase Amount (USD)]]</f>
        <v>93</v>
      </c>
      <c r="U406">
        <f>IF(Table1[[#This Row],[Subscription Status]]="Yes",1,IF(Table1[[#This Row],[Subscription Status]]="No",0))</f>
        <v>1</v>
      </c>
    </row>
    <row r="407" spans="1:21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  <c r="S407" t="str">
        <f>IF(Table1[[#This Row],[Age]]&lt;=25,"Young",IF(Table1[[#This Row],[Age]]&lt;=50,"Adult","Senior"))</f>
        <v>Adult</v>
      </c>
      <c r="T407" s="1">
        <f>Table1[[#This Row],[Purchase Amount (USD)]]</f>
        <v>74</v>
      </c>
      <c r="U407">
        <f>IF(Table1[[#This Row],[Subscription Status]]="Yes",1,IF(Table1[[#This Row],[Subscription Status]]="No",0))</f>
        <v>1</v>
      </c>
    </row>
    <row r="408" spans="1:21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  <c r="S408" t="str">
        <f>IF(Table1[[#This Row],[Age]]&lt;=25,"Young",IF(Table1[[#This Row],[Age]]&lt;=50,"Adult","Senior"))</f>
        <v>Senior</v>
      </c>
      <c r="T408" s="1">
        <f>Table1[[#This Row],[Purchase Amount (USD)]]</f>
        <v>55</v>
      </c>
      <c r="U408">
        <f>IF(Table1[[#This Row],[Subscription Status]]="Yes",1,IF(Table1[[#This Row],[Subscription Status]]="No",0))</f>
        <v>1</v>
      </c>
    </row>
    <row r="409" spans="1:21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  <c r="S409" t="str">
        <f>IF(Table1[[#This Row],[Age]]&lt;=25,"Young",IF(Table1[[#This Row],[Age]]&lt;=50,"Adult","Senior"))</f>
        <v>Adult</v>
      </c>
      <c r="T409" s="1">
        <f>Table1[[#This Row],[Purchase Amount (USD)]]</f>
        <v>76</v>
      </c>
      <c r="U409">
        <f>IF(Table1[[#This Row],[Subscription Status]]="Yes",1,IF(Table1[[#This Row],[Subscription Status]]="No",0))</f>
        <v>1</v>
      </c>
    </row>
    <row r="410" spans="1:21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  <c r="S410" t="str">
        <f>IF(Table1[[#This Row],[Age]]&lt;=25,"Young",IF(Table1[[#This Row],[Age]]&lt;=50,"Adult","Senior"))</f>
        <v>Adult</v>
      </c>
      <c r="T410" s="1">
        <f>Table1[[#This Row],[Purchase Amount (USD)]]</f>
        <v>66</v>
      </c>
      <c r="U410">
        <f>IF(Table1[[#This Row],[Subscription Status]]="Yes",1,IF(Table1[[#This Row],[Subscription Status]]="No",0))</f>
        <v>1</v>
      </c>
    </row>
    <row r="411" spans="1:21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  <c r="S411" t="str">
        <f>IF(Table1[[#This Row],[Age]]&lt;=25,"Young",IF(Table1[[#This Row],[Age]]&lt;=50,"Adult","Senior"))</f>
        <v>Adult</v>
      </c>
      <c r="T411" s="1">
        <f>Table1[[#This Row],[Purchase Amount (USD)]]</f>
        <v>51</v>
      </c>
      <c r="U411">
        <f>IF(Table1[[#This Row],[Subscription Status]]="Yes",1,IF(Table1[[#This Row],[Subscription Status]]="No",0))</f>
        <v>1</v>
      </c>
    </row>
    <row r="412" spans="1:21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  <c r="S412" t="str">
        <f>IF(Table1[[#This Row],[Age]]&lt;=25,"Young",IF(Table1[[#This Row],[Age]]&lt;=50,"Adult","Senior"))</f>
        <v>Adult</v>
      </c>
      <c r="T412" s="1">
        <f>Table1[[#This Row],[Purchase Amount (USD)]]</f>
        <v>26</v>
      </c>
      <c r="U412">
        <f>IF(Table1[[#This Row],[Subscription Status]]="Yes",1,IF(Table1[[#This Row],[Subscription Status]]="No",0))</f>
        <v>1</v>
      </c>
    </row>
    <row r="413" spans="1:21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  <c r="S413" t="str">
        <f>IF(Table1[[#This Row],[Age]]&lt;=25,"Young",IF(Table1[[#This Row],[Age]]&lt;=50,"Adult","Senior"))</f>
        <v>Senior</v>
      </c>
      <c r="T413" s="1">
        <f>Table1[[#This Row],[Purchase Amount (USD)]]</f>
        <v>29</v>
      </c>
      <c r="U413">
        <f>IF(Table1[[#This Row],[Subscription Status]]="Yes",1,IF(Table1[[#This Row],[Subscription Status]]="No",0))</f>
        <v>1</v>
      </c>
    </row>
    <row r="414" spans="1:21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  <c r="S414" t="str">
        <f>IF(Table1[[#This Row],[Age]]&lt;=25,"Young",IF(Table1[[#This Row],[Age]]&lt;=50,"Adult","Senior"))</f>
        <v>Young</v>
      </c>
      <c r="T414" s="1">
        <f>Table1[[#This Row],[Purchase Amount (USD)]]</f>
        <v>74</v>
      </c>
      <c r="U414">
        <f>IF(Table1[[#This Row],[Subscription Status]]="Yes",1,IF(Table1[[#This Row],[Subscription Status]]="No",0))</f>
        <v>1</v>
      </c>
    </row>
    <row r="415" spans="1:21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  <c r="S415" t="str">
        <f>IF(Table1[[#This Row],[Age]]&lt;=25,"Young",IF(Table1[[#This Row],[Age]]&lt;=50,"Adult","Senior"))</f>
        <v>Senior</v>
      </c>
      <c r="T415" s="1">
        <f>Table1[[#This Row],[Purchase Amount (USD)]]</f>
        <v>99</v>
      </c>
      <c r="U415">
        <f>IF(Table1[[#This Row],[Subscription Status]]="Yes",1,IF(Table1[[#This Row],[Subscription Status]]="No",0))</f>
        <v>1</v>
      </c>
    </row>
    <row r="416" spans="1:21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  <c r="S416" t="str">
        <f>IF(Table1[[#This Row],[Age]]&lt;=25,"Young",IF(Table1[[#This Row],[Age]]&lt;=50,"Adult","Senior"))</f>
        <v>Adult</v>
      </c>
      <c r="T416" s="1">
        <f>Table1[[#This Row],[Purchase Amount (USD)]]</f>
        <v>88</v>
      </c>
      <c r="U416">
        <f>IF(Table1[[#This Row],[Subscription Status]]="Yes",1,IF(Table1[[#This Row],[Subscription Status]]="No",0))</f>
        <v>1</v>
      </c>
    </row>
    <row r="417" spans="1:21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  <c r="S417" t="str">
        <f>IF(Table1[[#This Row],[Age]]&lt;=25,"Young",IF(Table1[[#This Row],[Age]]&lt;=50,"Adult","Senior"))</f>
        <v>Senior</v>
      </c>
      <c r="T417" s="1">
        <f>Table1[[#This Row],[Purchase Amount (USD)]]</f>
        <v>31</v>
      </c>
      <c r="U417">
        <f>IF(Table1[[#This Row],[Subscription Status]]="Yes",1,IF(Table1[[#This Row],[Subscription Status]]="No",0))</f>
        <v>1</v>
      </c>
    </row>
    <row r="418" spans="1:21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  <c r="S418" t="str">
        <f>IF(Table1[[#This Row],[Age]]&lt;=25,"Young",IF(Table1[[#This Row],[Age]]&lt;=50,"Adult","Senior"))</f>
        <v>Adult</v>
      </c>
      <c r="T418" s="1">
        <f>Table1[[#This Row],[Purchase Amount (USD)]]</f>
        <v>55</v>
      </c>
      <c r="U418">
        <f>IF(Table1[[#This Row],[Subscription Status]]="Yes",1,IF(Table1[[#This Row],[Subscription Status]]="No",0))</f>
        <v>1</v>
      </c>
    </row>
    <row r="419" spans="1:21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  <c r="S419" t="str">
        <f>IF(Table1[[#This Row],[Age]]&lt;=25,"Young",IF(Table1[[#This Row],[Age]]&lt;=50,"Adult","Senior"))</f>
        <v>Young</v>
      </c>
      <c r="T419" s="1">
        <f>Table1[[#This Row],[Purchase Amount (USD)]]</f>
        <v>81</v>
      </c>
      <c r="U419">
        <f>IF(Table1[[#This Row],[Subscription Status]]="Yes",1,IF(Table1[[#This Row],[Subscription Status]]="No",0))</f>
        <v>1</v>
      </c>
    </row>
    <row r="420" spans="1:21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  <c r="S420" t="str">
        <f>IF(Table1[[#This Row],[Age]]&lt;=25,"Young",IF(Table1[[#This Row],[Age]]&lt;=50,"Adult","Senior"))</f>
        <v>Young</v>
      </c>
      <c r="T420" s="1">
        <f>Table1[[#This Row],[Purchase Amount (USD)]]</f>
        <v>73</v>
      </c>
      <c r="U420">
        <f>IF(Table1[[#This Row],[Subscription Status]]="Yes",1,IF(Table1[[#This Row],[Subscription Status]]="No",0))</f>
        <v>1</v>
      </c>
    </row>
    <row r="421" spans="1:21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  <c r="S421" t="str">
        <f>IF(Table1[[#This Row],[Age]]&lt;=25,"Young",IF(Table1[[#This Row],[Age]]&lt;=50,"Adult","Senior"))</f>
        <v>Senior</v>
      </c>
      <c r="T421" s="1">
        <f>Table1[[#This Row],[Purchase Amount (USD)]]</f>
        <v>91</v>
      </c>
      <c r="U421">
        <f>IF(Table1[[#This Row],[Subscription Status]]="Yes",1,IF(Table1[[#This Row],[Subscription Status]]="No",0))</f>
        <v>1</v>
      </c>
    </row>
    <row r="422" spans="1:21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  <c r="S422" t="str">
        <f>IF(Table1[[#This Row],[Age]]&lt;=25,"Young",IF(Table1[[#This Row],[Age]]&lt;=50,"Adult","Senior"))</f>
        <v>Adult</v>
      </c>
      <c r="T422" s="1">
        <f>Table1[[#This Row],[Purchase Amount (USD)]]</f>
        <v>54</v>
      </c>
      <c r="U422">
        <f>IF(Table1[[#This Row],[Subscription Status]]="Yes",1,IF(Table1[[#This Row],[Subscription Status]]="No",0))</f>
        <v>1</v>
      </c>
    </row>
    <row r="423" spans="1:21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  <c r="S423" t="str">
        <f>IF(Table1[[#This Row],[Age]]&lt;=25,"Young",IF(Table1[[#This Row],[Age]]&lt;=50,"Adult","Senior"))</f>
        <v>Adult</v>
      </c>
      <c r="T423" s="1">
        <f>Table1[[#This Row],[Purchase Amount (USD)]]</f>
        <v>40</v>
      </c>
      <c r="U423">
        <f>IF(Table1[[#This Row],[Subscription Status]]="Yes",1,IF(Table1[[#This Row],[Subscription Status]]="No",0))</f>
        <v>1</v>
      </c>
    </row>
    <row r="424" spans="1:21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  <c r="S424" t="str">
        <f>IF(Table1[[#This Row],[Age]]&lt;=25,"Young",IF(Table1[[#This Row],[Age]]&lt;=50,"Adult","Senior"))</f>
        <v>Adult</v>
      </c>
      <c r="T424" s="1">
        <f>Table1[[#This Row],[Purchase Amount (USD)]]</f>
        <v>59</v>
      </c>
      <c r="U424">
        <f>IF(Table1[[#This Row],[Subscription Status]]="Yes",1,IF(Table1[[#This Row],[Subscription Status]]="No",0))</f>
        <v>1</v>
      </c>
    </row>
    <row r="425" spans="1:21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  <c r="S425" t="str">
        <f>IF(Table1[[#This Row],[Age]]&lt;=25,"Young",IF(Table1[[#This Row],[Age]]&lt;=50,"Adult","Senior"))</f>
        <v>Adult</v>
      </c>
      <c r="T425" s="1">
        <f>Table1[[#This Row],[Purchase Amount (USD)]]</f>
        <v>26</v>
      </c>
      <c r="U425">
        <f>IF(Table1[[#This Row],[Subscription Status]]="Yes",1,IF(Table1[[#This Row],[Subscription Status]]="No",0))</f>
        <v>1</v>
      </c>
    </row>
    <row r="426" spans="1:21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  <c r="S426" t="str">
        <f>IF(Table1[[#This Row],[Age]]&lt;=25,"Young",IF(Table1[[#This Row],[Age]]&lt;=50,"Adult","Senior"))</f>
        <v>Senior</v>
      </c>
      <c r="T426" s="1">
        <f>Table1[[#This Row],[Purchase Amount (USD)]]</f>
        <v>23</v>
      </c>
      <c r="U426">
        <f>IF(Table1[[#This Row],[Subscription Status]]="Yes",1,IF(Table1[[#This Row],[Subscription Status]]="No",0))</f>
        <v>1</v>
      </c>
    </row>
    <row r="427" spans="1:21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  <c r="S427" t="str">
        <f>IF(Table1[[#This Row],[Age]]&lt;=25,"Young",IF(Table1[[#This Row],[Age]]&lt;=50,"Adult","Senior"))</f>
        <v>Adult</v>
      </c>
      <c r="T427" s="1">
        <f>Table1[[#This Row],[Purchase Amount (USD)]]</f>
        <v>87</v>
      </c>
      <c r="U427">
        <f>IF(Table1[[#This Row],[Subscription Status]]="Yes",1,IF(Table1[[#This Row],[Subscription Status]]="No",0))</f>
        <v>1</v>
      </c>
    </row>
    <row r="428" spans="1:21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  <c r="S428" t="str">
        <f>IF(Table1[[#This Row],[Age]]&lt;=25,"Young",IF(Table1[[#This Row],[Age]]&lt;=50,"Adult","Senior"))</f>
        <v>Adult</v>
      </c>
      <c r="T428" s="1">
        <f>Table1[[#This Row],[Purchase Amount (USD)]]</f>
        <v>71</v>
      </c>
      <c r="U428">
        <f>IF(Table1[[#This Row],[Subscription Status]]="Yes",1,IF(Table1[[#This Row],[Subscription Status]]="No",0))</f>
        <v>1</v>
      </c>
    </row>
    <row r="429" spans="1:21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  <c r="S429" t="str">
        <f>IF(Table1[[#This Row],[Age]]&lt;=25,"Young",IF(Table1[[#This Row],[Age]]&lt;=50,"Adult","Senior"))</f>
        <v>Senior</v>
      </c>
      <c r="T429" s="1">
        <f>Table1[[#This Row],[Purchase Amount (USD)]]</f>
        <v>91</v>
      </c>
      <c r="U429">
        <f>IF(Table1[[#This Row],[Subscription Status]]="Yes",1,IF(Table1[[#This Row],[Subscription Status]]="No",0))</f>
        <v>1</v>
      </c>
    </row>
    <row r="430" spans="1:21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  <c r="S430" t="str">
        <f>IF(Table1[[#This Row],[Age]]&lt;=25,"Young",IF(Table1[[#This Row],[Age]]&lt;=50,"Adult","Senior"))</f>
        <v>Young</v>
      </c>
      <c r="T430" s="1">
        <f>Table1[[#This Row],[Purchase Amount (USD)]]</f>
        <v>64</v>
      </c>
      <c r="U430">
        <f>IF(Table1[[#This Row],[Subscription Status]]="Yes",1,IF(Table1[[#This Row],[Subscription Status]]="No",0))</f>
        <v>1</v>
      </c>
    </row>
    <row r="431" spans="1:21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  <c r="S431" t="str">
        <f>IF(Table1[[#This Row],[Age]]&lt;=25,"Young",IF(Table1[[#This Row],[Age]]&lt;=50,"Adult","Senior"))</f>
        <v>Adult</v>
      </c>
      <c r="T431" s="1">
        <f>Table1[[#This Row],[Purchase Amount (USD)]]</f>
        <v>94</v>
      </c>
      <c r="U431">
        <f>IF(Table1[[#This Row],[Subscription Status]]="Yes",1,IF(Table1[[#This Row],[Subscription Status]]="No",0))</f>
        <v>1</v>
      </c>
    </row>
    <row r="432" spans="1:21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  <c r="S432" t="str">
        <f>IF(Table1[[#This Row],[Age]]&lt;=25,"Young",IF(Table1[[#This Row],[Age]]&lt;=50,"Adult","Senior"))</f>
        <v>Young</v>
      </c>
      <c r="T432" s="1">
        <f>Table1[[#This Row],[Purchase Amount (USD)]]</f>
        <v>40</v>
      </c>
      <c r="U432">
        <f>IF(Table1[[#This Row],[Subscription Status]]="Yes",1,IF(Table1[[#This Row],[Subscription Status]]="No",0))</f>
        <v>1</v>
      </c>
    </row>
    <row r="433" spans="1:21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  <c r="S433" t="str">
        <f>IF(Table1[[#This Row],[Age]]&lt;=25,"Young",IF(Table1[[#This Row],[Age]]&lt;=50,"Adult","Senior"))</f>
        <v>Adult</v>
      </c>
      <c r="T433" s="1">
        <f>Table1[[#This Row],[Purchase Amount (USD)]]</f>
        <v>76</v>
      </c>
      <c r="U433">
        <f>IF(Table1[[#This Row],[Subscription Status]]="Yes",1,IF(Table1[[#This Row],[Subscription Status]]="No",0))</f>
        <v>1</v>
      </c>
    </row>
    <row r="434" spans="1:21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  <c r="S434" t="str">
        <f>IF(Table1[[#This Row],[Age]]&lt;=25,"Young",IF(Table1[[#This Row],[Age]]&lt;=50,"Adult","Senior"))</f>
        <v>Adult</v>
      </c>
      <c r="T434" s="1">
        <f>Table1[[#This Row],[Purchase Amount (USD)]]</f>
        <v>86</v>
      </c>
      <c r="U434">
        <f>IF(Table1[[#This Row],[Subscription Status]]="Yes",1,IF(Table1[[#This Row],[Subscription Status]]="No",0))</f>
        <v>1</v>
      </c>
    </row>
    <row r="435" spans="1:21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  <c r="S435" t="str">
        <f>IF(Table1[[#This Row],[Age]]&lt;=25,"Young",IF(Table1[[#This Row],[Age]]&lt;=50,"Adult","Senior"))</f>
        <v>Adult</v>
      </c>
      <c r="T435" s="1">
        <f>Table1[[#This Row],[Purchase Amount (USD)]]</f>
        <v>92</v>
      </c>
      <c r="U435">
        <f>IF(Table1[[#This Row],[Subscription Status]]="Yes",1,IF(Table1[[#This Row],[Subscription Status]]="No",0))</f>
        <v>1</v>
      </c>
    </row>
    <row r="436" spans="1:21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  <c r="S436" t="str">
        <f>IF(Table1[[#This Row],[Age]]&lt;=25,"Young",IF(Table1[[#This Row],[Age]]&lt;=50,"Adult","Senior"))</f>
        <v>Adult</v>
      </c>
      <c r="T436" s="1">
        <f>Table1[[#This Row],[Purchase Amount (USD)]]</f>
        <v>52</v>
      </c>
      <c r="U436">
        <f>IF(Table1[[#This Row],[Subscription Status]]="Yes",1,IF(Table1[[#This Row],[Subscription Status]]="No",0))</f>
        <v>1</v>
      </c>
    </row>
    <row r="437" spans="1:21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  <c r="S437" t="str">
        <f>IF(Table1[[#This Row],[Age]]&lt;=25,"Young",IF(Table1[[#This Row],[Age]]&lt;=50,"Adult","Senior"))</f>
        <v>Senior</v>
      </c>
      <c r="T437" s="1">
        <f>Table1[[#This Row],[Purchase Amount (USD)]]</f>
        <v>28</v>
      </c>
      <c r="U437">
        <f>IF(Table1[[#This Row],[Subscription Status]]="Yes",1,IF(Table1[[#This Row],[Subscription Status]]="No",0))</f>
        <v>1</v>
      </c>
    </row>
    <row r="438" spans="1:21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  <c r="S438" t="str">
        <f>IF(Table1[[#This Row],[Age]]&lt;=25,"Young",IF(Table1[[#This Row],[Age]]&lt;=50,"Adult","Senior"))</f>
        <v>Adult</v>
      </c>
      <c r="T438" s="1">
        <f>Table1[[#This Row],[Purchase Amount (USD)]]</f>
        <v>46</v>
      </c>
      <c r="U438">
        <f>IF(Table1[[#This Row],[Subscription Status]]="Yes",1,IF(Table1[[#This Row],[Subscription Status]]="No",0))</f>
        <v>1</v>
      </c>
    </row>
    <row r="439" spans="1:21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  <c r="S439" t="str">
        <f>IF(Table1[[#This Row],[Age]]&lt;=25,"Young",IF(Table1[[#This Row],[Age]]&lt;=50,"Adult","Senior"))</f>
        <v>Adult</v>
      </c>
      <c r="T439" s="1">
        <f>Table1[[#This Row],[Purchase Amount (USD)]]</f>
        <v>50</v>
      </c>
      <c r="U439">
        <f>IF(Table1[[#This Row],[Subscription Status]]="Yes",1,IF(Table1[[#This Row],[Subscription Status]]="No",0))</f>
        <v>1</v>
      </c>
    </row>
    <row r="440" spans="1:21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  <c r="S440" t="str">
        <f>IF(Table1[[#This Row],[Age]]&lt;=25,"Young",IF(Table1[[#This Row],[Age]]&lt;=50,"Adult","Senior"))</f>
        <v>Senior</v>
      </c>
      <c r="T440" s="1">
        <f>Table1[[#This Row],[Purchase Amount (USD)]]</f>
        <v>23</v>
      </c>
      <c r="U440">
        <f>IF(Table1[[#This Row],[Subscription Status]]="Yes",1,IF(Table1[[#This Row],[Subscription Status]]="No",0))</f>
        <v>1</v>
      </c>
    </row>
    <row r="441" spans="1:21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  <c r="S441" t="str">
        <f>IF(Table1[[#This Row],[Age]]&lt;=25,"Young",IF(Table1[[#This Row],[Age]]&lt;=50,"Adult","Senior"))</f>
        <v>Senior</v>
      </c>
      <c r="T441" s="1">
        <f>Table1[[#This Row],[Purchase Amount (USD)]]</f>
        <v>50</v>
      </c>
      <c r="U441">
        <f>IF(Table1[[#This Row],[Subscription Status]]="Yes",1,IF(Table1[[#This Row],[Subscription Status]]="No",0))</f>
        <v>1</v>
      </c>
    </row>
    <row r="442" spans="1:21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  <c r="S442" t="str">
        <f>IF(Table1[[#This Row],[Age]]&lt;=25,"Young",IF(Table1[[#This Row],[Age]]&lt;=50,"Adult","Senior"))</f>
        <v>Young</v>
      </c>
      <c r="T442" s="1">
        <f>Table1[[#This Row],[Purchase Amount (USD)]]</f>
        <v>89</v>
      </c>
      <c r="U442">
        <f>IF(Table1[[#This Row],[Subscription Status]]="Yes",1,IF(Table1[[#This Row],[Subscription Status]]="No",0))</f>
        <v>1</v>
      </c>
    </row>
    <row r="443" spans="1:21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  <c r="S443" t="str">
        <f>IF(Table1[[#This Row],[Age]]&lt;=25,"Young",IF(Table1[[#This Row],[Age]]&lt;=50,"Adult","Senior"))</f>
        <v>Adult</v>
      </c>
      <c r="T443" s="1">
        <f>Table1[[#This Row],[Purchase Amount (USD)]]</f>
        <v>81</v>
      </c>
      <c r="U443">
        <f>IF(Table1[[#This Row],[Subscription Status]]="Yes",1,IF(Table1[[#This Row],[Subscription Status]]="No",0))</f>
        <v>1</v>
      </c>
    </row>
    <row r="444" spans="1:21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  <c r="S444" t="str">
        <f>IF(Table1[[#This Row],[Age]]&lt;=25,"Young",IF(Table1[[#This Row],[Age]]&lt;=50,"Adult","Senior"))</f>
        <v>Adult</v>
      </c>
      <c r="T444" s="1">
        <f>Table1[[#This Row],[Purchase Amount (USD)]]</f>
        <v>69</v>
      </c>
      <c r="U444">
        <f>IF(Table1[[#This Row],[Subscription Status]]="Yes",1,IF(Table1[[#This Row],[Subscription Status]]="No",0))</f>
        <v>1</v>
      </c>
    </row>
    <row r="445" spans="1:21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  <c r="S445" t="str">
        <f>IF(Table1[[#This Row],[Age]]&lt;=25,"Young",IF(Table1[[#This Row],[Age]]&lt;=50,"Adult","Senior"))</f>
        <v>Young</v>
      </c>
      <c r="T445" s="1">
        <f>Table1[[#This Row],[Purchase Amount (USD)]]</f>
        <v>67</v>
      </c>
      <c r="U445">
        <f>IF(Table1[[#This Row],[Subscription Status]]="Yes",1,IF(Table1[[#This Row],[Subscription Status]]="No",0))</f>
        <v>1</v>
      </c>
    </row>
    <row r="446" spans="1:21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  <c r="S446" t="str">
        <f>IF(Table1[[#This Row],[Age]]&lt;=25,"Young",IF(Table1[[#This Row],[Age]]&lt;=50,"Adult","Senior"))</f>
        <v>Adult</v>
      </c>
      <c r="T446" s="1">
        <f>Table1[[#This Row],[Purchase Amount (USD)]]</f>
        <v>20</v>
      </c>
      <c r="U446">
        <f>IF(Table1[[#This Row],[Subscription Status]]="Yes",1,IF(Table1[[#This Row],[Subscription Status]]="No",0))</f>
        <v>1</v>
      </c>
    </row>
    <row r="447" spans="1:21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  <c r="S447" t="str">
        <f>IF(Table1[[#This Row],[Age]]&lt;=25,"Young",IF(Table1[[#This Row],[Age]]&lt;=50,"Adult","Senior"))</f>
        <v>Adult</v>
      </c>
      <c r="T447" s="1">
        <f>Table1[[#This Row],[Purchase Amount (USD)]]</f>
        <v>29</v>
      </c>
      <c r="U447">
        <f>IF(Table1[[#This Row],[Subscription Status]]="Yes",1,IF(Table1[[#This Row],[Subscription Status]]="No",0))</f>
        <v>1</v>
      </c>
    </row>
    <row r="448" spans="1:21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  <c r="S448" t="str">
        <f>IF(Table1[[#This Row],[Age]]&lt;=25,"Young",IF(Table1[[#This Row],[Age]]&lt;=50,"Adult","Senior"))</f>
        <v>Young</v>
      </c>
      <c r="T448" s="1">
        <f>Table1[[#This Row],[Purchase Amount (USD)]]</f>
        <v>74</v>
      </c>
      <c r="U448">
        <f>IF(Table1[[#This Row],[Subscription Status]]="Yes",1,IF(Table1[[#This Row],[Subscription Status]]="No",0))</f>
        <v>1</v>
      </c>
    </row>
    <row r="449" spans="1:21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  <c r="S449" t="str">
        <f>IF(Table1[[#This Row],[Age]]&lt;=25,"Young",IF(Table1[[#This Row],[Age]]&lt;=50,"Adult","Senior"))</f>
        <v>Senior</v>
      </c>
      <c r="T449" s="1">
        <f>Table1[[#This Row],[Purchase Amount (USD)]]</f>
        <v>82</v>
      </c>
      <c r="U449">
        <f>IF(Table1[[#This Row],[Subscription Status]]="Yes",1,IF(Table1[[#This Row],[Subscription Status]]="No",0))</f>
        <v>1</v>
      </c>
    </row>
    <row r="450" spans="1:21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  <c r="S450" t="str">
        <f>IF(Table1[[#This Row],[Age]]&lt;=25,"Young",IF(Table1[[#This Row],[Age]]&lt;=50,"Adult","Senior"))</f>
        <v>Adult</v>
      </c>
      <c r="T450" s="1">
        <f>Table1[[#This Row],[Purchase Amount (USD)]]</f>
        <v>23</v>
      </c>
      <c r="U450">
        <f>IF(Table1[[#This Row],[Subscription Status]]="Yes",1,IF(Table1[[#This Row],[Subscription Status]]="No",0))</f>
        <v>1</v>
      </c>
    </row>
    <row r="451" spans="1:21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  <c r="S451" t="str">
        <f>IF(Table1[[#This Row],[Age]]&lt;=25,"Young",IF(Table1[[#This Row],[Age]]&lt;=50,"Adult","Senior"))</f>
        <v>Adult</v>
      </c>
      <c r="T451" s="1">
        <f>Table1[[#This Row],[Purchase Amount (USD)]]</f>
        <v>45</v>
      </c>
      <c r="U451">
        <f>IF(Table1[[#This Row],[Subscription Status]]="Yes",1,IF(Table1[[#This Row],[Subscription Status]]="No",0))</f>
        <v>1</v>
      </c>
    </row>
    <row r="452" spans="1:21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  <c r="S452" t="str">
        <f>IF(Table1[[#This Row],[Age]]&lt;=25,"Young",IF(Table1[[#This Row],[Age]]&lt;=50,"Adult","Senior"))</f>
        <v>Young</v>
      </c>
      <c r="T452" s="1">
        <f>Table1[[#This Row],[Purchase Amount (USD)]]</f>
        <v>21</v>
      </c>
      <c r="U452">
        <f>IF(Table1[[#This Row],[Subscription Status]]="Yes",1,IF(Table1[[#This Row],[Subscription Status]]="No",0))</f>
        <v>1</v>
      </c>
    </row>
    <row r="453" spans="1:21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  <c r="S453" t="str">
        <f>IF(Table1[[#This Row],[Age]]&lt;=25,"Young",IF(Table1[[#This Row],[Age]]&lt;=50,"Adult","Senior"))</f>
        <v>Senior</v>
      </c>
      <c r="T453" s="1">
        <f>Table1[[#This Row],[Purchase Amount (USD)]]</f>
        <v>31</v>
      </c>
      <c r="U453">
        <f>IF(Table1[[#This Row],[Subscription Status]]="Yes",1,IF(Table1[[#This Row],[Subscription Status]]="No",0))</f>
        <v>1</v>
      </c>
    </row>
    <row r="454" spans="1:21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  <c r="S454" t="str">
        <f>IF(Table1[[#This Row],[Age]]&lt;=25,"Young",IF(Table1[[#This Row],[Age]]&lt;=50,"Adult","Senior"))</f>
        <v>Adult</v>
      </c>
      <c r="T454" s="1">
        <f>Table1[[#This Row],[Purchase Amount (USD)]]</f>
        <v>45</v>
      </c>
      <c r="U454">
        <f>IF(Table1[[#This Row],[Subscription Status]]="Yes",1,IF(Table1[[#This Row],[Subscription Status]]="No",0))</f>
        <v>1</v>
      </c>
    </row>
    <row r="455" spans="1:21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  <c r="S455" t="str">
        <f>IF(Table1[[#This Row],[Age]]&lt;=25,"Young",IF(Table1[[#This Row],[Age]]&lt;=50,"Adult","Senior"))</f>
        <v>Senior</v>
      </c>
      <c r="T455" s="1">
        <f>Table1[[#This Row],[Purchase Amount (USD)]]</f>
        <v>56</v>
      </c>
      <c r="U455">
        <f>IF(Table1[[#This Row],[Subscription Status]]="Yes",1,IF(Table1[[#This Row],[Subscription Status]]="No",0))</f>
        <v>1</v>
      </c>
    </row>
    <row r="456" spans="1:21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  <c r="S456" t="str">
        <f>IF(Table1[[#This Row],[Age]]&lt;=25,"Young",IF(Table1[[#This Row],[Age]]&lt;=50,"Adult","Senior"))</f>
        <v>Adult</v>
      </c>
      <c r="T456" s="1">
        <f>Table1[[#This Row],[Purchase Amount (USD)]]</f>
        <v>97</v>
      </c>
      <c r="U456">
        <f>IF(Table1[[#This Row],[Subscription Status]]="Yes",1,IF(Table1[[#This Row],[Subscription Status]]="No",0))</f>
        <v>1</v>
      </c>
    </row>
    <row r="457" spans="1:21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  <c r="S457" t="str">
        <f>IF(Table1[[#This Row],[Age]]&lt;=25,"Young",IF(Table1[[#This Row],[Age]]&lt;=50,"Adult","Senior"))</f>
        <v>Senior</v>
      </c>
      <c r="T457" s="1">
        <f>Table1[[#This Row],[Purchase Amount (USD)]]</f>
        <v>100</v>
      </c>
      <c r="U457">
        <f>IF(Table1[[#This Row],[Subscription Status]]="Yes",1,IF(Table1[[#This Row],[Subscription Status]]="No",0))</f>
        <v>1</v>
      </c>
    </row>
    <row r="458" spans="1:21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  <c r="S458" t="str">
        <f>IF(Table1[[#This Row],[Age]]&lt;=25,"Young",IF(Table1[[#This Row],[Age]]&lt;=50,"Adult","Senior"))</f>
        <v>Adult</v>
      </c>
      <c r="T458" s="1">
        <f>Table1[[#This Row],[Purchase Amount (USD)]]</f>
        <v>96</v>
      </c>
      <c r="U458">
        <f>IF(Table1[[#This Row],[Subscription Status]]="Yes",1,IF(Table1[[#This Row],[Subscription Status]]="No",0))</f>
        <v>1</v>
      </c>
    </row>
    <row r="459" spans="1:21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  <c r="S459" t="str">
        <f>IF(Table1[[#This Row],[Age]]&lt;=25,"Young",IF(Table1[[#This Row],[Age]]&lt;=50,"Adult","Senior"))</f>
        <v>Young</v>
      </c>
      <c r="T459" s="1">
        <f>Table1[[#This Row],[Purchase Amount (USD)]]</f>
        <v>99</v>
      </c>
      <c r="U459">
        <f>IF(Table1[[#This Row],[Subscription Status]]="Yes",1,IF(Table1[[#This Row],[Subscription Status]]="No",0))</f>
        <v>1</v>
      </c>
    </row>
    <row r="460" spans="1:21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  <c r="S460" t="str">
        <f>IF(Table1[[#This Row],[Age]]&lt;=25,"Young",IF(Table1[[#This Row],[Age]]&lt;=50,"Adult","Senior"))</f>
        <v>Adult</v>
      </c>
      <c r="T460" s="1">
        <f>Table1[[#This Row],[Purchase Amount (USD)]]</f>
        <v>91</v>
      </c>
      <c r="U460">
        <f>IF(Table1[[#This Row],[Subscription Status]]="Yes",1,IF(Table1[[#This Row],[Subscription Status]]="No",0))</f>
        <v>1</v>
      </c>
    </row>
    <row r="461" spans="1:21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  <c r="S461" t="str">
        <f>IF(Table1[[#This Row],[Age]]&lt;=25,"Young",IF(Table1[[#This Row],[Age]]&lt;=50,"Adult","Senior"))</f>
        <v>Senior</v>
      </c>
      <c r="T461" s="1">
        <f>Table1[[#This Row],[Purchase Amount (USD)]]</f>
        <v>30</v>
      </c>
      <c r="U461">
        <f>IF(Table1[[#This Row],[Subscription Status]]="Yes",1,IF(Table1[[#This Row],[Subscription Status]]="No",0))</f>
        <v>1</v>
      </c>
    </row>
    <row r="462" spans="1:21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  <c r="S462" t="str">
        <f>IF(Table1[[#This Row],[Age]]&lt;=25,"Young",IF(Table1[[#This Row],[Age]]&lt;=50,"Adult","Senior"))</f>
        <v>Senior</v>
      </c>
      <c r="T462" s="1">
        <f>Table1[[#This Row],[Purchase Amount (USD)]]</f>
        <v>65</v>
      </c>
      <c r="U462">
        <f>IF(Table1[[#This Row],[Subscription Status]]="Yes",1,IF(Table1[[#This Row],[Subscription Status]]="No",0))</f>
        <v>1</v>
      </c>
    </row>
    <row r="463" spans="1:21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  <c r="S463" t="str">
        <f>IF(Table1[[#This Row],[Age]]&lt;=25,"Young",IF(Table1[[#This Row],[Age]]&lt;=50,"Adult","Senior"))</f>
        <v>Young</v>
      </c>
      <c r="T463" s="1">
        <f>Table1[[#This Row],[Purchase Amount (USD)]]</f>
        <v>93</v>
      </c>
      <c r="U463">
        <f>IF(Table1[[#This Row],[Subscription Status]]="Yes",1,IF(Table1[[#This Row],[Subscription Status]]="No",0))</f>
        <v>1</v>
      </c>
    </row>
    <row r="464" spans="1:21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  <c r="S464" t="str">
        <f>IF(Table1[[#This Row],[Age]]&lt;=25,"Young",IF(Table1[[#This Row],[Age]]&lt;=50,"Adult","Senior"))</f>
        <v>Senior</v>
      </c>
      <c r="T464" s="1">
        <f>Table1[[#This Row],[Purchase Amount (USD)]]</f>
        <v>81</v>
      </c>
      <c r="U464">
        <f>IF(Table1[[#This Row],[Subscription Status]]="Yes",1,IF(Table1[[#This Row],[Subscription Status]]="No",0))</f>
        <v>1</v>
      </c>
    </row>
    <row r="465" spans="1:21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  <c r="S465" t="str">
        <f>IF(Table1[[#This Row],[Age]]&lt;=25,"Young",IF(Table1[[#This Row],[Age]]&lt;=50,"Adult","Senior"))</f>
        <v>Adult</v>
      </c>
      <c r="T465" s="1">
        <f>Table1[[#This Row],[Purchase Amount (USD)]]</f>
        <v>81</v>
      </c>
      <c r="U465">
        <f>IF(Table1[[#This Row],[Subscription Status]]="Yes",1,IF(Table1[[#This Row],[Subscription Status]]="No",0))</f>
        <v>1</v>
      </c>
    </row>
    <row r="466" spans="1:21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  <c r="S466" t="str">
        <f>IF(Table1[[#This Row],[Age]]&lt;=25,"Young",IF(Table1[[#This Row],[Age]]&lt;=50,"Adult","Senior"))</f>
        <v>Young</v>
      </c>
      <c r="T466" s="1">
        <f>Table1[[#This Row],[Purchase Amount (USD)]]</f>
        <v>52</v>
      </c>
      <c r="U466">
        <f>IF(Table1[[#This Row],[Subscription Status]]="Yes",1,IF(Table1[[#This Row],[Subscription Status]]="No",0))</f>
        <v>1</v>
      </c>
    </row>
    <row r="467" spans="1:21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  <c r="S467" t="str">
        <f>IF(Table1[[#This Row],[Age]]&lt;=25,"Young",IF(Table1[[#This Row],[Age]]&lt;=50,"Adult","Senior"))</f>
        <v>Senior</v>
      </c>
      <c r="T467" s="1">
        <f>Table1[[#This Row],[Purchase Amount (USD)]]</f>
        <v>88</v>
      </c>
      <c r="U467">
        <f>IF(Table1[[#This Row],[Subscription Status]]="Yes",1,IF(Table1[[#This Row],[Subscription Status]]="No",0))</f>
        <v>1</v>
      </c>
    </row>
    <row r="468" spans="1:21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  <c r="S468" t="str">
        <f>IF(Table1[[#This Row],[Age]]&lt;=25,"Young",IF(Table1[[#This Row],[Age]]&lt;=50,"Adult","Senior"))</f>
        <v>Adult</v>
      </c>
      <c r="T468" s="1">
        <f>Table1[[#This Row],[Purchase Amount (USD)]]</f>
        <v>24</v>
      </c>
      <c r="U468">
        <f>IF(Table1[[#This Row],[Subscription Status]]="Yes",1,IF(Table1[[#This Row],[Subscription Status]]="No",0))</f>
        <v>1</v>
      </c>
    </row>
    <row r="469" spans="1:21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  <c r="S469" t="str">
        <f>IF(Table1[[#This Row],[Age]]&lt;=25,"Young",IF(Table1[[#This Row],[Age]]&lt;=50,"Adult","Senior"))</f>
        <v>Young</v>
      </c>
      <c r="T469" s="1">
        <f>Table1[[#This Row],[Purchase Amount (USD)]]</f>
        <v>51</v>
      </c>
      <c r="U469">
        <f>IF(Table1[[#This Row],[Subscription Status]]="Yes",1,IF(Table1[[#This Row],[Subscription Status]]="No",0))</f>
        <v>1</v>
      </c>
    </row>
    <row r="470" spans="1:21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  <c r="S470" t="str">
        <f>IF(Table1[[#This Row],[Age]]&lt;=25,"Young",IF(Table1[[#This Row],[Age]]&lt;=50,"Adult","Senior"))</f>
        <v>Adult</v>
      </c>
      <c r="T470" s="1">
        <f>Table1[[#This Row],[Purchase Amount (USD)]]</f>
        <v>38</v>
      </c>
      <c r="U470">
        <f>IF(Table1[[#This Row],[Subscription Status]]="Yes",1,IF(Table1[[#This Row],[Subscription Status]]="No",0))</f>
        <v>1</v>
      </c>
    </row>
    <row r="471" spans="1:21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  <c r="S471" t="str">
        <f>IF(Table1[[#This Row],[Age]]&lt;=25,"Young",IF(Table1[[#This Row],[Age]]&lt;=50,"Adult","Senior"))</f>
        <v>Young</v>
      </c>
      <c r="T471" s="1">
        <f>Table1[[#This Row],[Purchase Amount (USD)]]</f>
        <v>46</v>
      </c>
      <c r="U471">
        <f>IF(Table1[[#This Row],[Subscription Status]]="Yes",1,IF(Table1[[#This Row],[Subscription Status]]="No",0))</f>
        <v>1</v>
      </c>
    </row>
    <row r="472" spans="1:21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  <c r="S472" t="str">
        <f>IF(Table1[[#This Row],[Age]]&lt;=25,"Young",IF(Table1[[#This Row],[Age]]&lt;=50,"Adult","Senior"))</f>
        <v>Adult</v>
      </c>
      <c r="T472" s="1">
        <f>Table1[[#This Row],[Purchase Amount (USD)]]</f>
        <v>63</v>
      </c>
      <c r="U472">
        <f>IF(Table1[[#This Row],[Subscription Status]]="Yes",1,IF(Table1[[#This Row],[Subscription Status]]="No",0))</f>
        <v>1</v>
      </c>
    </row>
    <row r="473" spans="1:21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  <c r="S473" t="str">
        <f>IF(Table1[[#This Row],[Age]]&lt;=25,"Young",IF(Table1[[#This Row],[Age]]&lt;=50,"Adult","Senior"))</f>
        <v>Senior</v>
      </c>
      <c r="T473" s="1">
        <f>Table1[[#This Row],[Purchase Amount (USD)]]</f>
        <v>72</v>
      </c>
      <c r="U473">
        <f>IF(Table1[[#This Row],[Subscription Status]]="Yes",1,IF(Table1[[#This Row],[Subscription Status]]="No",0))</f>
        <v>1</v>
      </c>
    </row>
    <row r="474" spans="1:21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  <c r="S474" t="str">
        <f>IF(Table1[[#This Row],[Age]]&lt;=25,"Young",IF(Table1[[#This Row],[Age]]&lt;=50,"Adult","Senior"))</f>
        <v>Young</v>
      </c>
      <c r="T474" s="1">
        <f>Table1[[#This Row],[Purchase Amount (USD)]]</f>
        <v>39</v>
      </c>
      <c r="U474">
        <f>IF(Table1[[#This Row],[Subscription Status]]="Yes",1,IF(Table1[[#This Row],[Subscription Status]]="No",0))</f>
        <v>1</v>
      </c>
    </row>
    <row r="475" spans="1:21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  <c r="S475" t="str">
        <f>IF(Table1[[#This Row],[Age]]&lt;=25,"Young",IF(Table1[[#This Row],[Age]]&lt;=50,"Adult","Senior"))</f>
        <v>Adult</v>
      </c>
      <c r="T475" s="1">
        <f>Table1[[#This Row],[Purchase Amount (USD)]]</f>
        <v>42</v>
      </c>
      <c r="U475">
        <f>IF(Table1[[#This Row],[Subscription Status]]="Yes",1,IF(Table1[[#This Row],[Subscription Status]]="No",0))</f>
        <v>1</v>
      </c>
    </row>
    <row r="476" spans="1:21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  <c r="S476" t="str">
        <f>IF(Table1[[#This Row],[Age]]&lt;=25,"Young",IF(Table1[[#This Row],[Age]]&lt;=50,"Adult","Senior"))</f>
        <v>Senior</v>
      </c>
      <c r="T476" s="1">
        <f>Table1[[#This Row],[Purchase Amount (USD)]]</f>
        <v>76</v>
      </c>
      <c r="U476">
        <f>IF(Table1[[#This Row],[Subscription Status]]="Yes",1,IF(Table1[[#This Row],[Subscription Status]]="No",0))</f>
        <v>1</v>
      </c>
    </row>
    <row r="477" spans="1:21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  <c r="S477" t="str">
        <f>IF(Table1[[#This Row],[Age]]&lt;=25,"Young",IF(Table1[[#This Row],[Age]]&lt;=50,"Adult","Senior"))</f>
        <v>Young</v>
      </c>
      <c r="T477" s="1">
        <f>Table1[[#This Row],[Purchase Amount (USD)]]</f>
        <v>66</v>
      </c>
      <c r="U477">
        <f>IF(Table1[[#This Row],[Subscription Status]]="Yes",1,IF(Table1[[#This Row],[Subscription Status]]="No",0))</f>
        <v>1</v>
      </c>
    </row>
    <row r="478" spans="1:21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  <c r="S478" t="str">
        <f>IF(Table1[[#This Row],[Age]]&lt;=25,"Young",IF(Table1[[#This Row],[Age]]&lt;=50,"Adult","Senior"))</f>
        <v>Young</v>
      </c>
      <c r="T478" s="1">
        <f>Table1[[#This Row],[Purchase Amount (USD)]]</f>
        <v>90</v>
      </c>
      <c r="U478">
        <f>IF(Table1[[#This Row],[Subscription Status]]="Yes",1,IF(Table1[[#This Row],[Subscription Status]]="No",0))</f>
        <v>1</v>
      </c>
    </row>
    <row r="479" spans="1:21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  <c r="S479" t="str">
        <f>IF(Table1[[#This Row],[Age]]&lt;=25,"Young",IF(Table1[[#This Row],[Age]]&lt;=50,"Adult","Senior"))</f>
        <v>Adult</v>
      </c>
      <c r="T479" s="1">
        <f>Table1[[#This Row],[Purchase Amount (USD)]]</f>
        <v>56</v>
      </c>
      <c r="U479">
        <f>IF(Table1[[#This Row],[Subscription Status]]="Yes",1,IF(Table1[[#This Row],[Subscription Status]]="No",0))</f>
        <v>1</v>
      </c>
    </row>
    <row r="480" spans="1:21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  <c r="S480" t="str">
        <f>IF(Table1[[#This Row],[Age]]&lt;=25,"Young",IF(Table1[[#This Row],[Age]]&lt;=50,"Adult","Senior"))</f>
        <v>Adult</v>
      </c>
      <c r="T480" s="1">
        <f>Table1[[#This Row],[Purchase Amount (USD)]]</f>
        <v>43</v>
      </c>
      <c r="U480">
        <f>IF(Table1[[#This Row],[Subscription Status]]="Yes",1,IF(Table1[[#This Row],[Subscription Status]]="No",0))</f>
        <v>1</v>
      </c>
    </row>
    <row r="481" spans="1:21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  <c r="S481" t="str">
        <f>IF(Table1[[#This Row],[Age]]&lt;=25,"Young",IF(Table1[[#This Row],[Age]]&lt;=50,"Adult","Senior"))</f>
        <v>Adult</v>
      </c>
      <c r="T481" s="1">
        <f>Table1[[#This Row],[Purchase Amount (USD)]]</f>
        <v>84</v>
      </c>
      <c r="U481">
        <f>IF(Table1[[#This Row],[Subscription Status]]="Yes",1,IF(Table1[[#This Row],[Subscription Status]]="No",0))</f>
        <v>1</v>
      </c>
    </row>
    <row r="482" spans="1:21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  <c r="S482" t="str">
        <f>IF(Table1[[#This Row],[Age]]&lt;=25,"Young",IF(Table1[[#This Row],[Age]]&lt;=50,"Adult","Senior"))</f>
        <v>Senior</v>
      </c>
      <c r="T482" s="1">
        <f>Table1[[#This Row],[Purchase Amount (USD)]]</f>
        <v>88</v>
      </c>
      <c r="U482">
        <f>IF(Table1[[#This Row],[Subscription Status]]="Yes",1,IF(Table1[[#This Row],[Subscription Status]]="No",0))</f>
        <v>1</v>
      </c>
    </row>
    <row r="483" spans="1:21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  <c r="S483" t="str">
        <f>IF(Table1[[#This Row],[Age]]&lt;=25,"Young",IF(Table1[[#This Row],[Age]]&lt;=50,"Adult","Senior"))</f>
        <v>Adult</v>
      </c>
      <c r="T483" s="1">
        <f>Table1[[#This Row],[Purchase Amount (USD)]]</f>
        <v>88</v>
      </c>
      <c r="U483">
        <f>IF(Table1[[#This Row],[Subscription Status]]="Yes",1,IF(Table1[[#This Row],[Subscription Status]]="No",0))</f>
        <v>1</v>
      </c>
    </row>
    <row r="484" spans="1:21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  <c r="S484" t="str">
        <f>IF(Table1[[#This Row],[Age]]&lt;=25,"Young",IF(Table1[[#This Row],[Age]]&lt;=50,"Adult","Senior"))</f>
        <v>Adult</v>
      </c>
      <c r="T484" s="1">
        <f>Table1[[#This Row],[Purchase Amount (USD)]]</f>
        <v>42</v>
      </c>
      <c r="U484">
        <f>IF(Table1[[#This Row],[Subscription Status]]="Yes",1,IF(Table1[[#This Row],[Subscription Status]]="No",0))</f>
        <v>1</v>
      </c>
    </row>
    <row r="485" spans="1:21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  <c r="S485" t="str">
        <f>IF(Table1[[#This Row],[Age]]&lt;=25,"Young",IF(Table1[[#This Row],[Age]]&lt;=50,"Adult","Senior"))</f>
        <v>Young</v>
      </c>
      <c r="T485" s="1">
        <f>Table1[[#This Row],[Purchase Amount (USD)]]</f>
        <v>73</v>
      </c>
      <c r="U485">
        <f>IF(Table1[[#This Row],[Subscription Status]]="Yes",1,IF(Table1[[#This Row],[Subscription Status]]="No",0))</f>
        <v>1</v>
      </c>
    </row>
    <row r="486" spans="1:21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  <c r="S486" t="str">
        <f>IF(Table1[[#This Row],[Age]]&lt;=25,"Young",IF(Table1[[#This Row],[Age]]&lt;=50,"Adult","Senior"))</f>
        <v>Senior</v>
      </c>
      <c r="T486" s="1">
        <f>Table1[[#This Row],[Purchase Amount (USD)]]</f>
        <v>73</v>
      </c>
      <c r="U486">
        <f>IF(Table1[[#This Row],[Subscription Status]]="Yes",1,IF(Table1[[#This Row],[Subscription Status]]="No",0))</f>
        <v>1</v>
      </c>
    </row>
    <row r="487" spans="1:21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  <c r="S487" t="str">
        <f>IF(Table1[[#This Row],[Age]]&lt;=25,"Young",IF(Table1[[#This Row],[Age]]&lt;=50,"Adult","Senior"))</f>
        <v>Adult</v>
      </c>
      <c r="T487" s="1">
        <f>Table1[[#This Row],[Purchase Amount (USD)]]</f>
        <v>44</v>
      </c>
      <c r="U487">
        <f>IF(Table1[[#This Row],[Subscription Status]]="Yes",1,IF(Table1[[#This Row],[Subscription Status]]="No",0))</f>
        <v>1</v>
      </c>
    </row>
    <row r="488" spans="1:21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  <c r="S488" t="str">
        <f>IF(Table1[[#This Row],[Age]]&lt;=25,"Young",IF(Table1[[#This Row],[Age]]&lt;=50,"Adult","Senior"))</f>
        <v>Adult</v>
      </c>
      <c r="T488" s="1">
        <f>Table1[[#This Row],[Purchase Amount (USD)]]</f>
        <v>63</v>
      </c>
      <c r="U488">
        <f>IF(Table1[[#This Row],[Subscription Status]]="Yes",1,IF(Table1[[#This Row],[Subscription Status]]="No",0))</f>
        <v>1</v>
      </c>
    </row>
    <row r="489" spans="1:21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  <c r="S489" t="str">
        <f>IF(Table1[[#This Row],[Age]]&lt;=25,"Young",IF(Table1[[#This Row],[Age]]&lt;=50,"Adult","Senior"))</f>
        <v>Adult</v>
      </c>
      <c r="T489" s="1">
        <f>Table1[[#This Row],[Purchase Amount (USD)]]</f>
        <v>68</v>
      </c>
      <c r="U489">
        <f>IF(Table1[[#This Row],[Subscription Status]]="Yes",1,IF(Table1[[#This Row],[Subscription Status]]="No",0))</f>
        <v>1</v>
      </c>
    </row>
    <row r="490" spans="1:21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  <c r="S490" t="str">
        <f>IF(Table1[[#This Row],[Age]]&lt;=25,"Young",IF(Table1[[#This Row],[Age]]&lt;=50,"Adult","Senior"))</f>
        <v>Senior</v>
      </c>
      <c r="T490" s="1">
        <f>Table1[[#This Row],[Purchase Amount (USD)]]</f>
        <v>29</v>
      </c>
      <c r="U490">
        <f>IF(Table1[[#This Row],[Subscription Status]]="Yes",1,IF(Table1[[#This Row],[Subscription Status]]="No",0))</f>
        <v>1</v>
      </c>
    </row>
    <row r="491" spans="1:21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  <c r="S491" t="str">
        <f>IF(Table1[[#This Row],[Age]]&lt;=25,"Young",IF(Table1[[#This Row],[Age]]&lt;=50,"Adult","Senior"))</f>
        <v>Adult</v>
      </c>
      <c r="T491" s="1">
        <f>Table1[[#This Row],[Purchase Amount (USD)]]</f>
        <v>85</v>
      </c>
      <c r="U491">
        <f>IF(Table1[[#This Row],[Subscription Status]]="Yes",1,IF(Table1[[#This Row],[Subscription Status]]="No",0))</f>
        <v>1</v>
      </c>
    </row>
    <row r="492" spans="1:21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  <c r="S492" t="str">
        <f>IF(Table1[[#This Row],[Age]]&lt;=25,"Young",IF(Table1[[#This Row],[Age]]&lt;=50,"Adult","Senior"))</f>
        <v>Senior</v>
      </c>
      <c r="T492" s="1">
        <f>Table1[[#This Row],[Purchase Amount (USD)]]</f>
        <v>42</v>
      </c>
      <c r="U492">
        <f>IF(Table1[[#This Row],[Subscription Status]]="Yes",1,IF(Table1[[#This Row],[Subscription Status]]="No",0))</f>
        <v>1</v>
      </c>
    </row>
    <row r="493" spans="1:21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  <c r="S493" t="str">
        <f>IF(Table1[[#This Row],[Age]]&lt;=25,"Young",IF(Table1[[#This Row],[Age]]&lt;=50,"Adult","Senior"))</f>
        <v>Adult</v>
      </c>
      <c r="T493" s="1">
        <f>Table1[[#This Row],[Purchase Amount (USD)]]</f>
        <v>69</v>
      </c>
      <c r="U493">
        <f>IF(Table1[[#This Row],[Subscription Status]]="Yes",1,IF(Table1[[#This Row],[Subscription Status]]="No",0))</f>
        <v>1</v>
      </c>
    </row>
    <row r="494" spans="1:21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  <c r="S494" t="str">
        <f>IF(Table1[[#This Row],[Age]]&lt;=25,"Young",IF(Table1[[#This Row],[Age]]&lt;=50,"Adult","Senior"))</f>
        <v>Adult</v>
      </c>
      <c r="T494" s="1">
        <f>Table1[[#This Row],[Purchase Amount (USD)]]</f>
        <v>62</v>
      </c>
      <c r="U494">
        <f>IF(Table1[[#This Row],[Subscription Status]]="Yes",1,IF(Table1[[#This Row],[Subscription Status]]="No",0))</f>
        <v>1</v>
      </c>
    </row>
    <row r="495" spans="1:21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  <c r="S495" t="str">
        <f>IF(Table1[[#This Row],[Age]]&lt;=25,"Young",IF(Table1[[#This Row],[Age]]&lt;=50,"Adult","Senior"))</f>
        <v>Adult</v>
      </c>
      <c r="T495" s="1">
        <f>Table1[[#This Row],[Purchase Amount (USD)]]</f>
        <v>48</v>
      </c>
      <c r="U495">
        <f>IF(Table1[[#This Row],[Subscription Status]]="Yes",1,IF(Table1[[#This Row],[Subscription Status]]="No",0))</f>
        <v>1</v>
      </c>
    </row>
    <row r="496" spans="1:21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  <c r="S496" t="str">
        <f>IF(Table1[[#This Row],[Age]]&lt;=25,"Young",IF(Table1[[#This Row],[Age]]&lt;=50,"Adult","Senior"))</f>
        <v>Adult</v>
      </c>
      <c r="T496" s="1">
        <f>Table1[[#This Row],[Purchase Amount (USD)]]</f>
        <v>68</v>
      </c>
      <c r="U496">
        <f>IF(Table1[[#This Row],[Subscription Status]]="Yes",1,IF(Table1[[#This Row],[Subscription Status]]="No",0))</f>
        <v>1</v>
      </c>
    </row>
    <row r="497" spans="1:21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  <c r="S497" t="str">
        <f>IF(Table1[[#This Row],[Age]]&lt;=25,"Young",IF(Table1[[#This Row],[Age]]&lt;=50,"Adult","Senior"))</f>
        <v>Adult</v>
      </c>
      <c r="T497" s="1">
        <f>Table1[[#This Row],[Purchase Amount (USD)]]</f>
        <v>36</v>
      </c>
      <c r="U497">
        <f>IF(Table1[[#This Row],[Subscription Status]]="Yes",1,IF(Table1[[#This Row],[Subscription Status]]="No",0))</f>
        <v>1</v>
      </c>
    </row>
    <row r="498" spans="1:21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  <c r="S498" t="str">
        <f>IF(Table1[[#This Row],[Age]]&lt;=25,"Young",IF(Table1[[#This Row],[Age]]&lt;=50,"Adult","Senior"))</f>
        <v>Adult</v>
      </c>
      <c r="T498" s="1">
        <f>Table1[[#This Row],[Purchase Amount (USD)]]</f>
        <v>63</v>
      </c>
      <c r="U498">
        <f>IF(Table1[[#This Row],[Subscription Status]]="Yes",1,IF(Table1[[#This Row],[Subscription Status]]="No",0))</f>
        <v>1</v>
      </c>
    </row>
    <row r="499" spans="1:21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  <c r="S499" t="str">
        <f>IF(Table1[[#This Row],[Age]]&lt;=25,"Young",IF(Table1[[#This Row],[Age]]&lt;=50,"Adult","Senior"))</f>
        <v>Adult</v>
      </c>
      <c r="T499" s="1">
        <f>Table1[[#This Row],[Purchase Amount (USD)]]</f>
        <v>39</v>
      </c>
      <c r="U499">
        <f>IF(Table1[[#This Row],[Subscription Status]]="Yes",1,IF(Table1[[#This Row],[Subscription Status]]="No",0))</f>
        <v>1</v>
      </c>
    </row>
    <row r="500" spans="1:21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  <c r="S500" t="str">
        <f>IF(Table1[[#This Row],[Age]]&lt;=25,"Young",IF(Table1[[#This Row],[Age]]&lt;=50,"Adult","Senior"))</f>
        <v>Adult</v>
      </c>
      <c r="T500" s="1">
        <f>Table1[[#This Row],[Purchase Amount (USD)]]</f>
        <v>78</v>
      </c>
      <c r="U500">
        <f>IF(Table1[[#This Row],[Subscription Status]]="Yes",1,IF(Table1[[#This Row],[Subscription Status]]="No",0))</f>
        <v>1</v>
      </c>
    </row>
    <row r="501" spans="1:21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  <c r="S501" t="str">
        <f>IF(Table1[[#This Row],[Age]]&lt;=25,"Young",IF(Table1[[#This Row],[Age]]&lt;=50,"Adult","Senior"))</f>
        <v>Adult</v>
      </c>
      <c r="T501" s="1">
        <f>Table1[[#This Row],[Purchase Amount (USD)]]</f>
        <v>99</v>
      </c>
      <c r="U501">
        <f>IF(Table1[[#This Row],[Subscription Status]]="Yes",1,IF(Table1[[#This Row],[Subscription Status]]="No",0))</f>
        <v>1</v>
      </c>
    </row>
    <row r="502" spans="1:21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  <c r="S502" t="str">
        <f>IF(Table1[[#This Row],[Age]]&lt;=25,"Young",IF(Table1[[#This Row],[Age]]&lt;=50,"Adult","Senior"))</f>
        <v>Adult</v>
      </c>
      <c r="T502" s="1">
        <f>Table1[[#This Row],[Purchase Amount (USD)]]</f>
        <v>31</v>
      </c>
      <c r="U502">
        <f>IF(Table1[[#This Row],[Subscription Status]]="Yes",1,IF(Table1[[#This Row],[Subscription Status]]="No",0))</f>
        <v>1</v>
      </c>
    </row>
    <row r="503" spans="1:21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  <c r="S503" t="str">
        <f>IF(Table1[[#This Row],[Age]]&lt;=25,"Young",IF(Table1[[#This Row],[Age]]&lt;=50,"Adult","Senior"))</f>
        <v>Senior</v>
      </c>
      <c r="T503" s="1">
        <f>Table1[[#This Row],[Purchase Amount (USD)]]</f>
        <v>45</v>
      </c>
      <c r="U503">
        <f>IF(Table1[[#This Row],[Subscription Status]]="Yes",1,IF(Table1[[#This Row],[Subscription Status]]="No",0))</f>
        <v>1</v>
      </c>
    </row>
    <row r="504" spans="1:21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  <c r="S504" t="str">
        <f>IF(Table1[[#This Row],[Age]]&lt;=25,"Young",IF(Table1[[#This Row],[Age]]&lt;=50,"Adult","Senior"))</f>
        <v>Senior</v>
      </c>
      <c r="T504" s="1">
        <f>Table1[[#This Row],[Purchase Amount (USD)]]</f>
        <v>30</v>
      </c>
      <c r="U504">
        <f>IF(Table1[[#This Row],[Subscription Status]]="Yes",1,IF(Table1[[#This Row],[Subscription Status]]="No",0))</f>
        <v>1</v>
      </c>
    </row>
    <row r="505" spans="1:21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  <c r="S505" t="str">
        <f>IF(Table1[[#This Row],[Age]]&lt;=25,"Young",IF(Table1[[#This Row],[Age]]&lt;=50,"Adult","Senior"))</f>
        <v>Senior</v>
      </c>
      <c r="T505" s="1">
        <f>Table1[[#This Row],[Purchase Amount (USD)]]</f>
        <v>24</v>
      </c>
      <c r="U505">
        <f>IF(Table1[[#This Row],[Subscription Status]]="Yes",1,IF(Table1[[#This Row],[Subscription Status]]="No",0))</f>
        <v>1</v>
      </c>
    </row>
    <row r="506" spans="1:21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  <c r="S506" t="str">
        <f>IF(Table1[[#This Row],[Age]]&lt;=25,"Young",IF(Table1[[#This Row],[Age]]&lt;=50,"Adult","Senior"))</f>
        <v>Adult</v>
      </c>
      <c r="T506" s="1">
        <f>Table1[[#This Row],[Purchase Amount (USD)]]</f>
        <v>22</v>
      </c>
      <c r="U506">
        <f>IF(Table1[[#This Row],[Subscription Status]]="Yes",1,IF(Table1[[#This Row],[Subscription Status]]="No",0))</f>
        <v>1</v>
      </c>
    </row>
    <row r="507" spans="1:21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  <c r="S507" t="str">
        <f>IF(Table1[[#This Row],[Age]]&lt;=25,"Young",IF(Table1[[#This Row],[Age]]&lt;=50,"Adult","Senior"))</f>
        <v>Senior</v>
      </c>
      <c r="T507" s="1">
        <f>Table1[[#This Row],[Purchase Amount (USD)]]</f>
        <v>63</v>
      </c>
      <c r="U507">
        <f>IF(Table1[[#This Row],[Subscription Status]]="Yes",1,IF(Table1[[#This Row],[Subscription Status]]="No",0))</f>
        <v>1</v>
      </c>
    </row>
    <row r="508" spans="1:21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  <c r="S508" t="str">
        <f>IF(Table1[[#This Row],[Age]]&lt;=25,"Young",IF(Table1[[#This Row],[Age]]&lt;=50,"Adult","Senior"))</f>
        <v>Adult</v>
      </c>
      <c r="T508" s="1">
        <f>Table1[[#This Row],[Purchase Amount (USD)]]</f>
        <v>40</v>
      </c>
      <c r="U508">
        <f>IF(Table1[[#This Row],[Subscription Status]]="Yes",1,IF(Table1[[#This Row],[Subscription Status]]="No",0))</f>
        <v>1</v>
      </c>
    </row>
    <row r="509" spans="1:21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  <c r="S509" t="str">
        <f>IF(Table1[[#This Row],[Age]]&lt;=25,"Young",IF(Table1[[#This Row],[Age]]&lt;=50,"Adult","Senior"))</f>
        <v>Senior</v>
      </c>
      <c r="T509" s="1">
        <f>Table1[[#This Row],[Purchase Amount (USD)]]</f>
        <v>20</v>
      </c>
      <c r="U509">
        <f>IF(Table1[[#This Row],[Subscription Status]]="Yes",1,IF(Table1[[#This Row],[Subscription Status]]="No",0))</f>
        <v>1</v>
      </c>
    </row>
    <row r="510" spans="1:21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  <c r="S510" t="str">
        <f>IF(Table1[[#This Row],[Age]]&lt;=25,"Young",IF(Table1[[#This Row],[Age]]&lt;=50,"Adult","Senior"))</f>
        <v>Adult</v>
      </c>
      <c r="T510" s="1">
        <f>Table1[[#This Row],[Purchase Amount (USD)]]</f>
        <v>20</v>
      </c>
      <c r="U510">
        <f>IF(Table1[[#This Row],[Subscription Status]]="Yes",1,IF(Table1[[#This Row],[Subscription Status]]="No",0))</f>
        <v>1</v>
      </c>
    </row>
    <row r="511" spans="1:21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  <c r="S511" t="str">
        <f>IF(Table1[[#This Row],[Age]]&lt;=25,"Young",IF(Table1[[#This Row],[Age]]&lt;=50,"Adult","Senior"))</f>
        <v>Adult</v>
      </c>
      <c r="T511" s="1">
        <f>Table1[[#This Row],[Purchase Amount (USD)]]</f>
        <v>80</v>
      </c>
      <c r="U511">
        <f>IF(Table1[[#This Row],[Subscription Status]]="Yes",1,IF(Table1[[#This Row],[Subscription Status]]="No",0))</f>
        <v>1</v>
      </c>
    </row>
    <row r="512" spans="1:21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  <c r="S512" t="str">
        <f>IF(Table1[[#This Row],[Age]]&lt;=25,"Young",IF(Table1[[#This Row],[Age]]&lt;=50,"Adult","Senior"))</f>
        <v>Young</v>
      </c>
      <c r="T512" s="1">
        <f>Table1[[#This Row],[Purchase Amount (USD)]]</f>
        <v>87</v>
      </c>
      <c r="U512">
        <f>IF(Table1[[#This Row],[Subscription Status]]="Yes",1,IF(Table1[[#This Row],[Subscription Status]]="No",0))</f>
        <v>1</v>
      </c>
    </row>
    <row r="513" spans="1:21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  <c r="S513" t="str">
        <f>IF(Table1[[#This Row],[Age]]&lt;=25,"Young",IF(Table1[[#This Row],[Age]]&lt;=50,"Adult","Senior"))</f>
        <v>Senior</v>
      </c>
      <c r="T513" s="1">
        <f>Table1[[#This Row],[Purchase Amount (USD)]]</f>
        <v>46</v>
      </c>
      <c r="U513">
        <f>IF(Table1[[#This Row],[Subscription Status]]="Yes",1,IF(Table1[[#This Row],[Subscription Status]]="No",0))</f>
        <v>1</v>
      </c>
    </row>
    <row r="514" spans="1:21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  <c r="S514" t="str">
        <f>IF(Table1[[#This Row],[Age]]&lt;=25,"Young",IF(Table1[[#This Row],[Age]]&lt;=50,"Adult","Senior"))</f>
        <v>Young</v>
      </c>
      <c r="T514" s="1">
        <f>Table1[[#This Row],[Purchase Amount (USD)]]</f>
        <v>49</v>
      </c>
      <c r="U514">
        <f>IF(Table1[[#This Row],[Subscription Status]]="Yes",1,IF(Table1[[#This Row],[Subscription Status]]="No",0))</f>
        <v>1</v>
      </c>
    </row>
    <row r="515" spans="1:21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  <c r="S515" t="str">
        <f>IF(Table1[[#This Row],[Age]]&lt;=25,"Young",IF(Table1[[#This Row],[Age]]&lt;=50,"Adult","Senior"))</f>
        <v>Young</v>
      </c>
      <c r="T515" s="1">
        <f>Table1[[#This Row],[Purchase Amount (USD)]]</f>
        <v>65</v>
      </c>
      <c r="U515">
        <f>IF(Table1[[#This Row],[Subscription Status]]="Yes",1,IF(Table1[[#This Row],[Subscription Status]]="No",0))</f>
        <v>1</v>
      </c>
    </row>
    <row r="516" spans="1:21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  <c r="S516" t="str">
        <f>IF(Table1[[#This Row],[Age]]&lt;=25,"Young",IF(Table1[[#This Row],[Age]]&lt;=50,"Adult","Senior"))</f>
        <v>Senior</v>
      </c>
      <c r="T516" s="1">
        <f>Table1[[#This Row],[Purchase Amount (USD)]]</f>
        <v>62</v>
      </c>
      <c r="U516">
        <f>IF(Table1[[#This Row],[Subscription Status]]="Yes",1,IF(Table1[[#This Row],[Subscription Status]]="No",0))</f>
        <v>1</v>
      </c>
    </row>
    <row r="517" spans="1:21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  <c r="S517" t="str">
        <f>IF(Table1[[#This Row],[Age]]&lt;=25,"Young",IF(Table1[[#This Row],[Age]]&lt;=50,"Adult","Senior"))</f>
        <v>Adult</v>
      </c>
      <c r="T517" s="1">
        <f>Table1[[#This Row],[Purchase Amount (USD)]]</f>
        <v>67</v>
      </c>
      <c r="U517">
        <f>IF(Table1[[#This Row],[Subscription Status]]="Yes",1,IF(Table1[[#This Row],[Subscription Status]]="No",0))</f>
        <v>1</v>
      </c>
    </row>
    <row r="518" spans="1:21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  <c r="S518" t="str">
        <f>IF(Table1[[#This Row],[Age]]&lt;=25,"Young",IF(Table1[[#This Row],[Age]]&lt;=50,"Adult","Senior"))</f>
        <v>Adult</v>
      </c>
      <c r="T518" s="1">
        <f>Table1[[#This Row],[Purchase Amount (USD)]]</f>
        <v>41</v>
      </c>
      <c r="U518">
        <f>IF(Table1[[#This Row],[Subscription Status]]="Yes",1,IF(Table1[[#This Row],[Subscription Status]]="No",0))</f>
        <v>1</v>
      </c>
    </row>
    <row r="519" spans="1:21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  <c r="S519" t="str">
        <f>IF(Table1[[#This Row],[Age]]&lt;=25,"Young",IF(Table1[[#This Row],[Age]]&lt;=50,"Adult","Senior"))</f>
        <v>Senior</v>
      </c>
      <c r="T519" s="1">
        <f>Table1[[#This Row],[Purchase Amount (USD)]]</f>
        <v>49</v>
      </c>
      <c r="U519">
        <f>IF(Table1[[#This Row],[Subscription Status]]="Yes",1,IF(Table1[[#This Row],[Subscription Status]]="No",0))</f>
        <v>1</v>
      </c>
    </row>
    <row r="520" spans="1:21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  <c r="S520" t="str">
        <f>IF(Table1[[#This Row],[Age]]&lt;=25,"Young",IF(Table1[[#This Row],[Age]]&lt;=50,"Adult","Senior"))</f>
        <v>Young</v>
      </c>
      <c r="T520" s="1">
        <f>Table1[[#This Row],[Purchase Amount (USD)]]</f>
        <v>100</v>
      </c>
      <c r="U520">
        <f>IF(Table1[[#This Row],[Subscription Status]]="Yes",1,IF(Table1[[#This Row],[Subscription Status]]="No",0))</f>
        <v>1</v>
      </c>
    </row>
    <row r="521" spans="1:21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  <c r="S521" t="str">
        <f>IF(Table1[[#This Row],[Age]]&lt;=25,"Young",IF(Table1[[#This Row],[Age]]&lt;=50,"Adult","Senior"))</f>
        <v>Young</v>
      </c>
      <c r="T521" s="1">
        <f>Table1[[#This Row],[Purchase Amount (USD)]]</f>
        <v>54</v>
      </c>
      <c r="U521">
        <f>IF(Table1[[#This Row],[Subscription Status]]="Yes",1,IF(Table1[[#This Row],[Subscription Status]]="No",0))</f>
        <v>1</v>
      </c>
    </row>
    <row r="522" spans="1:21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  <c r="S522" t="str">
        <f>IF(Table1[[#This Row],[Age]]&lt;=25,"Young",IF(Table1[[#This Row],[Age]]&lt;=50,"Adult","Senior"))</f>
        <v>Senior</v>
      </c>
      <c r="T522" s="1">
        <f>Table1[[#This Row],[Purchase Amount (USD)]]</f>
        <v>84</v>
      </c>
      <c r="U522">
        <f>IF(Table1[[#This Row],[Subscription Status]]="Yes",1,IF(Table1[[#This Row],[Subscription Status]]="No",0))</f>
        <v>1</v>
      </c>
    </row>
    <row r="523" spans="1:21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  <c r="S523" t="str">
        <f>IF(Table1[[#This Row],[Age]]&lt;=25,"Young",IF(Table1[[#This Row],[Age]]&lt;=50,"Adult","Senior"))</f>
        <v>Adult</v>
      </c>
      <c r="T523" s="1">
        <f>Table1[[#This Row],[Purchase Amount (USD)]]</f>
        <v>41</v>
      </c>
      <c r="U523">
        <f>IF(Table1[[#This Row],[Subscription Status]]="Yes",1,IF(Table1[[#This Row],[Subscription Status]]="No",0))</f>
        <v>1</v>
      </c>
    </row>
    <row r="524" spans="1:21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  <c r="S524" t="str">
        <f>IF(Table1[[#This Row],[Age]]&lt;=25,"Young",IF(Table1[[#This Row],[Age]]&lt;=50,"Adult","Senior"))</f>
        <v>Senior</v>
      </c>
      <c r="T524" s="1">
        <f>Table1[[#This Row],[Purchase Amount (USD)]]</f>
        <v>88</v>
      </c>
      <c r="U524">
        <f>IF(Table1[[#This Row],[Subscription Status]]="Yes",1,IF(Table1[[#This Row],[Subscription Status]]="No",0))</f>
        <v>1</v>
      </c>
    </row>
    <row r="525" spans="1:21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  <c r="S525" t="str">
        <f>IF(Table1[[#This Row],[Age]]&lt;=25,"Young",IF(Table1[[#This Row],[Age]]&lt;=50,"Adult","Senior"))</f>
        <v>Adult</v>
      </c>
      <c r="T525" s="1">
        <f>Table1[[#This Row],[Purchase Amount (USD)]]</f>
        <v>40</v>
      </c>
      <c r="U525">
        <f>IF(Table1[[#This Row],[Subscription Status]]="Yes",1,IF(Table1[[#This Row],[Subscription Status]]="No",0))</f>
        <v>1</v>
      </c>
    </row>
    <row r="526" spans="1:21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  <c r="S526" t="str">
        <f>IF(Table1[[#This Row],[Age]]&lt;=25,"Young",IF(Table1[[#This Row],[Age]]&lt;=50,"Adult","Senior"))</f>
        <v>Senior</v>
      </c>
      <c r="T526" s="1">
        <f>Table1[[#This Row],[Purchase Amount (USD)]]</f>
        <v>39</v>
      </c>
      <c r="U526">
        <f>IF(Table1[[#This Row],[Subscription Status]]="Yes",1,IF(Table1[[#This Row],[Subscription Status]]="No",0))</f>
        <v>1</v>
      </c>
    </row>
    <row r="527" spans="1:21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  <c r="S527" t="str">
        <f>IF(Table1[[#This Row],[Age]]&lt;=25,"Young",IF(Table1[[#This Row],[Age]]&lt;=50,"Adult","Senior"))</f>
        <v>Senior</v>
      </c>
      <c r="T527" s="1">
        <f>Table1[[#This Row],[Purchase Amount (USD)]]</f>
        <v>37</v>
      </c>
      <c r="U527">
        <f>IF(Table1[[#This Row],[Subscription Status]]="Yes",1,IF(Table1[[#This Row],[Subscription Status]]="No",0))</f>
        <v>1</v>
      </c>
    </row>
    <row r="528" spans="1:21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  <c r="S528" t="str">
        <f>IF(Table1[[#This Row],[Age]]&lt;=25,"Young",IF(Table1[[#This Row],[Age]]&lt;=50,"Adult","Senior"))</f>
        <v>Senior</v>
      </c>
      <c r="T528" s="1">
        <f>Table1[[#This Row],[Purchase Amount (USD)]]</f>
        <v>52</v>
      </c>
      <c r="U528">
        <f>IF(Table1[[#This Row],[Subscription Status]]="Yes",1,IF(Table1[[#This Row],[Subscription Status]]="No",0))</f>
        <v>1</v>
      </c>
    </row>
    <row r="529" spans="1:21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  <c r="S529" t="str">
        <f>IF(Table1[[#This Row],[Age]]&lt;=25,"Young",IF(Table1[[#This Row],[Age]]&lt;=50,"Adult","Senior"))</f>
        <v>Young</v>
      </c>
      <c r="T529" s="1">
        <f>Table1[[#This Row],[Purchase Amount (USD)]]</f>
        <v>23</v>
      </c>
      <c r="U529">
        <f>IF(Table1[[#This Row],[Subscription Status]]="Yes",1,IF(Table1[[#This Row],[Subscription Status]]="No",0))</f>
        <v>1</v>
      </c>
    </row>
    <row r="530" spans="1:21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  <c r="S530" t="str">
        <f>IF(Table1[[#This Row],[Age]]&lt;=25,"Young",IF(Table1[[#This Row],[Age]]&lt;=50,"Adult","Senior"))</f>
        <v>Adult</v>
      </c>
      <c r="T530" s="1">
        <f>Table1[[#This Row],[Purchase Amount (USD)]]</f>
        <v>88</v>
      </c>
      <c r="U530">
        <f>IF(Table1[[#This Row],[Subscription Status]]="Yes",1,IF(Table1[[#This Row],[Subscription Status]]="No",0))</f>
        <v>1</v>
      </c>
    </row>
    <row r="531" spans="1:21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  <c r="S531" t="str">
        <f>IF(Table1[[#This Row],[Age]]&lt;=25,"Young",IF(Table1[[#This Row],[Age]]&lt;=50,"Adult","Senior"))</f>
        <v>Adult</v>
      </c>
      <c r="T531" s="1">
        <f>Table1[[#This Row],[Purchase Amount (USD)]]</f>
        <v>84</v>
      </c>
      <c r="U531">
        <f>IF(Table1[[#This Row],[Subscription Status]]="Yes",1,IF(Table1[[#This Row],[Subscription Status]]="No",0))</f>
        <v>1</v>
      </c>
    </row>
    <row r="532" spans="1:21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  <c r="S532" t="str">
        <f>IF(Table1[[#This Row],[Age]]&lt;=25,"Young",IF(Table1[[#This Row],[Age]]&lt;=50,"Adult","Senior"))</f>
        <v>Adult</v>
      </c>
      <c r="T532" s="1">
        <f>Table1[[#This Row],[Purchase Amount (USD)]]</f>
        <v>37</v>
      </c>
      <c r="U532">
        <f>IF(Table1[[#This Row],[Subscription Status]]="Yes",1,IF(Table1[[#This Row],[Subscription Status]]="No",0))</f>
        <v>1</v>
      </c>
    </row>
    <row r="533" spans="1:21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  <c r="S533" t="str">
        <f>IF(Table1[[#This Row],[Age]]&lt;=25,"Young",IF(Table1[[#This Row],[Age]]&lt;=50,"Adult","Senior"))</f>
        <v>Adult</v>
      </c>
      <c r="T533" s="1">
        <f>Table1[[#This Row],[Purchase Amount (USD)]]</f>
        <v>51</v>
      </c>
      <c r="U533">
        <f>IF(Table1[[#This Row],[Subscription Status]]="Yes",1,IF(Table1[[#This Row],[Subscription Status]]="No",0))</f>
        <v>1</v>
      </c>
    </row>
    <row r="534" spans="1:21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  <c r="S534" t="str">
        <f>IF(Table1[[#This Row],[Age]]&lt;=25,"Young",IF(Table1[[#This Row],[Age]]&lt;=50,"Adult","Senior"))</f>
        <v>Adult</v>
      </c>
      <c r="T534" s="1">
        <f>Table1[[#This Row],[Purchase Amount (USD)]]</f>
        <v>76</v>
      </c>
      <c r="U534">
        <f>IF(Table1[[#This Row],[Subscription Status]]="Yes",1,IF(Table1[[#This Row],[Subscription Status]]="No",0))</f>
        <v>1</v>
      </c>
    </row>
    <row r="535" spans="1:21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  <c r="S535" t="str">
        <f>IF(Table1[[#This Row],[Age]]&lt;=25,"Young",IF(Table1[[#This Row],[Age]]&lt;=50,"Adult","Senior"))</f>
        <v>Senior</v>
      </c>
      <c r="T535" s="1">
        <f>Table1[[#This Row],[Purchase Amount (USD)]]</f>
        <v>60</v>
      </c>
      <c r="U535">
        <f>IF(Table1[[#This Row],[Subscription Status]]="Yes",1,IF(Table1[[#This Row],[Subscription Status]]="No",0))</f>
        <v>1</v>
      </c>
    </row>
    <row r="536" spans="1:21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  <c r="S536" t="str">
        <f>IF(Table1[[#This Row],[Age]]&lt;=25,"Young",IF(Table1[[#This Row],[Age]]&lt;=50,"Adult","Senior"))</f>
        <v>Senior</v>
      </c>
      <c r="T536" s="1">
        <f>Table1[[#This Row],[Purchase Amount (USD)]]</f>
        <v>72</v>
      </c>
      <c r="U536">
        <f>IF(Table1[[#This Row],[Subscription Status]]="Yes",1,IF(Table1[[#This Row],[Subscription Status]]="No",0))</f>
        <v>1</v>
      </c>
    </row>
    <row r="537" spans="1:21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  <c r="S537" t="str">
        <f>IF(Table1[[#This Row],[Age]]&lt;=25,"Young",IF(Table1[[#This Row],[Age]]&lt;=50,"Adult","Senior"))</f>
        <v>Senior</v>
      </c>
      <c r="T537" s="1">
        <f>Table1[[#This Row],[Purchase Amount (USD)]]</f>
        <v>45</v>
      </c>
      <c r="U537">
        <f>IF(Table1[[#This Row],[Subscription Status]]="Yes",1,IF(Table1[[#This Row],[Subscription Status]]="No",0))</f>
        <v>1</v>
      </c>
    </row>
    <row r="538" spans="1:21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  <c r="S538" t="str">
        <f>IF(Table1[[#This Row],[Age]]&lt;=25,"Young",IF(Table1[[#This Row],[Age]]&lt;=50,"Adult","Senior"))</f>
        <v>Adult</v>
      </c>
      <c r="T538" s="1">
        <f>Table1[[#This Row],[Purchase Amount (USD)]]</f>
        <v>84</v>
      </c>
      <c r="U538">
        <f>IF(Table1[[#This Row],[Subscription Status]]="Yes",1,IF(Table1[[#This Row],[Subscription Status]]="No",0))</f>
        <v>1</v>
      </c>
    </row>
    <row r="539" spans="1:21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  <c r="S539" t="str">
        <f>IF(Table1[[#This Row],[Age]]&lt;=25,"Young",IF(Table1[[#This Row],[Age]]&lt;=50,"Adult","Senior"))</f>
        <v>Adult</v>
      </c>
      <c r="T539" s="1">
        <f>Table1[[#This Row],[Purchase Amount (USD)]]</f>
        <v>49</v>
      </c>
      <c r="U539">
        <f>IF(Table1[[#This Row],[Subscription Status]]="Yes",1,IF(Table1[[#This Row],[Subscription Status]]="No",0))</f>
        <v>1</v>
      </c>
    </row>
    <row r="540" spans="1:21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  <c r="S540" t="str">
        <f>IF(Table1[[#This Row],[Age]]&lt;=25,"Young",IF(Table1[[#This Row],[Age]]&lt;=50,"Adult","Senior"))</f>
        <v>Adult</v>
      </c>
      <c r="T540" s="1">
        <f>Table1[[#This Row],[Purchase Amount (USD)]]</f>
        <v>22</v>
      </c>
      <c r="U540">
        <f>IF(Table1[[#This Row],[Subscription Status]]="Yes",1,IF(Table1[[#This Row],[Subscription Status]]="No",0))</f>
        <v>1</v>
      </c>
    </row>
    <row r="541" spans="1:21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  <c r="S541" t="str">
        <f>IF(Table1[[#This Row],[Age]]&lt;=25,"Young",IF(Table1[[#This Row],[Age]]&lt;=50,"Adult","Senior"))</f>
        <v>Adult</v>
      </c>
      <c r="T541" s="1">
        <f>Table1[[#This Row],[Purchase Amount (USD)]]</f>
        <v>48</v>
      </c>
      <c r="U541">
        <f>IF(Table1[[#This Row],[Subscription Status]]="Yes",1,IF(Table1[[#This Row],[Subscription Status]]="No",0))</f>
        <v>1</v>
      </c>
    </row>
    <row r="542" spans="1:21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  <c r="S542" t="str">
        <f>IF(Table1[[#This Row],[Age]]&lt;=25,"Young",IF(Table1[[#This Row],[Age]]&lt;=50,"Adult","Senior"))</f>
        <v>Adult</v>
      </c>
      <c r="T542" s="1">
        <f>Table1[[#This Row],[Purchase Amount (USD)]]</f>
        <v>37</v>
      </c>
      <c r="U542">
        <f>IF(Table1[[#This Row],[Subscription Status]]="Yes",1,IF(Table1[[#This Row],[Subscription Status]]="No",0))</f>
        <v>1</v>
      </c>
    </row>
    <row r="543" spans="1:21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  <c r="S543" t="str">
        <f>IF(Table1[[#This Row],[Age]]&lt;=25,"Young",IF(Table1[[#This Row],[Age]]&lt;=50,"Adult","Senior"))</f>
        <v>Senior</v>
      </c>
      <c r="T543" s="1">
        <f>Table1[[#This Row],[Purchase Amount (USD)]]</f>
        <v>27</v>
      </c>
      <c r="U543">
        <f>IF(Table1[[#This Row],[Subscription Status]]="Yes",1,IF(Table1[[#This Row],[Subscription Status]]="No",0))</f>
        <v>1</v>
      </c>
    </row>
    <row r="544" spans="1:21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  <c r="S544" t="str">
        <f>IF(Table1[[#This Row],[Age]]&lt;=25,"Young",IF(Table1[[#This Row],[Age]]&lt;=50,"Adult","Senior"))</f>
        <v>Adult</v>
      </c>
      <c r="T544" s="1">
        <f>Table1[[#This Row],[Purchase Amount (USD)]]</f>
        <v>79</v>
      </c>
      <c r="U544">
        <f>IF(Table1[[#This Row],[Subscription Status]]="Yes",1,IF(Table1[[#This Row],[Subscription Status]]="No",0))</f>
        <v>1</v>
      </c>
    </row>
    <row r="545" spans="1:21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  <c r="S545" t="str">
        <f>IF(Table1[[#This Row],[Age]]&lt;=25,"Young",IF(Table1[[#This Row],[Age]]&lt;=50,"Adult","Senior"))</f>
        <v>Senior</v>
      </c>
      <c r="T545" s="1">
        <f>Table1[[#This Row],[Purchase Amount (USD)]]</f>
        <v>98</v>
      </c>
      <c r="U545">
        <f>IF(Table1[[#This Row],[Subscription Status]]="Yes",1,IF(Table1[[#This Row],[Subscription Status]]="No",0))</f>
        <v>1</v>
      </c>
    </row>
    <row r="546" spans="1:21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  <c r="S546" t="str">
        <f>IF(Table1[[#This Row],[Age]]&lt;=25,"Young",IF(Table1[[#This Row],[Age]]&lt;=50,"Adult","Senior"))</f>
        <v>Adult</v>
      </c>
      <c r="T546" s="1">
        <f>Table1[[#This Row],[Purchase Amount (USD)]]</f>
        <v>64</v>
      </c>
      <c r="U546">
        <f>IF(Table1[[#This Row],[Subscription Status]]="Yes",1,IF(Table1[[#This Row],[Subscription Status]]="No",0))</f>
        <v>1</v>
      </c>
    </row>
    <row r="547" spans="1:21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  <c r="S547" t="str">
        <f>IF(Table1[[#This Row],[Age]]&lt;=25,"Young",IF(Table1[[#This Row],[Age]]&lt;=50,"Adult","Senior"))</f>
        <v>Adult</v>
      </c>
      <c r="T547" s="1">
        <f>Table1[[#This Row],[Purchase Amount (USD)]]</f>
        <v>32</v>
      </c>
      <c r="U547">
        <f>IF(Table1[[#This Row],[Subscription Status]]="Yes",1,IF(Table1[[#This Row],[Subscription Status]]="No",0))</f>
        <v>1</v>
      </c>
    </row>
    <row r="548" spans="1:21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  <c r="S548" t="str">
        <f>IF(Table1[[#This Row],[Age]]&lt;=25,"Young",IF(Table1[[#This Row],[Age]]&lt;=50,"Adult","Senior"))</f>
        <v>Senior</v>
      </c>
      <c r="T548" s="1">
        <f>Table1[[#This Row],[Purchase Amount (USD)]]</f>
        <v>74</v>
      </c>
      <c r="U548">
        <f>IF(Table1[[#This Row],[Subscription Status]]="Yes",1,IF(Table1[[#This Row],[Subscription Status]]="No",0))</f>
        <v>1</v>
      </c>
    </row>
    <row r="549" spans="1:21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  <c r="S549" t="str">
        <f>IF(Table1[[#This Row],[Age]]&lt;=25,"Young",IF(Table1[[#This Row],[Age]]&lt;=50,"Adult","Senior"))</f>
        <v>Adult</v>
      </c>
      <c r="T549" s="1">
        <f>Table1[[#This Row],[Purchase Amount (USD)]]</f>
        <v>50</v>
      </c>
      <c r="U549">
        <f>IF(Table1[[#This Row],[Subscription Status]]="Yes",1,IF(Table1[[#This Row],[Subscription Status]]="No",0))</f>
        <v>1</v>
      </c>
    </row>
    <row r="550" spans="1:21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  <c r="S550" t="str">
        <f>IF(Table1[[#This Row],[Age]]&lt;=25,"Young",IF(Table1[[#This Row],[Age]]&lt;=50,"Adult","Senior"))</f>
        <v>Adult</v>
      </c>
      <c r="T550" s="1">
        <f>Table1[[#This Row],[Purchase Amount (USD)]]</f>
        <v>64</v>
      </c>
      <c r="U550">
        <f>IF(Table1[[#This Row],[Subscription Status]]="Yes",1,IF(Table1[[#This Row],[Subscription Status]]="No",0))</f>
        <v>1</v>
      </c>
    </row>
    <row r="551" spans="1:21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  <c r="S551" t="str">
        <f>IF(Table1[[#This Row],[Age]]&lt;=25,"Young",IF(Table1[[#This Row],[Age]]&lt;=50,"Adult","Senior"))</f>
        <v>Adult</v>
      </c>
      <c r="T551" s="1">
        <f>Table1[[#This Row],[Purchase Amount (USD)]]</f>
        <v>29</v>
      </c>
      <c r="U551">
        <f>IF(Table1[[#This Row],[Subscription Status]]="Yes",1,IF(Table1[[#This Row],[Subscription Status]]="No",0))</f>
        <v>1</v>
      </c>
    </row>
    <row r="552" spans="1:21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  <c r="S552" t="str">
        <f>IF(Table1[[#This Row],[Age]]&lt;=25,"Young",IF(Table1[[#This Row],[Age]]&lt;=50,"Adult","Senior"))</f>
        <v>Senior</v>
      </c>
      <c r="T552" s="1">
        <f>Table1[[#This Row],[Purchase Amount (USD)]]</f>
        <v>62</v>
      </c>
      <c r="U552">
        <f>IF(Table1[[#This Row],[Subscription Status]]="Yes",1,IF(Table1[[#This Row],[Subscription Status]]="No",0))</f>
        <v>1</v>
      </c>
    </row>
    <row r="553" spans="1:21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  <c r="S553" t="str">
        <f>IF(Table1[[#This Row],[Age]]&lt;=25,"Young",IF(Table1[[#This Row],[Age]]&lt;=50,"Adult","Senior"))</f>
        <v>Adult</v>
      </c>
      <c r="T553" s="1">
        <f>Table1[[#This Row],[Purchase Amount (USD)]]</f>
        <v>78</v>
      </c>
      <c r="U553">
        <f>IF(Table1[[#This Row],[Subscription Status]]="Yes",1,IF(Table1[[#This Row],[Subscription Status]]="No",0))</f>
        <v>1</v>
      </c>
    </row>
    <row r="554" spans="1:21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  <c r="S554" t="str">
        <f>IF(Table1[[#This Row],[Age]]&lt;=25,"Young",IF(Table1[[#This Row],[Age]]&lt;=50,"Adult","Senior"))</f>
        <v>Young</v>
      </c>
      <c r="T554" s="1">
        <f>Table1[[#This Row],[Purchase Amount (USD)]]</f>
        <v>94</v>
      </c>
      <c r="U554">
        <f>IF(Table1[[#This Row],[Subscription Status]]="Yes",1,IF(Table1[[#This Row],[Subscription Status]]="No",0))</f>
        <v>1</v>
      </c>
    </row>
    <row r="555" spans="1:21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  <c r="S555" t="str">
        <f>IF(Table1[[#This Row],[Age]]&lt;=25,"Young",IF(Table1[[#This Row],[Age]]&lt;=50,"Adult","Senior"))</f>
        <v>Senior</v>
      </c>
      <c r="T555" s="1">
        <f>Table1[[#This Row],[Purchase Amount (USD)]]</f>
        <v>59</v>
      </c>
      <c r="U555">
        <f>IF(Table1[[#This Row],[Subscription Status]]="Yes",1,IF(Table1[[#This Row],[Subscription Status]]="No",0))</f>
        <v>1</v>
      </c>
    </row>
    <row r="556" spans="1:21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  <c r="S556" t="str">
        <f>IF(Table1[[#This Row],[Age]]&lt;=25,"Young",IF(Table1[[#This Row],[Age]]&lt;=50,"Adult","Senior"))</f>
        <v>Senior</v>
      </c>
      <c r="T556" s="1">
        <f>Table1[[#This Row],[Purchase Amount (USD)]]</f>
        <v>47</v>
      </c>
      <c r="U556">
        <f>IF(Table1[[#This Row],[Subscription Status]]="Yes",1,IF(Table1[[#This Row],[Subscription Status]]="No",0))</f>
        <v>1</v>
      </c>
    </row>
    <row r="557" spans="1:21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  <c r="S557" t="str">
        <f>IF(Table1[[#This Row],[Age]]&lt;=25,"Young",IF(Table1[[#This Row],[Age]]&lt;=50,"Adult","Senior"))</f>
        <v>Senior</v>
      </c>
      <c r="T557" s="1">
        <f>Table1[[#This Row],[Purchase Amount (USD)]]</f>
        <v>57</v>
      </c>
      <c r="U557">
        <f>IF(Table1[[#This Row],[Subscription Status]]="Yes",1,IF(Table1[[#This Row],[Subscription Status]]="No",0))</f>
        <v>1</v>
      </c>
    </row>
    <row r="558" spans="1:21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  <c r="S558" t="str">
        <f>IF(Table1[[#This Row],[Age]]&lt;=25,"Young",IF(Table1[[#This Row],[Age]]&lt;=50,"Adult","Senior"))</f>
        <v>Adult</v>
      </c>
      <c r="T558" s="1">
        <f>Table1[[#This Row],[Purchase Amount (USD)]]</f>
        <v>90</v>
      </c>
      <c r="U558">
        <f>IF(Table1[[#This Row],[Subscription Status]]="Yes",1,IF(Table1[[#This Row],[Subscription Status]]="No",0))</f>
        <v>1</v>
      </c>
    </row>
    <row r="559" spans="1:21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  <c r="S559" t="str">
        <f>IF(Table1[[#This Row],[Age]]&lt;=25,"Young",IF(Table1[[#This Row],[Age]]&lt;=50,"Adult","Senior"))</f>
        <v>Young</v>
      </c>
      <c r="T559" s="1">
        <f>Table1[[#This Row],[Purchase Amount (USD)]]</f>
        <v>60</v>
      </c>
      <c r="U559">
        <f>IF(Table1[[#This Row],[Subscription Status]]="Yes",1,IF(Table1[[#This Row],[Subscription Status]]="No",0))</f>
        <v>1</v>
      </c>
    </row>
    <row r="560" spans="1:21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  <c r="S560" t="str">
        <f>IF(Table1[[#This Row],[Age]]&lt;=25,"Young",IF(Table1[[#This Row],[Age]]&lt;=50,"Adult","Senior"))</f>
        <v>Adult</v>
      </c>
      <c r="T560" s="1">
        <f>Table1[[#This Row],[Purchase Amount (USD)]]</f>
        <v>77</v>
      </c>
      <c r="U560">
        <f>IF(Table1[[#This Row],[Subscription Status]]="Yes",1,IF(Table1[[#This Row],[Subscription Status]]="No",0))</f>
        <v>1</v>
      </c>
    </row>
    <row r="561" spans="1:21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  <c r="S561" t="str">
        <f>IF(Table1[[#This Row],[Age]]&lt;=25,"Young",IF(Table1[[#This Row],[Age]]&lt;=50,"Adult","Senior"))</f>
        <v>Senior</v>
      </c>
      <c r="T561" s="1">
        <f>Table1[[#This Row],[Purchase Amount (USD)]]</f>
        <v>41</v>
      </c>
      <c r="U561">
        <f>IF(Table1[[#This Row],[Subscription Status]]="Yes",1,IF(Table1[[#This Row],[Subscription Status]]="No",0))</f>
        <v>1</v>
      </c>
    </row>
    <row r="562" spans="1:21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  <c r="S562" t="str">
        <f>IF(Table1[[#This Row],[Age]]&lt;=25,"Young",IF(Table1[[#This Row],[Age]]&lt;=50,"Adult","Senior"))</f>
        <v>Young</v>
      </c>
      <c r="T562" s="1">
        <f>Table1[[#This Row],[Purchase Amount (USD)]]</f>
        <v>48</v>
      </c>
      <c r="U562">
        <f>IF(Table1[[#This Row],[Subscription Status]]="Yes",1,IF(Table1[[#This Row],[Subscription Status]]="No",0))</f>
        <v>1</v>
      </c>
    </row>
    <row r="563" spans="1:21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  <c r="S563" t="str">
        <f>IF(Table1[[#This Row],[Age]]&lt;=25,"Young",IF(Table1[[#This Row],[Age]]&lt;=50,"Adult","Senior"))</f>
        <v>Senior</v>
      </c>
      <c r="T563" s="1">
        <f>Table1[[#This Row],[Purchase Amount (USD)]]</f>
        <v>65</v>
      </c>
      <c r="U563">
        <f>IF(Table1[[#This Row],[Subscription Status]]="Yes",1,IF(Table1[[#This Row],[Subscription Status]]="No",0))</f>
        <v>1</v>
      </c>
    </row>
    <row r="564" spans="1:21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  <c r="S564" t="str">
        <f>IF(Table1[[#This Row],[Age]]&lt;=25,"Young",IF(Table1[[#This Row],[Age]]&lt;=50,"Adult","Senior"))</f>
        <v>Senior</v>
      </c>
      <c r="T564" s="1">
        <f>Table1[[#This Row],[Purchase Amount (USD)]]</f>
        <v>62</v>
      </c>
      <c r="U564">
        <f>IF(Table1[[#This Row],[Subscription Status]]="Yes",1,IF(Table1[[#This Row],[Subscription Status]]="No",0))</f>
        <v>1</v>
      </c>
    </row>
    <row r="565" spans="1:21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  <c r="S565" t="str">
        <f>IF(Table1[[#This Row],[Age]]&lt;=25,"Young",IF(Table1[[#This Row],[Age]]&lt;=50,"Adult","Senior"))</f>
        <v>Senior</v>
      </c>
      <c r="T565" s="1">
        <f>Table1[[#This Row],[Purchase Amount (USD)]]</f>
        <v>99</v>
      </c>
      <c r="U565">
        <f>IF(Table1[[#This Row],[Subscription Status]]="Yes",1,IF(Table1[[#This Row],[Subscription Status]]="No",0))</f>
        <v>1</v>
      </c>
    </row>
    <row r="566" spans="1:21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  <c r="S566" t="str">
        <f>IF(Table1[[#This Row],[Age]]&lt;=25,"Young",IF(Table1[[#This Row],[Age]]&lt;=50,"Adult","Senior"))</f>
        <v>Senior</v>
      </c>
      <c r="T566" s="1">
        <f>Table1[[#This Row],[Purchase Amount (USD)]]</f>
        <v>58</v>
      </c>
      <c r="U566">
        <f>IF(Table1[[#This Row],[Subscription Status]]="Yes",1,IF(Table1[[#This Row],[Subscription Status]]="No",0))</f>
        <v>1</v>
      </c>
    </row>
    <row r="567" spans="1:21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  <c r="S567" t="str">
        <f>IF(Table1[[#This Row],[Age]]&lt;=25,"Young",IF(Table1[[#This Row],[Age]]&lt;=50,"Adult","Senior"))</f>
        <v>Senior</v>
      </c>
      <c r="T567" s="1">
        <f>Table1[[#This Row],[Purchase Amount (USD)]]</f>
        <v>43</v>
      </c>
      <c r="U567">
        <f>IF(Table1[[#This Row],[Subscription Status]]="Yes",1,IF(Table1[[#This Row],[Subscription Status]]="No",0))</f>
        <v>1</v>
      </c>
    </row>
    <row r="568" spans="1:21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  <c r="S568" t="str">
        <f>IF(Table1[[#This Row],[Age]]&lt;=25,"Young",IF(Table1[[#This Row],[Age]]&lt;=50,"Adult","Senior"))</f>
        <v>Senior</v>
      </c>
      <c r="T568" s="1">
        <f>Table1[[#This Row],[Purchase Amount (USD)]]</f>
        <v>93</v>
      </c>
      <c r="U568">
        <f>IF(Table1[[#This Row],[Subscription Status]]="Yes",1,IF(Table1[[#This Row],[Subscription Status]]="No",0))</f>
        <v>1</v>
      </c>
    </row>
    <row r="569" spans="1:21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  <c r="S569" t="str">
        <f>IF(Table1[[#This Row],[Age]]&lt;=25,"Young",IF(Table1[[#This Row],[Age]]&lt;=50,"Adult","Senior"))</f>
        <v>Young</v>
      </c>
      <c r="T569" s="1">
        <f>Table1[[#This Row],[Purchase Amount (USD)]]</f>
        <v>50</v>
      </c>
      <c r="U569">
        <f>IF(Table1[[#This Row],[Subscription Status]]="Yes",1,IF(Table1[[#This Row],[Subscription Status]]="No",0))</f>
        <v>1</v>
      </c>
    </row>
    <row r="570" spans="1:21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  <c r="S570" t="str">
        <f>IF(Table1[[#This Row],[Age]]&lt;=25,"Young",IF(Table1[[#This Row],[Age]]&lt;=50,"Adult","Senior"))</f>
        <v>Adult</v>
      </c>
      <c r="T570" s="1">
        <f>Table1[[#This Row],[Purchase Amount (USD)]]</f>
        <v>88</v>
      </c>
      <c r="U570">
        <f>IF(Table1[[#This Row],[Subscription Status]]="Yes",1,IF(Table1[[#This Row],[Subscription Status]]="No",0))</f>
        <v>1</v>
      </c>
    </row>
    <row r="571" spans="1:21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  <c r="S571" t="str">
        <f>IF(Table1[[#This Row],[Age]]&lt;=25,"Young",IF(Table1[[#This Row],[Age]]&lt;=50,"Adult","Senior"))</f>
        <v>Senior</v>
      </c>
      <c r="T571" s="1">
        <f>Table1[[#This Row],[Purchase Amount (USD)]]</f>
        <v>33</v>
      </c>
      <c r="U571">
        <f>IF(Table1[[#This Row],[Subscription Status]]="Yes",1,IF(Table1[[#This Row],[Subscription Status]]="No",0))</f>
        <v>1</v>
      </c>
    </row>
    <row r="572" spans="1:21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  <c r="S572" t="str">
        <f>IF(Table1[[#This Row],[Age]]&lt;=25,"Young",IF(Table1[[#This Row],[Age]]&lt;=50,"Adult","Senior"))</f>
        <v>Senior</v>
      </c>
      <c r="T572" s="1">
        <f>Table1[[#This Row],[Purchase Amount (USD)]]</f>
        <v>99</v>
      </c>
      <c r="U572">
        <f>IF(Table1[[#This Row],[Subscription Status]]="Yes",1,IF(Table1[[#This Row],[Subscription Status]]="No",0))</f>
        <v>1</v>
      </c>
    </row>
    <row r="573" spans="1:21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  <c r="S573" t="str">
        <f>IF(Table1[[#This Row],[Age]]&lt;=25,"Young",IF(Table1[[#This Row],[Age]]&lt;=50,"Adult","Senior"))</f>
        <v>Senior</v>
      </c>
      <c r="T573" s="1">
        <f>Table1[[#This Row],[Purchase Amount (USD)]]</f>
        <v>76</v>
      </c>
      <c r="U573">
        <f>IF(Table1[[#This Row],[Subscription Status]]="Yes",1,IF(Table1[[#This Row],[Subscription Status]]="No",0))</f>
        <v>1</v>
      </c>
    </row>
    <row r="574" spans="1:21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  <c r="S574" t="str">
        <f>IF(Table1[[#This Row],[Age]]&lt;=25,"Young",IF(Table1[[#This Row],[Age]]&lt;=50,"Adult","Senior"))</f>
        <v>Senior</v>
      </c>
      <c r="T574" s="1">
        <f>Table1[[#This Row],[Purchase Amount (USD)]]</f>
        <v>97</v>
      </c>
      <c r="U574">
        <f>IF(Table1[[#This Row],[Subscription Status]]="Yes",1,IF(Table1[[#This Row],[Subscription Status]]="No",0))</f>
        <v>1</v>
      </c>
    </row>
    <row r="575" spans="1:21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  <c r="S575" t="str">
        <f>IF(Table1[[#This Row],[Age]]&lt;=25,"Young",IF(Table1[[#This Row],[Age]]&lt;=50,"Adult","Senior"))</f>
        <v>Senior</v>
      </c>
      <c r="T575" s="1">
        <f>Table1[[#This Row],[Purchase Amount (USD)]]</f>
        <v>68</v>
      </c>
      <c r="U575">
        <f>IF(Table1[[#This Row],[Subscription Status]]="Yes",1,IF(Table1[[#This Row],[Subscription Status]]="No",0))</f>
        <v>1</v>
      </c>
    </row>
    <row r="576" spans="1:21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  <c r="S576" t="str">
        <f>IF(Table1[[#This Row],[Age]]&lt;=25,"Young",IF(Table1[[#This Row],[Age]]&lt;=50,"Adult","Senior"))</f>
        <v>Senior</v>
      </c>
      <c r="T576" s="1">
        <f>Table1[[#This Row],[Purchase Amount (USD)]]</f>
        <v>79</v>
      </c>
      <c r="U576">
        <f>IF(Table1[[#This Row],[Subscription Status]]="Yes",1,IF(Table1[[#This Row],[Subscription Status]]="No",0))</f>
        <v>1</v>
      </c>
    </row>
    <row r="577" spans="1:21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  <c r="S577" t="str">
        <f>IF(Table1[[#This Row],[Age]]&lt;=25,"Young",IF(Table1[[#This Row],[Age]]&lt;=50,"Adult","Senior"))</f>
        <v>Senior</v>
      </c>
      <c r="T577" s="1">
        <f>Table1[[#This Row],[Purchase Amount (USD)]]</f>
        <v>86</v>
      </c>
      <c r="U577">
        <f>IF(Table1[[#This Row],[Subscription Status]]="Yes",1,IF(Table1[[#This Row],[Subscription Status]]="No",0))</f>
        <v>1</v>
      </c>
    </row>
    <row r="578" spans="1:21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  <c r="S578" t="str">
        <f>IF(Table1[[#This Row],[Age]]&lt;=25,"Young",IF(Table1[[#This Row],[Age]]&lt;=50,"Adult","Senior"))</f>
        <v>Adult</v>
      </c>
      <c r="T578" s="1">
        <f>Table1[[#This Row],[Purchase Amount (USD)]]</f>
        <v>68</v>
      </c>
      <c r="U578">
        <f>IF(Table1[[#This Row],[Subscription Status]]="Yes",1,IF(Table1[[#This Row],[Subscription Status]]="No",0))</f>
        <v>1</v>
      </c>
    </row>
    <row r="579" spans="1:21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  <c r="S579" t="str">
        <f>IF(Table1[[#This Row],[Age]]&lt;=25,"Young",IF(Table1[[#This Row],[Age]]&lt;=50,"Adult","Senior"))</f>
        <v>Young</v>
      </c>
      <c r="T579" s="1">
        <f>Table1[[#This Row],[Purchase Amount (USD)]]</f>
        <v>52</v>
      </c>
      <c r="U579">
        <f>IF(Table1[[#This Row],[Subscription Status]]="Yes",1,IF(Table1[[#This Row],[Subscription Status]]="No",0))</f>
        <v>1</v>
      </c>
    </row>
    <row r="580" spans="1:21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  <c r="S580" t="str">
        <f>IF(Table1[[#This Row],[Age]]&lt;=25,"Young",IF(Table1[[#This Row],[Age]]&lt;=50,"Adult","Senior"))</f>
        <v>Senior</v>
      </c>
      <c r="T580" s="1">
        <f>Table1[[#This Row],[Purchase Amount (USD)]]</f>
        <v>90</v>
      </c>
      <c r="U580">
        <f>IF(Table1[[#This Row],[Subscription Status]]="Yes",1,IF(Table1[[#This Row],[Subscription Status]]="No",0))</f>
        <v>1</v>
      </c>
    </row>
    <row r="581" spans="1:21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  <c r="S581" t="str">
        <f>IF(Table1[[#This Row],[Age]]&lt;=25,"Young",IF(Table1[[#This Row],[Age]]&lt;=50,"Adult","Senior"))</f>
        <v>Senior</v>
      </c>
      <c r="T581" s="1">
        <f>Table1[[#This Row],[Purchase Amount (USD)]]</f>
        <v>41</v>
      </c>
      <c r="U581">
        <f>IF(Table1[[#This Row],[Subscription Status]]="Yes",1,IF(Table1[[#This Row],[Subscription Status]]="No",0))</f>
        <v>1</v>
      </c>
    </row>
    <row r="582" spans="1:21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  <c r="S582" t="str">
        <f>IF(Table1[[#This Row],[Age]]&lt;=25,"Young",IF(Table1[[#This Row],[Age]]&lt;=50,"Adult","Senior"))</f>
        <v>Adult</v>
      </c>
      <c r="T582" s="1">
        <f>Table1[[#This Row],[Purchase Amount (USD)]]</f>
        <v>80</v>
      </c>
      <c r="U582">
        <f>IF(Table1[[#This Row],[Subscription Status]]="Yes",1,IF(Table1[[#This Row],[Subscription Status]]="No",0))</f>
        <v>1</v>
      </c>
    </row>
    <row r="583" spans="1:21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  <c r="S583" t="str">
        <f>IF(Table1[[#This Row],[Age]]&lt;=25,"Young",IF(Table1[[#This Row],[Age]]&lt;=50,"Adult","Senior"))</f>
        <v>Adult</v>
      </c>
      <c r="T583" s="1">
        <f>Table1[[#This Row],[Purchase Amount (USD)]]</f>
        <v>100</v>
      </c>
      <c r="U583">
        <f>IF(Table1[[#This Row],[Subscription Status]]="Yes",1,IF(Table1[[#This Row],[Subscription Status]]="No",0))</f>
        <v>1</v>
      </c>
    </row>
    <row r="584" spans="1:21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  <c r="S584" t="str">
        <f>IF(Table1[[#This Row],[Age]]&lt;=25,"Young",IF(Table1[[#This Row],[Age]]&lt;=50,"Adult","Senior"))</f>
        <v>Adult</v>
      </c>
      <c r="T584" s="1">
        <f>Table1[[#This Row],[Purchase Amount (USD)]]</f>
        <v>77</v>
      </c>
      <c r="U584">
        <f>IF(Table1[[#This Row],[Subscription Status]]="Yes",1,IF(Table1[[#This Row],[Subscription Status]]="No",0))</f>
        <v>1</v>
      </c>
    </row>
    <row r="585" spans="1:21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  <c r="S585" t="str">
        <f>IF(Table1[[#This Row],[Age]]&lt;=25,"Young",IF(Table1[[#This Row],[Age]]&lt;=50,"Adult","Senior"))</f>
        <v>Young</v>
      </c>
      <c r="T585" s="1">
        <f>Table1[[#This Row],[Purchase Amount (USD)]]</f>
        <v>78</v>
      </c>
      <c r="U585">
        <f>IF(Table1[[#This Row],[Subscription Status]]="Yes",1,IF(Table1[[#This Row],[Subscription Status]]="No",0))</f>
        <v>1</v>
      </c>
    </row>
    <row r="586" spans="1:21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  <c r="S586" t="str">
        <f>IF(Table1[[#This Row],[Age]]&lt;=25,"Young",IF(Table1[[#This Row],[Age]]&lt;=50,"Adult","Senior"))</f>
        <v>Senior</v>
      </c>
      <c r="T586" s="1">
        <f>Table1[[#This Row],[Purchase Amount (USD)]]</f>
        <v>94</v>
      </c>
      <c r="U586">
        <f>IF(Table1[[#This Row],[Subscription Status]]="Yes",1,IF(Table1[[#This Row],[Subscription Status]]="No",0))</f>
        <v>1</v>
      </c>
    </row>
    <row r="587" spans="1:21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  <c r="S587" t="str">
        <f>IF(Table1[[#This Row],[Age]]&lt;=25,"Young",IF(Table1[[#This Row],[Age]]&lt;=50,"Adult","Senior"))</f>
        <v>Senior</v>
      </c>
      <c r="T587" s="1">
        <f>Table1[[#This Row],[Purchase Amount (USD)]]</f>
        <v>23</v>
      </c>
      <c r="U587">
        <f>IF(Table1[[#This Row],[Subscription Status]]="Yes",1,IF(Table1[[#This Row],[Subscription Status]]="No",0))</f>
        <v>1</v>
      </c>
    </row>
    <row r="588" spans="1:21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  <c r="S588" t="str">
        <f>IF(Table1[[#This Row],[Age]]&lt;=25,"Young",IF(Table1[[#This Row],[Age]]&lt;=50,"Adult","Senior"))</f>
        <v>Adult</v>
      </c>
      <c r="T588" s="1">
        <f>Table1[[#This Row],[Purchase Amount (USD)]]</f>
        <v>20</v>
      </c>
      <c r="U588">
        <f>IF(Table1[[#This Row],[Subscription Status]]="Yes",1,IF(Table1[[#This Row],[Subscription Status]]="No",0))</f>
        <v>1</v>
      </c>
    </row>
    <row r="589" spans="1:21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  <c r="S589" t="str">
        <f>IF(Table1[[#This Row],[Age]]&lt;=25,"Young",IF(Table1[[#This Row],[Age]]&lt;=50,"Adult","Senior"))</f>
        <v>Adult</v>
      </c>
      <c r="T589" s="1">
        <f>Table1[[#This Row],[Purchase Amount (USD)]]</f>
        <v>86</v>
      </c>
      <c r="U589">
        <f>IF(Table1[[#This Row],[Subscription Status]]="Yes",1,IF(Table1[[#This Row],[Subscription Status]]="No",0))</f>
        <v>1</v>
      </c>
    </row>
    <row r="590" spans="1:21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  <c r="S590" t="str">
        <f>IF(Table1[[#This Row],[Age]]&lt;=25,"Young",IF(Table1[[#This Row],[Age]]&lt;=50,"Adult","Senior"))</f>
        <v>Adult</v>
      </c>
      <c r="T590" s="1">
        <f>Table1[[#This Row],[Purchase Amount (USD)]]</f>
        <v>60</v>
      </c>
      <c r="U590">
        <f>IF(Table1[[#This Row],[Subscription Status]]="Yes",1,IF(Table1[[#This Row],[Subscription Status]]="No",0))</f>
        <v>1</v>
      </c>
    </row>
    <row r="591" spans="1:21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  <c r="S591" t="str">
        <f>IF(Table1[[#This Row],[Age]]&lt;=25,"Young",IF(Table1[[#This Row],[Age]]&lt;=50,"Adult","Senior"))</f>
        <v>Adult</v>
      </c>
      <c r="T591" s="1">
        <f>Table1[[#This Row],[Purchase Amount (USD)]]</f>
        <v>70</v>
      </c>
      <c r="U591">
        <f>IF(Table1[[#This Row],[Subscription Status]]="Yes",1,IF(Table1[[#This Row],[Subscription Status]]="No",0))</f>
        <v>1</v>
      </c>
    </row>
    <row r="592" spans="1:21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  <c r="S592" t="str">
        <f>IF(Table1[[#This Row],[Age]]&lt;=25,"Young",IF(Table1[[#This Row],[Age]]&lt;=50,"Adult","Senior"))</f>
        <v>Senior</v>
      </c>
      <c r="T592" s="1">
        <f>Table1[[#This Row],[Purchase Amount (USD)]]</f>
        <v>39</v>
      </c>
      <c r="U592">
        <f>IF(Table1[[#This Row],[Subscription Status]]="Yes",1,IF(Table1[[#This Row],[Subscription Status]]="No",0))</f>
        <v>1</v>
      </c>
    </row>
    <row r="593" spans="1:21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  <c r="S593" t="str">
        <f>IF(Table1[[#This Row],[Age]]&lt;=25,"Young",IF(Table1[[#This Row],[Age]]&lt;=50,"Adult","Senior"))</f>
        <v>Adult</v>
      </c>
      <c r="T593" s="1">
        <f>Table1[[#This Row],[Purchase Amount (USD)]]</f>
        <v>37</v>
      </c>
      <c r="U593">
        <f>IF(Table1[[#This Row],[Subscription Status]]="Yes",1,IF(Table1[[#This Row],[Subscription Status]]="No",0))</f>
        <v>1</v>
      </c>
    </row>
    <row r="594" spans="1:21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  <c r="S594" t="str">
        <f>IF(Table1[[#This Row],[Age]]&lt;=25,"Young",IF(Table1[[#This Row],[Age]]&lt;=50,"Adult","Senior"))</f>
        <v>Senior</v>
      </c>
      <c r="T594" s="1">
        <f>Table1[[#This Row],[Purchase Amount (USD)]]</f>
        <v>29</v>
      </c>
      <c r="U594">
        <f>IF(Table1[[#This Row],[Subscription Status]]="Yes",1,IF(Table1[[#This Row],[Subscription Status]]="No",0))</f>
        <v>1</v>
      </c>
    </row>
    <row r="595" spans="1:21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  <c r="S595" t="str">
        <f>IF(Table1[[#This Row],[Age]]&lt;=25,"Young",IF(Table1[[#This Row],[Age]]&lt;=50,"Adult","Senior"))</f>
        <v>Senior</v>
      </c>
      <c r="T595" s="1">
        <f>Table1[[#This Row],[Purchase Amount (USD)]]</f>
        <v>35</v>
      </c>
      <c r="U595">
        <f>IF(Table1[[#This Row],[Subscription Status]]="Yes",1,IF(Table1[[#This Row],[Subscription Status]]="No",0))</f>
        <v>1</v>
      </c>
    </row>
    <row r="596" spans="1:21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  <c r="S596" t="str">
        <f>IF(Table1[[#This Row],[Age]]&lt;=25,"Young",IF(Table1[[#This Row],[Age]]&lt;=50,"Adult","Senior"))</f>
        <v>Adult</v>
      </c>
      <c r="T596" s="1">
        <f>Table1[[#This Row],[Purchase Amount (USD)]]</f>
        <v>83</v>
      </c>
      <c r="U596">
        <f>IF(Table1[[#This Row],[Subscription Status]]="Yes",1,IF(Table1[[#This Row],[Subscription Status]]="No",0))</f>
        <v>1</v>
      </c>
    </row>
    <row r="597" spans="1:21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  <c r="S597" t="str">
        <f>IF(Table1[[#This Row],[Age]]&lt;=25,"Young",IF(Table1[[#This Row],[Age]]&lt;=50,"Adult","Senior"))</f>
        <v>Adult</v>
      </c>
      <c r="T597" s="1">
        <f>Table1[[#This Row],[Purchase Amount (USD)]]</f>
        <v>77</v>
      </c>
      <c r="U597">
        <f>IF(Table1[[#This Row],[Subscription Status]]="Yes",1,IF(Table1[[#This Row],[Subscription Status]]="No",0))</f>
        <v>1</v>
      </c>
    </row>
    <row r="598" spans="1:21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  <c r="S598" t="str">
        <f>IF(Table1[[#This Row],[Age]]&lt;=25,"Young",IF(Table1[[#This Row],[Age]]&lt;=50,"Adult","Senior"))</f>
        <v>Young</v>
      </c>
      <c r="T598" s="1">
        <f>Table1[[#This Row],[Purchase Amount (USD)]]</f>
        <v>37</v>
      </c>
      <c r="U598">
        <f>IF(Table1[[#This Row],[Subscription Status]]="Yes",1,IF(Table1[[#This Row],[Subscription Status]]="No",0))</f>
        <v>1</v>
      </c>
    </row>
    <row r="599" spans="1:21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  <c r="S599" t="str">
        <f>IF(Table1[[#This Row],[Age]]&lt;=25,"Young",IF(Table1[[#This Row],[Age]]&lt;=50,"Adult","Senior"))</f>
        <v>Senior</v>
      </c>
      <c r="T599" s="1">
        <f>Table1[[#This Row],[Purchase Amount (USD)]]</f>
        <v>69</v>
      </c>
      <c r="U599">
        <f>IF(Table1[[#This Row],[Subscription Status]]="Yes",1,IF(Table1[[#This Row],[Subscription Status]]="No",0))</f>
        <v>1</v>
      </c>
    </row>
    <row r="600" spans="1:21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  <c r="S600" t="str">
        <f>IF(Table1[[#This Row],[Age]]&lt;=25,"Young",IF(Table1[[#This Row],[Age]]&lt;=50,"Adult","Senior"))</f>
        <v>Young</v>
      </c>
      <c r="T600" s="1">
        <f>Table1[[#This Row],[Purchase Amount (USD)]]</f>
        <v>66</v>
      </c>
      <c r="U600">
        <f>IF(Table1[[#This Row],[Subscription Status]]="Yes",1,IF(Table1[[#This Row],[Subscription Status]]="No",0))</f>
        <v>1</v>
      </c>
    </row>
    <row r="601" spans="1:21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  <c r="S601" t="str">
        <f>IF(Table1[[#This Row],[Age]]&lt;=25,"Young",IF(Table1[[#This Row],[Age]]&lt;=50,"Adult","Senior"))</f>
        <v>Senior</v>
      </c>
      <c r="T601" s="1">
        <f>Table1[[#This Row],[Purchase Amount (USD)]]</f>
        <v>26</v>
      </c>
      <c r="U601">
        <f>IF(Table1[[#This Row],[Subscription Status]]="Yes",1,IF(Table1[[#This Row],[Subscription Status]]="No",0))</f>
        <v>1</v>
      </c>
    </row>
    <row r="602" spans="1:21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  <c r="S602" t="str">
        <f>IF(Table1[[#This Row],[Age]]&lt;=25,"Young",IF(Table1[[#This Row],[Age]]&lt;=50,"Adult","Senior"))</f>
        <v>Young</v>
      </c>
      <c r="T602" s="1">
        <f>Table1[[#This Row],[Purchase Amount (USD)]]</f>
        <v>63</v>
      </c>
      <c r="U602">
        <f>IF(Table1[[#This Row],[Subscription Status]]="Yes",1,IF(Table1[[#This Row],[Subscription Status]]="No",0))</f>
        <v>1</v>
      </c>
    </row>
    <row r="603" spans="1:21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  <c r="S603" t="str">
        <f>IF(Table1[[#This Row],[Age]]&lt;=25,"Young",IF(Table1[[#This Row],[Age]]&lt;=50,"Adult","Senior"))</f>
        <v>Adult</v>
      </c>
      <c r="T603" s="1">
        <f>Table1[[#This Row],[Purchase Amount (USD)]]</f>
        <v>38</v>
      </c>
      <c r="U603">
        <f>IF(Table1[[#This Row],[Subscription Status]]="Yes",1,IF(Table1[[#This Row],[Subscription Status]]="No",0))</f>
        <v>1</v>
      </c>
    </row>
    <row r="604" spans="1:21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  <c r="S604" t="str">
        <f>IF(Table1[[#This Row],[Age]]&lt;=25,"Young",IF(Table1[[#This Row],[Age]]&lt;=50,"Adult","Senior"))</f>
        <v>Adult</v>
      </c>
      <c r="T604" s="1">
        <f>Table1[[#This Row],[Purchase Amount (USD)]]</f>
        <v>58</v>
      </c>
      <c r="U604">
        <f>IF(Table1[[#This Row],[Subscription Status]]="Yes",1,IF(Table1[[#This Row],[Subscription Status]]="No",0))</f>
        <v>1</v>
      </c>
    </row>
    <row r="605" spans="1:21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  <c r="S605" t="str">
        <f>IF(Table1[[#This Row],[Age]]&lt;=25,"Young",IF(Table1[[#This Row],[Age]]&lt;=50,"Adult","Senior"))</f>
        <v>Adult</v>
      </c>
      <c r="T605" s="1">
        <f>Table1[[#This Row],[Purchase Amount (USD)]]</f>
        <v>46</v>
      </c>
      <c r="U605">
        <f>IF(Table1[[#This Row],[Subscription Status]]="Yes",1,IF(Table1[[#This Row],[Subscription Status]]="No",0))</f>
        <v>1</v>
      </c>
    </row>
    <row r="606" spans="1:21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  <c r="S606" t="str">
        <f>IF(Table1[[#This Row],[Age]]&lt;=25,"Young",IF(Table1[[#This Row],[Age]]&lt;=50,"Adult","Senior"))</f>
        <v>Adult</v>
      </c>
      <c r="T606" s="1">
        <f>Table1[[#This Row],[Purchase Amount (USD)]]</f>
        <v>92</v>
      </c>
      <c r="U606">
        <f>IF(Table1[[#This Row],[Subscription Status]]="Yes",1,IF(Table1[[#This Row],[Subscription Status]]="No",0))</f>
        <v>1</v>
      </c>
    </row>
    <row r="607" spans="1:21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  <c r="S607" t="str">
        <f>IF(Table1[[#This Row],[Age]]&lt;=25,"Young",IF(Table1[[#This Row],[Age]]&lt;=50,"Adult","Senior"))</f>
        <v>Adult</v>
      </c>
      <c r="T607" s="1">
        <f>Table1[[#This Row],[Purchase Amount (USD)]]</f>
        <v>32</v>
      </c>
      <c r="U607">
        <f>IF(Table1[[#This Row],[Subscription Status]]="Yes",1,IF(Table1[[#This Row],[Subscription Status]]="No",0))</f>
        <v>1</v>
      </c>
    </row>
    <row r="608" spans="1:21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  <c r="S608" t="str">
        <f>IF(Table1[[#This Row],[Age]]&lt;=25,"Young",IF(Table1[[#This Row],[Age]]&lt;=50,"Adult","Senior"))</f>
        <v>Adult</v>
      </c>
      <c r="T608" s="1">
        <f>Table1[[#This Row],[Purchase Amount (USD)]]</f>
        <v>90</v>
      </c>
      <c r="U608">
        <f>IF(Table1[[#This Row],[Subscription Status]]="Yes",1,IF(Table1[[#This Row],[Subscription Status]]="No",0))</f>
        <v>1</v>
      </c>
    </row>
    <row r="609" spans="1:21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  <c r="S609" t="str">
        <f>IF(Table1[[#This Row],[Age]]&lt;=25,"Young",IF(Table1[[#This Row],[Age]]&lt;=50,"Adult","Senior"))</f>
        <v>Adult</v>
      </c>
      <c r="T609" s="1">
        <f>Table1[[#This Row],[Purchase Amount (USD)]]</f>
        <v>23</v>
      </c>
      <c r="U609">
        <f>IF(Table1[[#This Row],[Subscription Status]]="Yes",1,IF(Table1[[#This Row],[Subscription Status]]="No",0))</f>
        <v>1</v>
      </c>
    </row>
    <row r="610" spans="1:21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  <c r="S610" t="str">
        <f>IF(Table1[[#This Row],[Age]]&lt;=25,"Young",IF(Table1[[#This Row],[Age]]&lt;=50,"Adult","Senior"))</f>
        <v>Adult</v>
      </c>
      <c r="T610" s="1">
        <f>Table1[[#This Row],[Purchase Amount (USD)]]</f>
        <v>25</v>
      </c>
      <c r="U610">
        <f>IF(Table1[[#This Row],[Subscription Status]]="Yes",1,IF(Table1[[#This Row],[Subscription Status]]="No",0))</f>
        <v>1</v>
      </c>
    </row>
    <row r="611" spans="1:21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  <c r="S611" t="str">
        <f>IF(Table1[[#This Row],[Age]]&lt;=25,"Young",IF(Table1[[#This Row],[Age]]&lt;=50,"Adult","Senior"))</f>
        <v>Senior</v>
      </c>
      <c r="T611" s="1">
        <f>Table1[[#This Row],[Purchase Amount (USD)]]</f>
        <v>54</v>
      </c>
      <c r="U611">
        <f>IF(Table1[[#This Row],[Subscription Status]]="Yes",1,IF(Table1[[#This Row],[Subscription Status]]="No",0))</f>
        <v>1</v>
      </c>
    </row>
    <row r="612" spans="1:21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  <c r="S612" t="str">
        <f>IF(Table1[[#This Row],[Age]]&lt;=25,"Young",IF(Table1[[#This Row],[Age]]&lt;=50,"Adult","Senior"))</f>
        <v>Senior</v>
      </c>
      <c r="T612" s="1">
        <f>Table1[[#This Row],[Purchase Amount (USD)]]</f>
        <v>72</v>
      </c>
      <c r="U612">
        <f>IF(Table1[[#This Row],[Subscription Status]]="Yes",1,IF(Table1[[#This Row],[Subscription Status]]="No",0))</f>
        <v>1</v>
      </c>
    </row>
    <row r="613" spans="1:21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  <c r="S613" t="str">
        <f>IF(Table1[[#This Row],[Age]]&lt;=25,"Young",IF(Table1[[#This Row],[Age]]&lt;=50,"Adult","Senior"))</f>
        <v>Adult</v>
      </c>
      <c r="T613" s="1">
        <f>Table1[[#This Row],[Purchase Amount (USD)]]</f>
        <v>33</v>
      </c>
      <c r="U613">
        <f>IF(Table1[[#This Row],[Subscription Status]]="Yes",1,IF(Table1[[#This Row],[Subscription Status]]="No",0))</f>
        <v>1</v>
      </c>
    </row>
    <row r="614" spans="1:21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  <c r="S614" t="str">
        <f>IF(Table1[[#This Row],[Age]]&lt;=25,"Young",IF(Table1[[#This Row],[Age]]&lt;=50,"Adult","Senior"))</f>
        <v>Senior</v>
      </c>
      <c r="T614" s="1">
        <f>Table1[[#This Row],[Purchase Amount (USD)]]</f>
        <v>43</v>
      </c>
      <c r="U614">
        <f>IF(Table1[[#This Row],[Subscription Status]]="Yes",1,IF(Table1[[#This Row],[Subscription Status]]="No",0))</f>
        <v>1</v>
      </c>
    </row>
    <row r="615" spans="1:21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  <c r="S615" t="str">
        <f>IF(Table1[[#This Row],[Age]]&lt;=25,"Young",IF(Table1[[#This Row],[Age]]&lt;=50,"Adult","Senior"))</f>
        <v>Senior</v>
      </c>
      <c r="T615" s="1">
        <f>Table1[[#This Row],[Purchase Amount (USD)]]</f>
        <v>51</v>
      </c>
      <c r="U615">
        <f>IF(Table1[[#This Row],[Subscription Status]]="Yes",1,IF(Table1[[#This Row],[Subscription Status]]="No",0))</f>
        <v>1</v>
      </c>
    </row>
    <row r="616" spans="1:21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  <c r="S616" t="str">
        <f>IF(Table1[[#This Row],[Age]]&lt;=25,"Young",IF(Table1[[#This Row],[Age]]&lt;=50,"Adult","Senior"))</f>
        <v>Senior</v>
      </c>
      <c r="T616" s="1">
        <f>Table1[[#This Row],[Purchase Amount (USD)]]</f>
        <v>85</v>
      </c>
      <c r="U616">
        <f>IF(Table1[[#This Row],[Subscription Status]]="Yes",1,IF(Table1[[#This Row],[Subscription Status]]="No",0))</f>
        <v>1</v>
      </c>
    </row>
    <row r="617" spans="1:21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  <c r="S617" t="str">
        <f>IF(Table1[[#This Row],[Age]]&lt;=25,"Young",IF(Table1[[#This Row],[Age]]&lt;=50,"Adult","Senior"))</f>
        <v>Senior</v>
      </c>
      <c r="T617" s="1">
        <f>Table1[[#This Row],[Purchase Amount (USD)]]</f>
        <v>100</v>
      </c>
      <c r="U617">
        <f>IF(Table1[[#This Row],[Subscription Status]]="Yes",1,IF(Table1[[#This Row],[Subscription Status]]="No",0))</f>
        <v>1</v>
      </c>
    </row>
    <row r="618" spans="1:21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  <c r="S618" t="str">
        <f>IF(Table1[[#This Row],[Age]]&lt;=25,"Young",IF(Table1[[#This Row],[Age]]&lt;=50,"Adult","Senior"))</f>
        <v>Adult</v>
      </c>
      <c r="T618" s="1">
        <f>Table1[[#This Row],[Purchase Amount (USD)]]</f>
        <v>72</v>
      </c>
      <c r="U618">
        <f>IF(Table1[[#This Row],[Subscription Status]]="Yes",1,IF(Table1[[#This Row],[Subscription Status]]="No",0))</f>
        <v>1</v>
      </c>
    </row>
    <row r="619" spans="1:21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  <c r="S619" t="str">
        <f>IF(Table1[[#This Row],[Age]]&lt;=25,"Young",IF(Table1[[#This Row],[Age]]&lt;=50,"Adult","Senior"))</f>
        <v>Adult</v>
      </c>
      <c r="T619" s="1">
        <f>Table1[[#This Row],[Purchase Amount (USD)]]</f>
        <v>57</v>
      </c>
      <c r="U619">
        <f>IF(Table1[[#This Row],[Subscription Status]]="Yes",1,IF(Table1[[#This Row],[Subscription Status]]="No",0))</f>
        <v>1</v>
      </c>
    </row>
    <row r="620" spans="1:21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  <c r="S620" t="str">
        <f>IF(Table1[[#This Row],[Age]]&lt;=25,"Young",IF(Table1[[#This Row],[Age]]&lt;=50,"Adult","Senior"))</f>
        <v>Senior</v>
      </c>
      <c r="T620" s="1">
        <f>Table1[[#This Row],[Purchase Amount (USD)]]</f>
        <v>94</v>
      </c>
      <c r="U620">
        <f>IF(Table1[[#This Row],[Subscription Status]]="Yes",1,IF(Table1[[#This Row],[Subscription Status]]="No",0))</f>
        <v>1</v>
      </c>
    </row>
    <row r="621" spans="1:21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  <c r="S621" t="str">
        <f>IF(Table1[[#This Row],[Age]]&lt;=25,"Young",IF(Table1[[#This Row],[Age]]&lt;=50,"Adult","Senior"))</f>
        <v>Young</v>
      </c>
      <c r="T621" s="1">
        <f>Table1[[#This Row],[Purchase Amount (USD)]]</f>
        <v>34</v>
      </c>
      <c r="U621">
        <f>IF(Table1[[#This Row],[Subscription Status]]="Yes",1,IF(Table1[[#This Row],[Subscription Status]]="No",0))</f>
        <v>1</v>
      </c>
    </row>
    <row r="622" spans="1:21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  <c r="S622" t="str">
        <f>IF(Table1[[#This Row],[Age]]&lt;=25,"Young",IF(Table1[[#This Row],[Age]]&lt;=50,"Adult","Senior"))</f>
        <v>Adult</v>
      </c>
      <c r="T622" s="1">
        <f>Table1[[#This Row],[Purchase Amount (USD)]]</f>
        <v>89</v>
      </c>
      <c r="U622">
        <f>IF(Table1[[#This Row],[Subscription Status]]="Yes",1,IF(Table1[[#This Row],[Subscription Status]]="No",0))</f>
        <v>1</v>
      </c>
    </row>
    <row r="623" spans="1:21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  <c r="S623" t="str">
        <f>IF(Table1[[#This Row],[Age]]&lt;=25,"Young",IF(Table1[[#This Row],[Age]]&lt;=50,"Adult","Senior"))</f>
        <v>Senior</v>
      </c>
      <c r="T623" s="1">
        <f>Table1[[#This Row],[Purchase Amount (USD)]]</f>
        <v>27</v>
      </c>
      <c r="U623">
        <f>IF(Table1[[#This Row],[Subscription Status]]="Yes",1,IF(Table1[[#This Row],[Subscription Status]]="No",0))</f>
        <v>1</v>
      </c>
    </row>
    <row r="624" spans="1:21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  <c r="S624" t="str">
        <f>IF(Table1[[#This Row],[Age]]&lt;=25,"Young",IF(Table1[[#This Row],[Age]]&lt;=50,"Adult","Senior"))</f>
        <v>Senior</v>
      </c>
      <c r="T624" s="1">
        <f>Table1[[#This Row],[Purchase Amount (USD)]]</f>
        <v>63</v>
      </c>
      <c r="U624">
        <f>IF(Table1[[#This Row],[Subscription Status]]="Yes",1,IF(Table1[[#This Row],[Subscription Status]]="No",0))</f>
        <v>1</v>
      </c>
    </row>
    <row r="625" spans="1:21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  <c r="S625" t="str">
        <f>IF(Table1[[#This Row],[Age]]&lt;=25,"Young",IF(Table1[[#This Row],[Age]]&lt;=50,"Adult","Senior"))</f>
        <v>Young</v>
      </c>
      <c r="T625" s="1">
        <f>Table1[[#This Row],[Purchase Amount (USD)]]</f>
        <v>70</v>
      </c>
      <c r="U625">
        <f>IF(Table1[[#This Row],[Subscription Status]]="Yes",1,IF(Table1[[#This Row],[Subscription Status]]="No",0))</f>
        <v>1</v>
      </c>
    </row>
    <row r="626" spans="1:21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  <c r="S626" t="str">
        <f>IF(Table1[[#This Row],[Age]]&lt;=25,"Young",IF(Table1[[#This Row],[Age]]&lt;=50,"Adult","Senior"))</f>
        <v>Senior</v>
      </c>
      <c r="T626" s="1">
        <f>Table1[[#This Row],[Purchase Amount (USD)]]</f>
        <v>87</v>
      </c>
      <c r="U626">
        <f>IF(Table1[[#This Row],[Subscription Status]]="Yes",1,IF(Table1[[#This Row],[Subscription Status]]="No",0))</f>
        <v>1</v>
      </c>
    </row>
    <row r="627" spans="1:21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  <c r="S627" t="str">
        <f>IF(Table1[[#This Row],[Age]]&lt;=25,"Young",IF(Table1[[#This Row],[Age]]&lt;=50,"Adult","Senior"))</f>
        <v>Adult</v>
      </c>
      <c r="T627" s="1">
        <f>Table1[[#This Row],[Purchase Amount (USD)]]</f>
        <v>79</v>
      </c>
      <c r="U627">
        <f>IF(Table1[[#This Row],[Subscription Status]]="Yes",1,IF(Table1[[#This Row],[Subscription Status]]="No",0))</f>
        <v>1</v>
      </c>
    </row>
    <row r="628" spans="1:21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  <c r="S628" t="str">
        <f>IF(Table1[[#This Row],[Age]]&lt;=25,"Young",IF(Table1[[#This Row],[Age]]&lt;=50,"Adult","Senior"))</f>
        <v>Adult</v>
      </c>
      <c r="T628" s="1">
        <f>Table1[[#This Row],[Purchase Amount (USD)]]</f>
        <v>79</v>
      </c>
      <c r="U628">
        <f>IF(Table1[[#This Row],[Subscription Status]]="Yes",1,IF(Table1[[#This Row],[Subscription Status]]="No",0))</f>
        <v>1</v>
      </c>
    </row>
    <row r="629" spans="1:21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  <c r="S629" t="str">
        <f>IF(Table1[[#This Row],[Age]]&lt;=25,"Young",IF(Table1[[#This Row],[Age]]&lt;=50,"Adult","Senior"))</f>
        <v>Adult</v>
      </c>
      <c r="T629" s="1">
        <f>Table1[[#This Row],[Purchase Amount (USD)]]</f>
        <v>44</v>
      </c>
      <c r="U629">
        <f>IF(Table1[[#This Row],[Subscription Status]]="Yes",1,IF(Table1[[#This Row],[Subscription Status]]="No",0))</f>
        <v>1</v>
      </c>
    </row>
    <row r="630" spans="1:21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  <c r="S630" t="str">
        <f>IF(Table1[[#This Row],[Age]]&lt;=25,"Young",IF(Table1[[#This Row],[Age]]&lt;=50,"Adult","Senior"))</f>
        <v>Senior</v>
      </c>
      <c r="T630" s="1">
        <f>Table1[[#This Row],[Purchase Amount (USD)]]</f>
        <v>85</v>
      </c>
      <c r="U630">
        <f>IF(Table1[[#This Row],[Subscription Status]]="Yes",1,IF(Table1[[#This Row],[Subscription Status]]="No",0))</f>
        <v>1</v>
      </c>
    </row>
    <row r="631" spans="1:21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  <c r="S631" t="str">
        <f>IF(Table1[[#This Row],[Age]]&lt;=25,"Young",IF(Table1[[#This Row],[Age]]&lt;=50,"Adult","Senior"))</f>
        <v>Adult</v>
      </c>
      <c r="T631" s="1">
        <f>Table1[[#This Row],[Purchase Amount (USD)]]</f>
        <v>90</v>
      </c>
      <c r="U631">
        <f>IF(Table1[[#This Row],[Subscription Status]]="Yes",1,IF(Table1[[#This Row],[Subscription Status]]="No",0))</f>
        <v>1</v>
      </c>
    </row>
    <row r="632" spans="1:21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  <c r="S632" t="str">
        <f>IF(Table1[[#This Row],[Age]]&lt;=25,"Young",IF(Table1[[#This Row],[Age]]&lt;=50,"Adult","Senior"))</f>
        <v>Adult</v>
      </c>
      <c r="T632" s="1">
        <f>Table1[[#This Row],[Purchase Amount (USD)]]</f>
        <v>94</v>
      </c>
      <c r="U632">
        <f>IF(Table1[[#This Row],[Subscription Status]]="Yes",1,IF(Table1[[#This Row],[Subscription Status]]="No",0))</f>
        <v>1</v>
      </c>
    </row>
    <row r="633" spans="1:21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  <c r="S633" t="str">
        <f>IF(Table1[[#This Row],[Age]]&lt;=25,"Young",IF(Table1[[#This Row],[Age]]&lt;=50,"Adult","Senior"))</f>
        <v>Senior</v>
      </c>
      <c r="T633" s="1">
        <f>Table1[[#This Row],[Purchase Amount (USD)]]</f>
        <v>68</v>
      </c>
      <c r="U633">
        <f>IF(Table1[[#This Row],[Subscription Status]]="Yes",1,IF(Table1[[#This Row],[Subscription Status]]="No",0))</f>
        <v>1</v>
      </c>
    </row>
    <row r="634" spans="1:21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  <c r="S634" t="str">
        <f>IF(Table1[[#This Row],[Age]]&lt;=25,"Young",IF(Table1[[#This Row],[Age]]&lt;=50,"Adult","Senior"))</f>
        <v>Adult</v>
      </c>
      <c r="T634" s="1">
        <f>Table1[[#This Row],[Purchase Amount (USD)]]</f>
        <v>51</v>
      </c>
      <c r="U634">
        <f>IF(Table1[[#This Row],[Subscription Status]]="Yes",1,IF(Table1[[#This Row],[Subscription Status]]="No",0))</f>
        <v>1</v>
      </c>
    </row>
    <row r="635" spans="1:21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  <c r="S635" t="str">
        <f>IF(Table1[[#This Row],[Age]]&lt;=25,"Young",IF(Table1[[#This Row],[Age]]&lt;=50,"Adult","Senior"))</f>
        <v>Senior</v>
      </c>
      <c r="T635" s="1">
        <f>Table1[[#This Row],[Purchase Amount (USD)]]</f>
        <v>33</v>
      </c>
      <c r="U635">
        <f>IF(Table1[[#This Row],[Subscription Status]]="Yes",1,IF(Table1[[#This Row],[Subscription Status]]="No",0))</f>
        <v>1</v>
      </c>
    </row>
    <row r="636" spans="1:21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  <c r="S636" t="str">
        <f>IF(Table1[[#This Row],[Age]]&lt;=25,"Young",IF(Table1[[#This Row],[Age]]&lt;=50,"Adult","Senior"))</f>
        <v>Adult</v>
      </c>
      <c r="T636" s="1">
        <f>Table1[[#This Row],[Purchase Amount (USD)]]</f>
        <v>60</v>
      </c>
      <c r="U636">
        <f>IF(Table1[[#This Row],[Subscription Status]]="Yes",1,IF(Table1[[#This Row],[Subscription Status]]="No",0))</f>
        <v>1</v>
      </c>
    </row>
    <row r="637" spans="1:21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  <c r="S637" t="str">
        <f>IF(Table1[[#This Row],[Age]]&lt;=25,"Young",IF(Table1[[#This Row],[Age]]&lt;=50,"Adult","Senior"))</f>
        <v>Adult</v>
      </c>
      <c r="T637" s="1">
        <f>Table1[[#This Row],[Purchase Amount (USD)]]</f>
        <v>59</v>
      </c>
      <c r="U637">
        <f>IF(Table1[[#This Row],[Subscription Status]]="Yes",1,IF(Table1[[#This Row],[Subscription Status]]="No",0))</f>
        <v>1</v>
      </c>
    </row>
    <row r="638" spans="1:21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  <c r="S638" t="str">
        <f>IF(Table1[[#This Row],[Age]]&lt;=25,"Young",IF(Table1[[#This Row],[Age]]&lt;=50,"Adult","Senior"))</f>
        <v>Adult</v>
      </c>
      <c r="T638" s="1">
        <f>Table1[[#This Row],[Purchase Amount (USD)]]</f>
        <v>30</v>
      </c>
      <c r="U638">
        <f>IF(Table1[[#This Row],[Subscription Status]]="Yes",1,IF(Table1[[#This Row],[Subscription Status]]="No",0))</f>
        <v>1</v>
      </c>
    </row>
    <row r="639" spans="1:21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  <c r="S639" t="str">
        <f>IF(Table1[[#This Row],[Age]]&lt;=25,"Young",IF(Table1[[#This Row],[Age]]&lt;=50,"Adult","Senior"))</f>
        <v>Young</v>
      </c>
      <c r="T639" s="1">
        <f>Table1[[#This Row],[Purchase Amount (USD)]]</f>
        <v>20</v>
      </c>
      <c r="U639">
        <f>IF(Table1[[#This Row],[Subscription Status]]="Yes",1,IF(Table1[[#This Row],[Subscription Status]]="No",0))</f>
        <v>1</v>
      </c>
    </row>
    <row r="640" spans="1:21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  <c r="S640" t="str">
        <f>IF(Table1[[#This Row],[Age]]&lt;=25,"Young",IF(Table1[[#This Row],[Age]]&lt;=50,"Adult","Senior"))</f>
        <v>Senior</v>
      </c>
      <c r="T640" s="1">
        <f>Table1[[#This Row],[Purchase Amount (USD)]]</f>
        <v>20</v>
      </c>
      <c r="U640">
        <f>IF(Table1[[#This Row],[Subscription Status]]="Yes",1,IF(Table1[[#This Row],[Subscription Status]]="No",0))</f>
        <v>1</v>
      </c>
    </row>
    <row r="641" spans="1:21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  <c r="S641" t="str">
        <f>IF(Table1[[#This Row],[Age]]&lt;=25,"Young",IF(Table1[[#This Row],[Age]]&lt;=50,"Adult","Senior"))</f>
        <v>Senior</v>
      </c>
      <c r="T641" s="1">
        <f>Table1[[#This Row],[Purchase Amount (USD)]]</f>
        <v>24</v>
      </c>
      <c r="U641">
        <f>IF(Table1[[#This Row],[Subscription Status]]="Yes",1,IF(Table1[[#This Row],[Subscription Status]]="No",0))</f>
        <v>1</v>
      </c>
    </row>
    <row r="642" spans="1:21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  <c r="S642" t="str">
        <f>IF(Table1[[#This Row],[Age]]&lt;=25,"Young",IF(Table1[[#This Row],[Age]]&lt;=50,"Adult","Senior"))</f>
        <v>Senior</v>
      </c>
      <c r="T642" s="1">
        <f>Table1[[#This Row],[Purchase Amount (USD)]]</f>
        <v>88</v>
      </c>
      <c r="U642">
        <f>IF(Table1[[#This Row],[Subscription Status]]="Yes",1,IF(Table1[[#This Row],[Subscription Status]]="No",0))</f>
        <v>1</v>
      </c>
    </row>
    <row r="643" spans="1:21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  <c r="S643" t="str">
        <f>IF(Table1[[#This Row],[Age]]&lt;=25,"Young",IF(Table1[[#This Row],[Age]]&lt;=50,"Adult","Senior"))</f>
        <v>Adult</v>
      </c>
      <c r="T643" s="1">
        <f>Table1[[#This Row],[Purchase Amount (USD)]]</f>
        <v>78</v>
      </c>
      <c r="U643">
        <f>IF(Table1[[#This Row],[Subscription Status]]="Yes",1,IF(Table1[[#This Row],[Subscription Status]]="No",0))</f>
        <v>1</v>
      </c>
    </row>
    <row r="644" spans="1:21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  <c r="S644" t="str">
        <f>IF(Table1[[#This Row],[Age]]&lt;=25,"Young",IF(Table1[[#This Row],[Age]]&lt;=50,"Adult","Senior"))</f>
        <v>Senior</v>
      </c>
      <c r="T644" s="1">
        <f>Table1[[#This Row],[Purchase Amount (USD)]]</f>
        <v>25</v>
      </c>
      <c r="U644">
        <f>IF(Table1[[#This Row],[Subscription Status]]="Yes",1,IF(Table1[[#This Row],[Subscription Status]]="No",0))</f>
        <v>1</v>
      </c>
    </row>
    <row r="645" spans="1:21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  <c r="S645" t="str">
        <f>IF(Table1[[#This Row],[Age]]&lt;=25,"Young",IF(Table1[[#This Row],[Age]]&lt;=50,"Adult","Senior"))</f>
        <v>Young</v>
      </c>
      <c r="T645" s="1">
        <f>Table1[[#This Row],[Purchase Amount (USD)]]</f>
        <v>57</v>
      </c>
      <c r="U645">
        <f>IF(Table1[[#This Row],[Subscription Status]]="Yes",1,IF(Table1[[#This Row],[Subscription Status]]="No",0))</f>
        <v>1</v>
      </c>
    </row>
    <row r="646" spans="1:21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  <c r="S646" t="str">
        <f>IF(Table1[[#This Row],[Age]]&lt;=25,"Young",IF(Table1[[#This Row],[Age]]&lt;=50,"Adult","Senior"))</f>
        <v>Senior</v>
      </c>
      <c r="T646" s="1">
        <f>Table1[[#This Row],[Purchase Amount (USD)]]</f>
        <v>93</v>
      </c>
      <c r="U646">
        <f>IF(Table1[[#This Row],[Subscription Status]]="Yes",1,IF(Table1[[#This Row],[Subscription Status]]="No",0))</f>
        <v>1</v>
      </c>
    </row>
    <row r="647" spans="1:21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  <c r="S647" t="str">
        <f>IF(Table1[[#This Row],[Age]]&lt;=25,"Young",IF(Table1[[#This Row],[Age]]&lt;=50,"Adult","Senior"))</f>
        <v>Senior</v>
      </c>
      <c r="T647" s="1">
        <f>Table1[[#This Row],[Purchase Amount (USD)]]</f>
        <v>42</v>
      </c>
      <c r="U647">
        <f>IF(Table1[[#This Row],[Subscription Status]]="Yes",1,IF(Table1[[#This Row],[Subscription Status]]="No",0))</f>
        <v>1</v>
      </c>
    </row>
    <row r="648" spans="1:21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  <c r="S648" t="str">
        <f>IF(Table1[[#This Row],[Age]]&lt;=25,"Young",IF(Table1[[#This Row],[Age]]&lt;=50,"Adult","Senior"))</f>
        <v>Senior</v>
      </c>
      <c r="T648" s="1">
        <f>Table1[[#This Row],[Purchase Amount (USD)]]</f>
        <v>54</v>
      </c>
      <c r="U648">
        <f>IF(Table1[[#This Row],[Subscription Status]]="Yes",1,IF(Table1[[#This Row],[Subscription Status]]="No",0))</f>
        <v>1</v>
      </c>
    </row>
    <row r="649" spans="1:21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  <c r="S649" t="str">
        <f>IF(Table1[[#This Row],[Age]]&lt;=25,"Young",IF(Table1[[#This Row],[Age]]&lt;=50,"Adult","Senior"))</f>
        <v>Senior</v>
      </c>
      <c r="T649" s="1">
        <f>Table1[[#This Row],[Purchase Amount (USD)]]</f>
        <v>70</v>
      </c>
      <c r="U649">
        <f>IF(Table1[[#This Row],[Subscription Status]]="Yes",1,IF(Table1[[#This Row],[Subscription Status]]="No",0))</f>
        <v>1</v>
      </c>
    </row>
    <row r="650" spans="1:21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  <c r="S650" t="str">
        <f>IF(Table1[[#This Row],[Age]]&lt;=25,"Young",IF(Table1[[#This Row],[Age]]&lt;=50,"Adult","Senior"))</f>
        <v>Young</v>
      </c>
      <c r="T650" s="1">
        <f>Table1[[#This Row],[Purchase Amount (USD)]]</f>
        <v>31</v>
      </c>
      <c r="U650">
        <f>IF(Table1[[#This Row],[Subscription Status]]="Yes",1,IF(Table1[[#This Row],[Subscription Status]]="No",0))</f>
        <v>1</v>
      </c>
    </row>
    <row r="651" spans="1:21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  <c r="S651" t="str">
        <f>IF(Table1[[#This Row],[Age]]&lt;=25,"Young",IF(Table1[[#This Row],[Age]]&lt;=50,"Adult","Senior"))</f>
        <v>Senior</v>
      </c>
      <c r="T651" s="1">
        <f>Table1[[#This Row],[Purchase Amount (USD)]]</f>
        <v>93</v>
      </c>
      <c r="U651">
        <f>IF(Table1[[#This Row],[Subscription Status]]="Yes",1,IF(Table1[[#This Row],[Subscription Status]]="No",0))</f>
        <v>1</v>
      </c>
    </row>
    <row r="652" spans="1:21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  <c r="S652" t="str">
        <f>IF(Table1[[#This Row],[Age]]&lt;=25,"Young",IF(Table1[[#This Row],[Age]]&lt;=50,"Adult","Senior"))</f>
        <v>Adult</v>
      </c>
      <c r="T652" s="1">
        <f>Table1[[#This Row],[Purchase Amount (USD)]]</f>
        <v>40</v>
      </c>
      <c r="U652">
        <f>IF(Table1[[#This Row],[Subscription Status]]="Yes",1,IF(Table1[[#This Row],[Subscription Status]]="No",0))</f>
        <v>1</v>
      </c>
    </row>
    <row r="653" spans="1:21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  <c r="S653" t="str">
        <f>IF(Table1[[#This Row],[Age]]&lt;=25,"Young",IF(Table1[[#This Row],[Age]]&lt;=50,"Adult","Senior"))</f>
        <v>Adult</v>
      </c>
      <c r="T653" s="1">
        <f>Table1[[#This Row],[Purchase Amount (USD)]]</f>
        <v>32</v>
      </c>
      <c r="U653">
        <f>IF(Table1[[#This Row],[Subscription Status]]="Yes",1,IF(Table1[[#This Row],[Subscription Status]]="No",0))</f>
        <v>1</v>
      </c>
    </row>
    <row r="654" spans="1:21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  <c r="S654" t="str">
        <f>IF(Table1[[#This Row],[Age]]&lt;=25,"Young",IF(Table1[[#This Row],[Age]]&lt;=50,"Adult","Senior"))</f>
        <v>Senior</v>
      </c>
      <c r="T654" s="1">
        <f>Table1[[#This Row],[Purchase Amount (USD)]]</f>
        <v>27</v>
      </c>
      <c r="U654">
        <f>IF(Table1[[#This Row],[Subscription Status]]="Yes",1,IF(Table1[[#This Row],[Subscription Status]]="No",0))</f>
        <v>1</v>
      </c>
    </row>
    <row r="655" spans="1:21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  <c r="S655" t="str">
        <f>IF(Table1[[#This Row],[Age]]&lt;=25,"Young",IF(Table1[[#This Row],[Age]]&lt;=50,"Adult","Senior"))</f>
        <v>Young</v>
      </c>
      <c r="T655" s="1">
        <f>Table1[[#This Row],[Purchase Amount (USD)]]</f>
        <v>68</v>
      </c>
      <c r="U655">
        <f>IF(Table1[[#This Row],[Subscription Status]]="Yes",1,IF(Table1[[#This Row],[Subscription Status]]="No",0))</f>
        <v>1</v>
      </c>
    </row>
    <row r="656" spans="1:21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  <c r="S656" t="str">
        <f>IF(Table1[[#This Row],[Age]]&lt;=25,"Young",IF(Table1[[#This Row],[Age]]&lt;=50,"Adult","Senior"))</f>
        <v>Young</v>
      </c>
      <c r="T656" s="1">
        <f>Table1[[#This Row],[Purchase Amount (USD)]]</f>
        <v>59</v>
      </c>
      <c r="U656">
        <f>IF(Table1[[#This Row],[Subscription Status]]="Yes",1,IF(Table1[[#This Row],[Subscription Status]]="No",0))</f>
        <v>1</v>
      </c>
    </row>
    <row r="657" spans="1:21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  <c r="S657" t="str">
        <f>IF(Table1[[#This Row],[Age]]&lt;=25,"Young",IF(Table1[[#This Row],[Age]]&lt;=50,"Adult","Senior"))</f>
        <v>Young</v>
      </c>
      <c r="T657" s="1">
        <f>Table1[[#This Row],[Purchase Amount (USD)]]</f>
        <v>36</v>
      </c>
      <c r="U657">
        <f>IF(Table1[[#This Row],[Subscription Status]]="Yes",1,IF(Table1[[#This Row],[Subscription Status]]="No",0))</f>
        <v>1</v>
      </c>
    </row>
    <row r="658" spans="1:21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  <c r="S658" t="str">
        <f>IF(Table1[[#This Row],[Age]]&lt;=25,"Young",IF(Table1[[#This Row],[Age]]&lt;=50,"Adult","Senior"))</f>
        <v>Adult</v>
      </c>
      <c r="T658" s="1">
        <f>Table1[[#This Row],[Purchase Amount (USD)]]</f>
        <v>23</v>
      </c>
      <c r="U658">
        <f>IF(Table1[[#This Row],[Subscription Status]]="Yes",1,IF(Table1[[#This Row],[Subscription Status]]="No",0))</f>
        <v>1</v>
      </c>
    </row>
    <row r="659" spans="1:21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  <c r="S659" t="str">
        <f>IF(Table1[[#This Row],[Age]]&lt;=25,"Young",IF(Table1[[#This Row],[Age]]&lt;=50,"Adult","Senior"))</f>
        <v>Adult</v>
      </c>
      <c r="T659" s="1">
        <f>Table1[[#This Row],[Purchase Amount (USD)]]</f>
        <v>80</v>
      </c>
      <c r="U659">
        <f>IF(Table1[[#This Row],[Subscription Status]]="Yes",1,IF(Table1[[#This Row],[Subscription Status]]="No",0))</f>
        <v>1</v>
      </c>
    </row>
    <row r="660" spans="1:21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  <c r="S660" t="str">
        <f>IF(Table1[[#This Row],[Age]]&lt;=25,"Young",IF(Table1[[#This Row],[Age]]&lt;=50,"Adult","Senior"))</f>
        <v>Senior</v>
      </c>
      <c r="T660" s="1">
        <f>Table1[[#This Row],[Purchase Amount (USD)]]</f>
        <v>37</v>
      </c>
      <c r="U660">
        <f>IF(Table1[[#This Row],[Subscription Status]]="Yes",1,IF(Table1[[#This Row],[Subscription Status]]="No",0))</f>
        <v>1</v>
      </c>
    </row>
    <row r="661" spans="1:21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  <c r="S661" t="str">
        <f>IF(Table1[[#This Row],[Age]]&lt;=25,"Young",IF(Table1[[#This Row],[Age]]&lt;=50,"Adult","Senior"))</f>
        <v>Senior</v>
      </c>
      <c r="T661" s="1">
        <f>Table1[[#This Row],[Purchase Amount (USD)]]</f>
        <v>52</v>
      </c>
      <c r="U661">
        <f>IF(Table1[[#This Row],[Subscription Status]]="Yes",1,IF(Table1[[#This Row],[Subscription Status]]="No",0))</f>
        <v>1</v>
      </c>
    </row>
    <row r="662" spans="1:21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  <c r="S662" t="str">
        <f>IF(Table1[[#This Row],[Age]]&lt;=25,"Young",IF(Table1[[#This Row],[Age]]&lt;=50,"Adult","Senior"))</f>
        <v>Adult</v>
      </c>
      <c r="T662" s="1">
        <f>Table1[[#This Row],[Purchase Amount (USD)]]</f>
        <v>79</v>
      </c>
      <c r="U662">
        <f>IF(Table1[[#This Row],[Subscription Status]]="Yes",1,IF(Table1[[#This Row],[Subscription Status]]="No",0))</f>
        <v>1</v>
      </c>
    </row>
    <row r="663" spans="1:21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  <c r="S663" t="str">
        <f>IF(Table1[[#This Row],[Age]]&lt;=25,"Young",IF(Table1[[#This Row],[Age]]&lt;=50,"Adult","Senior"))</f>
        <v>Senior</v>
      </c>
      <c r="T663" s="1">
        <f>Table1[[#This Row],[Purchase Amount (USD)]]</f>
        <v>68</v>
      </c>
      <c r="U663">
        <f>IF(Table1[[#This Row],[Subscription Status]]="Yes",1,IF(Table1[[#This Row],[Subscription Status]]="No",0))</f>
        <v>1</v>
      </c>
    </row>
    <row r="664" spans="1:21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  <c r="S664" t="str">
        <f>IF(Table1[[#This Row],[Age]]&lt;=25,"Young",IF(Table1[[#This Row],[Age]]&lt;=50,"Adult","Senior"))</f>
        <v>Young</v>
      </c>
      <c r="T664" s="1">
        <f>Table1[[#This Row],[Purchase Amount (USD)]]</f>
        <v>98</v>
      </c>
      <c r="U664">
        <f>IF(Table1[[#This Row],[Subscription Status]]="Yes",1,IF(Table1[[#This Row],[Subscription Status]]="No",0))</f>
        <v>1</v>
      </c>
    </row>
    <row r="665" spans="1:21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  <c r="S665" t="str">
        <f>IF(Table1[[#This Row],[Age]]&lt;=25,"Young",IF(Table1[[#This Row],[Age]]&lt;=50,"Adult","Senior"))</f>
        <v>Senior</v>
      </c>
      <c r="T665" s="1">
        <f>Table1[[#This Row],[Purchase Amount (USD)]]</f>
        <v>83</v>
      </c>
      <c r="U665">
        <f>IF(Table1[[#This Row],[Subscription Status]]="Yes",1,IF(Table1[[#This Row],[Subscription Status]]="No",0))</f>
        <v>1</v>
      </c>
    </row>
    <row r="666" spans="1:21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  <c r="S666" t="str">
        <f>IF(Table1[[#This Row],[Age]]&lt;=25,"Young",IF(Table1[[#This Row],[Age]]&lt;=50,"Adult","Senior"))</f>
        <v>Senior</v>
      </c>
      <c r="T666" s="1">
        <f>Table1[[#This Row],[Purchase Amount (USD)]]</f>
        <v>83</v>
      </c>
      <c r="U666">
        <f>IF(Table1[[#This Row],[Subscription Status]]="Yes",1,IF(Table1[[#This Row],[Subscription Status]]="No",0))</f>
        <v>1</v>
      </c>
    </row>
    <row r="667" spans="1:21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  <c r="S667" t="str">
        <f>IF(Table1[[#This Row],[Age]]&lt;=25,"Young",IF(Table1[[#This Row],[Age]]&lt;=50,"Adult","Senior"))</f>
        <v>Adult</v>
      </c>
      <c r="T667" s="1">
        <f>Table1[[#This Row],[Purchase Amount (USD)]]</f>
        <v>55</v>
      </c>
      <c r="U667">
        <f>IF(Table1[[#This Row],[Subscription Status]]="Yes",1,IF(Table1[[#This Row],[Subscription Status]]="No",0))</f>
        <v>1</v>
      </c>
    </row>
    <row r="668" spans="1:21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  <c r="S668" t="str">
        <f>IF(Table1[[#This Row],[Age]]&lt;=25,"Young",IF(Table1[[#This Row],[Age]]&lt;=50,"Adult","Senior"))</f>
        <v>Adult</v>
      </c>
      <c r="T668" s="1">
        <f>Table1[[#This Row],[Purchase Amount (USD)]]</f>
        <v>26</v>
      </c>
      <c r="U668">
        <f>IF(Table1[[#This Row],[Subscription Status]]="Yes",1,IF(Table1[[#This Row],[Subscription Status]]="No",0))</f>
        <v>1</v>
      </c>
    </row>
    <row r="669" spans="1:21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  <c r="S669" t="str">
        <f>IF(Table1[[#This Row],[Age]]&lt;=25,"Young",IF(Table1[[#This Row],[Age]]&lt;=50,"Adult","Senior"))</f>
        <v>Adult</v>
      </c>
      <c r="T669" s="1">
        <f>Table1[[#This Row],[Purchase Amount (USD)]]</f>
        <v>76</v>
      </c>
      <c r="U669">
        <f>IF(Table1[[#This Row],[Subscription Status]]="Yes",1,IF(Table1[[#This Row],[Subscription Status]]="No",0))</f>
        <v>1</v>
      </c>
    </row>
    <row r="670" spans="1:21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  <c r="S670" t="str">
        <f>IF(Table1[[#This Row],[Age]]&lt;=25,"Young",IF(Table1[[#This Row],[Age]]&lt;=50,"Adult","Senior"))</f>
        <v>Adult</v>
      </c>
      <c r="T670" s="1">
        <f>Table1[[#This Row],[Purchase Amount (USD)]]</f>
        <v>85</v>
      </c>
      <c r="U670">
        <f>IF(Table1[[#This Row],[Subscription Status]]="Yes",1,IF(Table1[[#This Row],[Subscription Status]]="No",0))</f>
        <v>1</v>
      </c>
    </row>
    <row r="671" spans="1:21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  <c r="S671" t="str">
        <f>IF(Table1[[#This Row],[Age]]&lt;=25,"Young",IF(Table1[[#This Row],[Age]]&lt;=50,"Adult","Senior"))</f>
        <v>Adult</v>
      </c>
      <c r="T671" s="1">
        <f>Table1[[#This Row],[Purchase Amount (USD)]]</f>
        <v>89</v>
      </c>
      <c r="U671">
        <f>IF(Table1[[#This Row],[Subscription Status]]="Yes",1,IF(Table1[[#This Row],[Subscription Status]]="No",0))</f>
        <v>1</v>
      </c>
    </row>
    <row r="672" spans="1:21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  <c r="S672" t="str">
        <f>IF(Table1[[#This Row],[Age]]&lt;=25,"Young",IF(Table1[[#This Row],[Age]]&lt;=50,"Adult","Senior"))</f>
        <v>Senior</v>
      </c>
      <c r="T672" s="1">
        <f>Table1[[#This Row],[Purchase Amount (USD)]]</f>
        <v>41</v>
      </c>
      <c r="U672">
        <f>IF(Table1[[#This Row],[Subscription Status]]="Yes",1,IF(Table1[[#This Row],[Subscription Status]]="No",0))</f>
        <v>1</v>
      </c>
    </row>
    <row r="673" spans="1:21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  <c r="S673" t="str">
        <f>IF(Table1[[#This Row],[Age]]&lt;=25,"Young",IF(Table1[[#This Row],[Age]]&lt;=50,"Adult","Senior"))</f>
        <v>Adult</v>
      </c>
      <c r="T673" s="1">
        <f>Table1[[#This Row],[Purchase Amount (USD)]]</f>
        <v>30</v>
      </c>
      <c r="U673">
        <f>IF(Table1[[#This Row],[Subscription Status]]="Yes",1,IF(Table1[[#This Row],[Subscription Status]]="No",0))</f>
        <v>1</v>
      </c>
    </row>
    <row r="674" spans="1:21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  <c r="S674" t="str">
        <f>IF(Table1[[#This Row],[Age]]&lt;=25,"Young",IF(Table1[[#This Row],[Age]]&lt;=50,"Adult","Senior"))</f>
        <v>Senior</v>
      </c>
      <c r="T674" s="1">
        <f>Table1[[#This Row],[Purchase Amount (USD)]]</f>
        <v>53</v>
      </c>
      <c r="U674">
        <f>IF(Table1[[#This Row],[Subscription Status]]="Yes",1,IF(Table1[[#This Row],[Subscription Status]]="No",0))</f>
        <v>1</v>
      </c>
    </row>
    <row r="675" spans="1:21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  <c r="S675" t="str">
        <f>IF(Table1[[#This Row],[Age]]&lt;=25,"Young",IF(Table1[[#This Row],[Age]]&lt;=50,"Adult","Senior"))</f>
        <v>Adult</v>
      </c>
      <c r="T675" s="1">
        <f>Table1[[#This Row],[Purchase Amount (USD)]]</f>
        <v>66</v>
      </c>
      <c r="U675">
        <f>IF(Table1[[#This Row],[Subscription Status]]="Yes",1,IF(Table1[[#This Row],[Subscription Status]]="No",0))</f>
        <v>1</v>
      </c>
    </row>
    <row r="676" spans="1:21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  <c r="S676" t="str">
        <f>IF(Table1[[#This Row],[Age]]&lt;=25,"Young",IF(Table1[[#This Row],[Age]]&lt;=50,"Adult","Senior"))</f>
        <v>Adult</v>
      </c>
      <c r="T676" s="1">
        <f>Table1[[#This Row],[Purchase Amount (USD)]]</f>
        <v>33</v>
      </c>
      <c r="U676">
        <f>IF(Table1[[#This Row],[Subscription Status]]="Yes",1,IF(Table1[[#This Row],[Subscription Status]]="No",0))</f>
        <v>1</v>
      </c>
    </row>
    <row r="677" spans="1:21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  <c r="S677" t="str">
        <f>IF(Table1[[#This Row],[Age]]&lt;=25,"Young",IF(Table1[[#This Row],[Age]]&lt;=50,"Adult","Senior"))</f>
        <v>Senior</v>
      </c>
      <c r="T677" s="1">
        <f>Table1[[#This Row],[Purchase Amount (USD)]]</f>
        <v>86</v>
      </c>
      <c r="U677">
        <f>IF(Table1[[#This Row],[Subscription Status]]="Yes",1,IF(Table1[[#This Row],[Subscription Status]]="No",0))</f>
        <v>1</v>
      </c>
    </row>
    <row r="678" spans="1:21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  <c r="S678" t="str">
        <f>IF(Table1[[#This Row],[Age]]&lt;=25,"Young",IF(Table1[[#This Row],[Age]]&lt;=50,"Adult","Senior"))</f>
        <v>Adult</v>
      </c>
      <c r="T678" s="1">
        <f>Table1[[#This Row],[Purchase Amount (USD)]]</f>
        <v>60</v>
      </c>
      <c r="U678">
        <f>IF(Table1[[#This Row],[Subscription Status]]="Yes",1,IF(Table1[[#This Row],[Subscription Status]]="No",0))</f>
        <v>1</v>
      </c>
    </row>
    <row r="679" spans="1:21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  <c r="S679" t="str">
        <f>IF(Table1[[#This Row],[Age]]&lt;=25,"Young",IF(Table1[[#This Row],[Age]]&lt;=50,"Adult","Senior"))</f>
        <v>Senior</v>
      </c>
      <c r="T679" s="1">
        <f>Table1[[#This Row],[Purchase Amount (USD)]]</f>
        <v>62</v>
      </c>
      <c r="U679">
        <f>IF(Table1[[#This Row],[Subscription Status]]="Yes",1,IF(Table1[[#This Row],[Subscription Status]]="No",0))</f>
        <v>1</v>
      </c>
    </row>
    <row r="680" spans="1:21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  <c r="S680" t="str">
        <f>IF(Table1[[#This Row],[Age]]&lt;=25,"Young",IF(Table1[[#This Row],[Age]]&lt;=50,"Adult","Senior"))</f>
        <v>Adult</v>
      </c>
      <c r="T680" s="1">
        <f>Table1[[#This Row],[Purchase Amount (USD)]]</f>
        <v>74</v>
      </c>
      <c r="U680">
        <f>IF(Table1[[#This Row],[Subscription Status]]="Yes",1,IF(Table1[[#This Row],[Subscription Status]]="No",0))</f>
        <v>1</v>
      </c>
    </row>
    <row r="681" spans="1:21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  <c r="S681" t="str">
        <f>IF(Table1[[#This Row],[Age]]&lt;=25,"Young",IF(Table1[[#This Row],[Age]]&lt;=50,"Adult","Senior"))</f>
        <v>Senior</v>
      </c>
      <c r="T681" s="1">
        <f>Table1[[#This Row],[Purchase Amount (USD)]]</f>
        <v>95</v>
      </c>
      <c r="U681">
        <f>IF(Table1[[#This Row],[Subscription Status]]="Yes",1,IF(Table1[[#This Row],[Subscription Status]]="No",0))</f>
        <v>1</v>
      </c>
    </row>
    <row r="682" spans="1:21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  <c r="S682" t="str">
        <f>IF(Table1[[#This Row],[Age]]&lt;=25,"Young",IF(Table1[[#This Row],[Age]]&lt;=50,"Adult","Senior"))</f>
        <v>Senior</v>
      </c>
      <c r="T682" s="1">
        <f>Table1[[#This Row],[Purchase Amount (USD)]]</f>
        <v>25</v>
      </c>
      <c r="U682">
        <f>IF(Table1[[#This Row],[Subscription Status]]="Yes",1,IF(Table1[[#This Row],[Subscription Status]]="No",0))</f>
        <v>1</v>
      </c>
    </row>
    <row r="683" spans="1:21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  <c r="S683" t="str">
        <f>IF(Table1[[#This Row],[Age]]&lt;=25,"Young",IF(Table1[[#This Row],[Age]]&lt;=50,"Adult","Senior"))</f>
        <v>Adult</v>
      </c>
      <c r="T683" s="1">
        <f>Table1[[#This Row],[Purchase Amount (USD)]]</f>
        <v>59</v>
      </c>
      <c r="U683">
        <f>IF(Table1[[#This Row],[Subscription Status]]="Yes",1,IF(Table1[[#This Row],[Subscription Status]]="No",0))</f>
        <v>1</v>
      </c>
    </row>
    <row r="684" spans="1:21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  <c r="S684" t="str">
        <f>IF(Table1[[#This Row],[Age]]&lt;=25,"Young",IF(Table1[[#This Row],[Age]]&lt;=50,"Adult","Senior"))</f>
        <v>Young</v>
      </c>
      <c r="T684" s="1">
        <f>Table1[[#This Row],[Purchase Amount (USD)]]</f>
        <v>29</v>
      </c>
      <c r="U684">
        <f>IF(Table1[[#This Row],[Subscription Status]]="Yes",1,IF(Table1[[#This Row],[Subscription Status]]="No",0))</f>
        <v>1</v>
      </c>
    </row>
    <row r="685" spans="1:21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  <c r="S685" t="str">
        <f>IF(Table1[[#This Row],[Age]]&lt;=25,"Young",IF(Table1[[#This Row],[Age]]&lt;=50,"Adult","Senior"))</f>
        <v>Adult</v>
      </c>
      <c r="T685" s="1">
        <f>Table1[[#This Row],[Purchase Amount (USD)]]</f>
        <v>36</v>
      </c>
      <c r="U685">
        <f>IF(Table1[[#This Row],[Subscription Status]]="Yes",1,IF(Table1[[#This Row],[Subscription Status]]="No",0))</f>
        <v>1</v>
      </c>
    </row>
    <row r="686" spans="1:21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  <c r="S686" t="str">
        <f>IF(Table1[[#This Row],[Age]]&lt;=25,"Young",IF(Table1[[#This Row],[Age]]&lt;=50,"Adult","Senior"))</f>
        <v>Senior</v>
      </c>
      <c r="T686" s="1">
        <f>Table1[[#This Row],[Purchase Amount (USD)]]</f>
        <v>82</v>
      </c>
      <c r="U686">
        <f>IF(Table1[[#This Row],[Subscription Status]]="Yes",1,IF(Table1[[#This Row],[Subscription Status]]="No",0))</f>
        <v>1</v>
      </c>
    </row>
    <row r="687" spans="1:21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  <c r="S687" t="str">
        <f>IF(Table1[[#This Row],[Age]]&lt;=25,"Young",IF(Table1[[#This Row],[Age]]&lt;=50,"Adult","Senior"))</f>
        <v>Senior</v>
      </c>
      <c r="T687" s="1">
        <f>Table1[[#This Row],[Purchase Amount (USD)]]</f>
        <v>71</v>
      </c>
      <c r="U687">
        <f>IF(Table1[[#This Row],[Subscription Status]]="Yes",1,IF(Table1[[#This Row],[Subscription Status]]="No",0))</f>
        <v>1</v>
      </c>
    </row>
    <row r="688" spans="1:21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  <c r="S688" t="str">
        <f>IF(Table1[[#This Row],[Age]]&lt;=25,"Young",IF(Table1[[#This Row],[Age]]&lt;=50,"Adult","Senior"))</f>
        <v>Senior</v>
      </c>
      <c r="T688" s="1">
        <f>Table1[[#This Row],[Purchase Amount (USD)]]</f>
        <v>35</v>
      </c>
      <c r="U688">
        <f>IF(Table1[[#This Row],[Subscription Status]]="Yes",1,IF(Table1[[#This Row],[Subscription Status]]="No",0))</f>
        <v>1</v>
      </c>
    </row>
    <row r="689" spans="1:21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  <c r="S689" t="str">
        <f>IF(Table1[[#This Row],[Age]]&lt;=25,"Young",IF(Table1[[#This Row],[Age]]&lt;=50,"Adult","Senior"))</f>
        <v>Young</v>
      </c>
      <c r="T689" s="1">
        <f>Table1[[#This Row],[Purchase Amount (USD)]]</f>
        <v>38</v>
      </c>
      <c r="U689">
        <f>IF(Table1[[#This Row],[Subscription Status]]="Yes",1,IF(Table1[[#This Row],[Subscription Status]]="No",0))</f>
        <v>1</v>
      </c>
    </row>
    <row r="690" spans="1:21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  <c r="S690" t="str">
        <f>IF(Table1[[#This Row],[Age]]&lt;=25,"Young",IF(Table1[[#This Row],[Age]]&lt;=50,"Adult","Senior"))</f>
        <v>Young</v>
      </c>
      <c r="T690" s="1">
        <f>Table1[[#This Row],[Purchase Amount (USD)]]</f>
        <v>59</v>
      </c>
      <c r="U690">
        <f>IF(Table1[[#This Row],[Subscription Status]]="Yes",1,IF(Table1[[#This Row],[Subscription Status]]="No",0))</f>
        <v>1</v>
      </c>
    </row>
    <row r="691" spans="1:21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  <c r="S691" t="str">
        <f>IF(Table1[[#This Row],[Age]]&lt;=25,"Young",IF(Table1[[#This Row],[Age]]&lt;=50,"Adult","Senior"))</f>
        <v>Young</v>
      </c>
      <c r="T691" s="1">
        <f>Table1[[#This Row],[Purchase Amount (USD)]]</f>
        <v>91</v>
      </c>
      <c r="U691">
        <f>IF(Table1[[#This Row],[Subscription Status]]="Yes",1,IF(Table1[[#This Row],[Subscription Status]]="No",0))</f>
        <v>1</v>
      </c>
    </row>
    <row r="692" spans="1:21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  <c r="S692" t="str">
        <f>IF(Table1[[#This Row],[Age]]&lt;=25,"Young",IF(Table1[[#This Row],[Age]]&lt;=50,"Adult","Senior"))</f>
        <v>Young</v>
      </c>
      <c r="T692" s="1">
        <f>Table1[[#This Row],[Purchase Amount (USD)]]</f>
        <v>68</v>
      </c>
      <c r="U692">
        <f>IF(Table1[[#This Row],[Subscription Status]]="Yes",1,IF(Table1[[#This Row],[Subscription Status]]="No",0))</f>
        <v>1</v>
      </c>
    </row>
    <row r="693" spans="1:21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  <c r="S693" t="str">
        <f>IF(Table1[[#This Row],[Age]]&lt;=25,"Young",IF(Table1[[#This Row],[Age]]&lt;=50,"Adult","Senior"))</f>
        <v>Senior</v>
      </c>
      <c r="T693" s="1">
        <f>Table1[[#This Row],[Purchase Amount (USD)]]</f>
        <v>21</v>
      </c>
      <c r="U693">
        <f>IF(Table1[[#This Row],[Subscription Status]]="Yes",1,IF(Table1[[#This Row],[Subscription Status]]="No",0))</f>
        <v>1</v>
      </c>
    </row>
    <row r="694" spans="1:21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  <c r="S694" t="str">
        <f>IF(Table1[[#This Row],[Age]]&lt;=25,"Young",IF(Table1[[#This Row],[Age]]&lt;=50,"Adult","Senior"))</f>
        <v>Adult</v>
      </c>
      <c r="T694" s="1">
        <f>Table1[[#This Row],[Purchase Amount (USD)]]</f>
        <v>95</v>
      </c>
      <c r="U694">
        <f>IF(Table1[[#This Row],[Subscription Status]]="Yes",1,IF(Table1[[#This Row],[Subscription Status]]="No",0))</f>
        <v>1</v>
      </c>
    </row>
    <row r="695" spans="1:21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  <c r="S695" t="str">
        <f>IF(Table1[[#This Row],[Age]]&lt;=25,"Young",IF(Table1[[#This Row],[Age]]&lt;=50,"Adult","Senior"))</f>
        <v>Adult</v>
      </c>
      <c r="T695" s="1">
        <f>Table1[[#This Row],[Purchase Amount (USD)]]</f>
        <v>52</v>
      </c>
      <c r="U695">
        <f>IF(Table1[[#This Row],[Subscription Status]]="Yes",1,IF(Table1[[#This Row],[Subscription Status]]="No",0))</f>
        <v>1</v>
      </c>
    </row>
    <row r="696" spans="1:21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  <c r="S696" t="str">
        <f>IF(Table1[[#This Row],[Age]]&lt;=25,"Young",IF(Table1[[#This Row],[Age]]&lt;=50,"Adult","Senior"))</f>
        <v>Adult</v>
      </c>
      <c r="T696" s="1">
        <f>Table1[[#This Row],[Purchase Amount (USD)]]</f>
        <v>21</v>
      </c>
      <c r="U696">
        <f>IF(Table1[[#This Row],[Subscription Status]]="Yes",1,IF(Table1[[#This Row],[Subscription Status]]="No",0))</f>
        <v>1</v>
      </c>
    </row>
    <row r="697" spans="1:21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  <c r="S697" t="str">
        <f>IF(Table1[[#This Row],[Age]]&lt;=25,"Young",IF(Table1[[#This Row],[Age]]&lt;=50,"Adult","Senior"))</f>
        <v>Adult</v>
      </c>
      <c r="T697" s="1">
        <f>Table1[[#This Row],[Purchase Amount (USD)]]</f>
        <v>67</v>
      </c>
      <c r="U697">
        <f>IF(Table1[[#This Row],[Subscription Status]]="Yes",1,IF(Table1[[#This Row],[Subscription Status]]="No",0))</f>
        <v>1</v>
      </c>
    </row>
    <row r="698" spans="1:21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  <c r="S698" t="str">
        <f>IF(Table1[[#This Row],[Age]]&lt;=25,"Young",IF(Table1[[#This Row],[Age]]&lt;=50,"Adult","Senior"))</f>
        <v>Adult</v>
      </c>
      <c r="T698" s="1">
        <f>Table1[[#This Row],[Purchase Amount (USD)]]</f>
        <v>42</v>
      </c>
      <c r="U698">
        <f>IF(Table1[[#This Row],[Subscription Status]]="Yes",1,IF(Table1[[#This Row],[Subscription Status]]="No",0))</f>
        <v>1</v>
      </c>
    </row>
    <row r="699" spans="1:21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  <c r="S699" t="str">
        <f>IF(Table1[[#This Row],[Age]]&lt;=25,"Young",IF(Table1[[#This Row],[Age]]&lt;=50,"Adult","Senior"))</f>
        <v>Senior</v>
      </c>
      <c r="T699" s="1">
        <f>Table1[[#This Row],[Purchase Amount (USD)]]</f>
        <v>63</v>
      </c>
      <c r="U699">
        <f>IF(Table1[[#This Row],[Subscription Status]]="Yes",1,IF(Table1[[#This Row],[Subscription Status]]="No",0))</f>
        <v>1</v>
      </c>
    </row>
    <row r="700" spans="1:21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  <c r="S700" t="str">
        <f>IF(Table1[[#This Row],[Age]]&lt;=25,"Young",IF(Table1[[#This Row],[Age]]&lt;=50,"Adult","Senior"))</f>
        <v>Senior</v>
      </c>
      <c r="T700" s="1">
        <f>Table1[[#This Row],[Purchase Amount (USD)]]</f>
        <v>41</v>
      </c>
      <c r="U700">
        <f>IF(Table1[[#This Row],[Subscription Status]]="Yes",1,IF(Table1[[#This Row],[Subscription Status]]="No",0))</f>
        <v>1</v>
      </c>
    </row>
    <row r="701" spans="1:21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  <c r="S701" t="str">
        <f>IF(Table1[[#This Row],[Age]]&lt;=25,"Young",IF(Table1[[#This Row],[Age]]&lt;=50,"Adult","Senior"))</f>
        <v>Adult</v>
      </c>
      <c r="T701" s="1">
        <f>Table1[[#This Row],[Purchase Amount (USD)]]</f>
        <v>46</v>
      </c>
      <c r="U701">
        <f>IF(Table1[[#This Row],[Subscription Status]]="Yes",1,IF(Table1[[#This Row],[Subscription Status]]="No",0))</f>
        <v>1</v>
      </c>
    </row>
    <row r="702" spans="1:21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  <c r="S702" t="str">
        <f>IF(Table1[[#This Row],[Age]]&lt;=25,"Young",IF(Table1[[#This Row],[Age]]&lt;=50,"Adult","Senior"))</f>
        <v>Senior</v>
      </c>
      <c r="T702" s="1">
        <f>Table1[[#This Row],[Purchase Amount (USD)]]</f>
        <v>79</v>
      </c>
      <c r="U702">
        <f>IF(Table1[[#This Row],[Subscription Status]]="Yes",1,IF(Table1[[#This Row],[Subscription Status]]="No",0))</f>
        <v>1</v>
      </c>
    </row>
    <row r="703" spans="1:21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  <c r="S703" t="str">
        <f>IF(Table1[[#This Row],[Age]]&lt;=25,"Young",IF(Table1[[#This Row],[Age]]&lt;=50,"Adult","Senior"))</f>
        <v>Senior</v>
      </c>
      <c r="T703" s="1">
        <f>Table1[[#This Row],[Purchase Amount (USD)]]</f>
        <v>90</v>
      </c>
      <c r="U703">
        <f>IF(Table1[[#This Row],[Subscription Status]]="Yes",1,IF(Table1[[#This Row],[Subscription Status]]="No",0))</f>
        <v>1</v>
      </c>
    </row>
    <row r="704" spans="1:21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  <c r="S704" t="str">
        <f>IF(Table1[[#This Row],[Age]]&lt;=25,"Young",IF(Table1[[#This Row],[Age]]&lt;=50,"Adult","Senior"))</f>
        <v>Young</v>
      </c>
      <c r="T704" s="1">
        <f>Table1[[#This Row],[Purchase Amount (USD)]]</f>
        <v>71</v>
      </c>
      <c r="U704">
        <f>IF(Table1[[#This Row],[Subscription Status]]="Yes",1,IF(Table1[[#This Row],[Subscription Status]]="No",0))</f>
        <v>1</v>
      </c>
    </row>
    <row r="705" spans="1:21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  <c r="S705" t="str">
        <f>IF(Table1[[#This Row],[Age]]&lt;=25,"Young",IF(Table1[[#This Row],[Age]]&lt;=50,"Adult","Senior"))</f>
        <v>Senior</v>
      </c>
      <c r="T705" s="1">
        <f>Table1[[#This Row],[Purchase Amount (USD)]]</f>
        <v>87</v>
      </c>
      <c r="U705">
        <f>IF(Table1[[#This Row],[Subscription Status]]="Yes",1,IF(Table1[[#This Row],[Subscription Status]]="No",0))</f>
        <v>1</v>
      </c>
    </row>
    <row r="706" spans="1:21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  <c r="S706" t="str">
        <f>IF(Table1[[#This Row],[Age]]&lt;=25,"Young",IF(Table1[[#This Row],[Age]]&lt;=50,"Adult","Senior"))</f>
        <v>Adult</v>
      </c>
      <c r="T706" s="1">
        <f>Table1[[#This Row],[Purchase Amount (USD)]]</f>
        <v>66</v>
      </c>
      <c r="U706">
        <f>IF(Table1[[#This Row],[Subscription Status]]="Yes",1,IF(Table1[[#This Row],[Subscription Status]]="No",0))</f>
        <v>1</v>
      </c>
    </row>
    <row r="707" spans="1:21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  <c r="S707" t="str">
        <f>IF(Table1[[#This Row],[Age]]&lt;=25,"Young",IF(Table1[[#This Row],[Age]]&lt;=50,"Adult","Senior"))</f>
        <v>Young</v>
      </c>
      <c r="T707" s="1">
        <f>Table1[[#This Row],[Purchase Amount (USD)]]</f>
        <v>90</v>
      </c>
      <c r="U707">
        <f>IF(Table1[[#This Row],[Subscription Status]]="Yes",1,IF(Table1[[#This Row],[Subscription Status]]="No",0))</f>
        <v>1</v>
      </c>
    </row>
    <row r="708" spans="1:21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  <c r="S708" t="str">
        <f>IF(Table1[[#This Row],[Age]]&lt;=25,"Young",IF(Table1[[#This Row],[Age]]&lt;=50,"Adult","Senior"))</f>
        <v>Adult</v>
      </c>
      <c r="T708" s="1">
        <f>Table1[[#This Row],[Purchase Amount (USD)]]</f>
        <v>47</v>
      </c>
      <c r="U708">
        <f>IF(Table1[[#This Row],[Subscription Status]]="Yes",1,IF(Table1[[#This Row],[Subscription Status]]="No",0))</f>
        <v>1</v>
      </c>
    </row>
    <row r="709" spans="1:21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  <c r="S709" t="str">
        <f>IF(Table1[[#This Row],[Age]]&lt;=25,"Young",IF(Table1[[#This Row],[Age]]&lt;=50,"Adult","Senior"))</f>
        <v>Senior</v>
      </c>
      <c r="T709" s="1">
        <f>Table1[[#This Row],[Purchase Amount (USD)]]</f>
        <v>38</v>
      </c>
      <c r="U709">
        <f>IF(Table1[[#This Row],[Subscription Status]]="Yes",1,IF(Table1[[#This Row],[Subscription Status]]="No",0))</f>
        <v>1</v>
      </c>
    </row>
    <row r="710" spans="1:21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  <c r="S710" t="str">
        <f>IF(Table1[[#This Row],[Age]]&lt;=25,"Young",IF(Table1[[#This Row],[Age]]&lt;=50,"Adult","Senior"))</f>
        <v>Adult</v>
      </c>
      <c r="T710" s="1">
        <f>Table1[[#This Row],[Purchase Amount (USD)]]</f>
        <v>50</v>
      </c>
      <c r="U710">
        <f>IF(Table1[[#This Row],[Subscription Status]]="Yes",1,IF(Table1[[#This Row],[Subscription Status]]="No",0))</f>
        <v>1</v>
      </c>
    </row>
    <row r="711" spans="1:21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  <c r="S711" t="str">
        <f>IF(Table1[[#This Row],[Age]]&lt;=25,"Young",IF(Table1[[#This Row],[Age]]&lt;=50,"Adult","Senior"))</f>
        <v>Adult</v>
      </c>
      <c r="T711" s="1">
        <f>Table1[[#This Row],[Purchase Amount (USD)]]</f>
        <v>79</v>
      </c>
      <c r="U711">
        <f>IF(Table1[[#This Row],[Subscription Status]]="Yes",1,IF(Table1[[#This Row],[Subscription Status]]="No",0))</f>
        <v>1</v>
      </c>
    </row>
    <row r="712" spans="1:21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  <c r="S712" t="str">
        <f>IF(Table1[[#This Row],[Age]]&lt;=25,"Young",IF(Table1[[#This Row],[Age]]&lt;=50,"Adult","Senior"))</f>
        <v>Young</v>
      </c>
      <c r="T712" s="1">
        <f>Table1[[#This Row],[Purchase Amount (USD)]]</f>
        <v>91</v>
      </c>
      <c r="U712">
        <f>IF(Table1[[#This Row],[Subscription Status]]="Yes",1,IF(Table1[[#This Row],[Subscription Status]]="No",0))</f>
        <v>1</v>
      </c>
    </row>
    <row r="713" spans="1:21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  <c r="S713" t="str">
        <f>IF(Table1[[#This Row],[Age]]&lt;=25,"Young",IF(Table1[[#This Row],[Age]]&lt;=50,"Adult","Senior"))</f>
        <v>Senior</v>
      </c>
      <c r="T713" s="1">
        <f>Table1[[#This Row],[Purchase Amount (USD)]]</f>
        <v>60</v>
      </c>
      <c r="U713">
        <f>IF(Table1[[#This Row],[Subscription Status]]="Yes",1,IF(Table1[[#This Row],[Subscription Status]]="No",0))</f>
        <v>1</v>
      </c>
    </row>
    <row r="714" spans="1:21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  <c r="S714" t="str">
        <f>IF(Table1[[#This Row],[Age]]&lt;=25,"Young",IF(Table1[[#This Row],[Age]]&lt;=50,"Adult","Senior"))</f>
        <v>Adult</v>
      </c>
      <c r="T714" s="1">
        <f>Table1[[#This Row],[Purchase Amount (USD)]]</f>
        <v>81</v>
      </c>
      <c r="U714">
        <f>IF(Table1[[#This Row],[Subscription Status]]="Yes",1,IF(Table1[[#This Row],[Subscription Status]]="No",0))</f>
        <v>1</v>
      </c>
    </row>
    <row r="715" spans="1:21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  <c r="S715" t="str">
        <f>IF(Table1[[#This Row],[Age]]&lt;=25,"Young",IF(Table1[[#This Row],[Age]]&lt;=50,"Adult","Senior"))</f>
        <v>Adult</v>
      </c>
      <c r="T715" s="1">
        <f>Table1[[#This Row],[Purchase Amount (USD)]]</f>
        <v>90</v>
      </c>
      <c r="U715">
        <f>IF(Table1[[#This Row],[Subscription Status]]="Yes",1,IF(Table1[[#This Row],[Subscription Status]]="No",0))</f>
        <v>1</v>
      </c>
    </row>
    <row r="716" spans="1:21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  <c r="S716" t="str">
        <f>IF(Table1[[#This Row],[Age]]&lt;=25,"Young",IF(Table1[[#This Row],[Age]]&lt;=50,"Adult","Senior"))</f>
        <v>Adult</v>
      </c>
      <c r="T716" s="1">
        <f>Table1[[#This Row],[Purchase Amount (USD)]]</f>
        <v>70</v>
      </c>
      <c r="U716">
        <f>IF(Table1[[#This Row],[Subscription Status]]="Yes",1,IF(Table1[[#This Row],[Subscription Status]]="No",0))</f>
        <v>1</v>
      </c>
    </row>
    <row r="717" spans="1:21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  <c r="S717" t="str">
        <f>IF(Table1[[#This Row],[Age]]&lt;=25,"Young",IF(Table1[[#This Row],[Age]]&lt;=50,"Adult","Senior"))</f>
        <v>Adult</v>
      </c>
      <c r="T717" s="1">
        <f>Table1[[#This Row],[Purchase Amount (USD)]]</f>
        <v>63</v>
      </c>
      <c r="U717">
        <f>IF(Table1[[#This Row],[Subscription Status]]="Yes",1,IF(Table1[[#This Row],[Subscription Status]]="No",0))</f>
        <v>1</v>
      </c>
    </row>
    <row r="718" spans="1:21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  <c r="S718" t="str">
        <f>IF(Table1[[#This Row],[Age]]&lt;=25,"Young",IF(Table1[[#This Row],[Age]]&lt;=50,"Adult","Senior"))</f>
        <v>Adult</v>
      </c>
      <c r="T718" s="1">
        <f>Table1[[#This Row],[Purchase Amount (USD)]]</f>
        <v>29</v>
      </c>
      <c r="U718">
        <f>IF(Table1[[#This Row],[Subscription Status]]="Yes",1,IF(Table1[[#This Row],[Subscription Status]]="No",0))</f>
        <v>1</v>
      </c>
    </row>
    <row r="719" spans="1:21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  <c r="S719" t="str">
        <f>IF(Table1[[#This Row],[Age]]&lt;=25,"Young",IF(Table1[[#This Row],[Age]]&lt;=50,"Adult","Senior"))</f>
        <v>Young</v>
      </c>
      <c r="T719" s="1">
        <f>Table1[[#This Row],[Purchase Amount (USD)]]</f>
        <v>90</v>
      </c>
      <c r="U719">
        <f>IF(Table1[[#This Row],[Subscription Status]]="Yes",1,IF(Table1[[#This Row],[Subscription Status]]="No",0))</f>
        <v>1</v>
      </c>
    </row>
    <row r="720" spans="1:21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  <c r="S720" t="str">
        <f>IF(Table1[[#This Row],[Age]]&lt;=25,"Young",IF(Table1[[#This Row],[Age]]&lt;=50,"Adult","Senior"))</f>
        <v>Young</v>
      </c>
      <c r="T720" s="1">
        <f>Table1[[#This Row],[Purchase Amount (USD)]]</f>
        <v>22</v>
      </c>
      <c r="U720">
        <f>IF(Table1[[#This Row],[Subscription Status]]="Yes",1,IF(Table1[[#This Row],[Subscription Status]]="No",0))</f>
        <v>1</v>
      </c>
    </row>
    <row r="721" spans="1:21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  <c r="S721" t="str">
        <f>IF(Table1[[#This Row],[Age]]&lt;=25,"Young",IF(Table1[[#This Row],[Age]]&lt;=50,"Adult","Senior"))</f>
        <v>Senior</v>
      </c>
      <c r="T721" s="1">
        <f>Table1[[#This Row],[Purchase Amount (USD)]]</f>
        <v>22</v>
      </c>
      <c r="U721">
        <f>IF(Table1[[#This Row],[Subscription Status]]="Yes",1,IF(Table1[[#This Row],[Subscription Status]]="No",0))</f>
        <v>1</v>
      </c>
    </row>
    <row r="722" spans="1:21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  <c r="S722" t="str">
        <f>IF(Table1[[#This Row],[Age]]&lt;=25,"Young",IF(Table1[[#This Row],[Age]]&lt;=50,"Adult","Senior"))</f>
        <v>Adult</v>
      </c>
      <c r="T722" s="1">
        <f>Table1[[#This Row],[Purchase Amount (USD)]]</f>
        <v>62</v>
      </c>
      <c r="U722">
        <f>IF(Table1[[#This Row],[Subscription Status]]="Yes",1,IF(Table1[[#This Row],[Subscription Status]]="No",0))</f>
        <v>1</v>
      </c>
    </row>
    <row r="723" spans="1:21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  <c r="S723" t="str">
        <f>IF(Table1[[#This Row],[Age]]&lt;=25,"Young",IF(Table1[[#This Row],[Age]]&lt;=50,"Adult","Senior"))</f>
        <v>Adult</v>
      </c>
      <c r="T723" s="1">
        <f>Table1[[#This Row],[Purchase Amount (USD)]]</f>
        <v>57</v>
      </c>
      <c r="U723">
        <f>IF(Table1[[#This Row],[Subscription Status]]="Yes",1,IF(Table1[[#This Row],[Subscription Status]]="No",0))</f>
        <v>1</v>
      </c>
    </row>
    <row r="724" spans="1:21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  <c r="S724" t="str">
        <f>IF(Table1[[#This Row],[Age]]&lt;=25,"Young",IF(Table1[[#This Row],[Age]]&lt;=50,"Adult","Senior"))</f>
        <v>Adult</v>
      </c>
      <c r="T724" s="1">
        <f>Table1[[#This Row],[Purchase Amount (USD)]]</f>
        <v>32</v>
      </c>
      <c r="U724">
        <f>IF(Table1[[#This Row],[Subscription Status]]="Yes",1,IF(Table1[[#This Row],[Subscription Status]]="No",0))</f>
        <v>1</v>
      </c>
    </row>
    <row r="725" spans="1:21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  <c r="S725" t="str">
        <f>IF(Table1[[#This Row],[Age]]&lt;=25,"Young",IF(Table1[[#This Row],[Age]]&lt;=50,"Adult","Senior"))</f>
        <v>Adult</v>
      </c>
      <c r="T725" s="1">
        <f>Table1[[#This Row],[Purchase Amount (USD)]]</f>
        <v>53</v>
      </c>
      <c r="U725">
        <f>IF(Table1[[#This Row],[Subscription Status]]="Yes",1,IF(Table1[[#This Row],[Subscription Status]]="No",0))</f>
        <v>1</v>
      </c>
    </row>
    <row r="726" spans="1:21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  <c r="S726" t="str">
        <f>IF(Table1[[#This Row],[Age]]&lt;=25,"Young",IF(Table1[[#This Row],[Age]]&lt;=50,"Adult","Senior"))</f>
        <v>Adult</v>
      </c>
      <c r="T726" s="1">
        <f>Table1[[#This Row],[Purchase Amount (USD)]]</f>
        <v>79</v>
      </c>
      <c r="U726">
        <f>IF(Table1[[#This Row],[Subscription Status]]="Yes",1,IF(Table1[[#This Row],[Subscription Status]]="No",0))</f>
        <v>1</v>
      </c>
    </row>
    <row r="727" spans="1:21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  <c r="S727" t="str">
        <f>IF(Table1[[#This Row],[Age]]&lt;=25,"Young",IF(Table1[[#This Row],[Age]]&lt;=50,"Adult","Senior"))</f>
        <v>Senior</v>
      </c>
      <c r="T727" s="1">
        <f>Table1[[#This Row],[Purchase Amount (USD)]]</f>
        <v>61</v>
      </c>
      <c r="U727">
        <f>IF(Table1[[#This Row],[Subscription Status]]="Yes",1,IF(Table1[[#This Row],[Subscription Status]]="No",0))</f>
        <v>1</v>
      </c>
    </row>
    <row r="728" spans="1:21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  <c r="S728" t="str">
        <f>IF(Table1[[#This Row],[Age]]&lt;=25,"Young",IF(Table1[[#This Row],[Age]]&lt;=50,"Adult","Senior"))</f>
        <v>Adult</v>
      </c>
      <c r="T728" s="1">
        <f>Table1[[#This Row],[Purchase Amount (USD)]]</f>
        <v>78</v>
      </c>
      <c r="U728">
        <f>IF(Table1[[#This Row],[Subscription Status]]="Yes",1,IF(Table1[[#This Row],[Subscription Status]]="No",0))</f>
        <v>1</v>
      </c>
    </row>
    <row r="729" spans="1:21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  <c r="S729" t="str">
        <f>IF(Table1[[#This Row],[Age]]&lt;=25,"Young",IF(Table1[[#This Row],[Age]]&lt;=50,"Adult","Senior"))</f>
        <v>Senior</v>
      </c>
      <c r="T729" s="1">
        <f>Table1[[#This Row],[Purchase Amount (USD)]]</f>
        <v>97</v>
      </c>
      <c r="U729">
        <f>IF(Table1[[#This Row],[Subscription Status]]="Yes",1,IF(Table1[[#This Row],[Subscription Status]]="No",0))</f>
        <v>1</v>
      </c>
    </row>
    <row r="730" spans="1:21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  <c r="S730" t="str">
        <f>IF(Table1[[#This Row],[Age]]&lt;=25,"Young",IF(Table1[[#This Row],[Age]]&lt;=50,"Adult","Senior"))</f>
        <v>Adult</v>
      </c>
      <c r="T730" s="1">
        <f>Table1[[#This Row],[Purchase Amount (USD)]]</f>
        <v>78</v>
      </c>
      <c r="U730">
        <f>IF(Table1[[#This Row],[Subscription Status]]="Yes",1,IF(Table1[[#This Row],[Subscription Status]]="No",0))</f>
        <v>1</v>
      </c>
    </row>
    <row r="731" spans="1:21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  <c r="S731" t="str">
        <f>IF(Table1[[#This Row],[Age]]&lt;=25,"Young",IF(Table1[[#This Row],[Age]]&lt;=50,"Adult","Senior"))</f>
        <v>Adult</v>
      </c>
      <c r="T731" s="1">
        <f>Table1[[#This Row],[Purchase Amount (USD)]]</f>
        <v>56</v>
      </c>
      <c r="U731">
        <f>IF(Table1[[#This Row],[Subscription Status]]="Yes",1,IF(Table1[[#This Row],[Subscription Status]]="No",0))</f>
        <v>1</v>
      </c>
    </row>
    <row r="732" spans="1:21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  <c r="S732" t="str">
        <f>IF(Table1[[#This Row],[Age]]&lt;=25,"Young",IF(Table1[[#This Row],[Age]]&lt;=50,"Adult","Senior"))</f>
        <v>Adult</v>
      </c>
      <c r="T732" s="1">
        <f>Table1[[#This Row],[Purchase Amount (USD)]]</f>
        <v>25</v>
      </c>
      <c r="U732">
        <f>IF(Table1[[#This Row],[Subscription Status]]="Yes",1,IF(Table1[[#This Row],[Subscription Status]]="No",0))</f>
        <v>1</v>
      </c>
    </row>
    <row r="733" spans="1:21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  <c r="S733" t="str">
        <f>IF(Table1[[#This Row],[Age]]&lt;=25,"Young",IF(Table1[[#This Row],[Age]]&lt;=50,"Adult","Senior"))</f>
        <v>Adult</v>
      </c>
      <c r="T733" s="1">
        <f>Table1[[#This Row],[Purchase Amount (USD)]]</f>
        <v>28</v>
      </c>
      <c r="U733">
        <f>IF(Table1[[#This Row],[Subscription Status]]="Yes",1,IF(Table1[[#This Row],[Subscription Status]]="No",0))</f>
        <v>1</v>
      </c>
    </row>
    <row r="734" spans="1:21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  <c r="S734" t="str">
        <f>IF(Table1[[#This Row],[Age]]&lt;=25,"Young",IF(Table1[[#This Row],[Age]]&lt;=50,"Adult","Senior"))</f>
        <v>Adult</v>
      </c>
      <c r="T734" s="1">
        <f>Table1[[#This Row],[Purchase Amount (USD)]]</f>
        <v>57</v>
      </c>
      <c r="U734">
        <f>IF(Table1[[#This Row],[Subscription Status]]="Yes",1,IF(Table1[[#This Row],[Subscription Status]]="No",0))</f>
        <v>1</v>
      </c>
    </row>
    <row r="735" spans="1:21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  <c r="S735" t="str">
        <f>IF(Table1[[#This Row],[Age]]&lt;=25,"Young",IF(Table1[[#This Row],[Age]]&lt;=50,"Adult","Senior"))</f>
        <v>Adult</v>
      </c>
      <c r="T735" s="1">
        <f>Table1[[#This Row],[Purchase Amount (USD)]]</f>
        <v>36</v>
      </c>
      <c r="U735">
        <f>IF(Table1[[#This Row],[Subscription Status]]="Yes",1,IF(Table1[[#This Row],[Subscription Status]]="No",0))</f>
        <v>1</v>
      </c>
    </row>
    <row r="736" spans="1:21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  <c r="S736" t="str">
        <f>IF(Table1[[#This Row],[Age]]&lt;=25,"Young",IF(Table1[[#This Row],[Age]]&lt;=50,"Adult","Senior"))</f>
        <v>Senior</v>
      </c>
      <c r="T736" s="1">
        <f>Table1[[#This Row],[Purchase Amount (USD)]]</f>
        <v>69</v>
      </c>
      <c r="U736">
        <f>IF(Table1[[#This Row],[Subscription Status]]="Yes",1,IF(Table1[[#This Row],[Subscription Status]]="No",0))</f>
        <v>1</v>
      </c>
    </row>
    <row r="737" spans="1:21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  <c r="S737" t="str">
        <f>IF(Table1[[#This Row],[Age]]&lt;=25,"Young",IF(Table1[[#This Row],[Age]]&lt;=50,"Adult","Senior"))</f>
        <v>Senior</v>
      </c>
      <c r="T737" s="1">
        <f>Table1[[#This Row],[Purchase Amount (USD)]]</f>
        <v>48</v>
      </c>
      <c r="U737">
        <f>IF(Table1[[#This Row],[Subscription Status]]="Yes",1,IF(Table1[[#This Row],[Subscription Status]]="No",0))</f>
        <v>1</v>
      </c>
    </row>
    <row r="738" spans="1:21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  <c r="S738" t="str">
        <f>IF(Table1[[#This Row],[Age]]&lt;=25,"Young",IF(Table1[[#This Row],[Age]]&lt;=50,"Adult","Senior"))</f>
        <v>Young</v>
      </c>
      <c r="T738" s="1">
        <f>Table1[[#This Row],[Purchase Amount (USD)]]</f>
        <v>58</v>
      </c>
      <c r="U738">
        <f>IF(Table1[[#This Row],[Subscription Status]]="Yes",1,IF(Table1[[#This Row],[Subscription Status]]="No",0))</f>
        <v>1</v>
      </c>
    </row>
    <row r="739" spans="1:21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  <c r="S739" t="str">
        <f>IF(Table1[[#This Row],[Age]]&lt;=25,"Young",IF(Table1[[#This Row],[Age]]&lt;=50,"Adult","Senior"))</f>
        <v>Adult</v>
      </c>
      <c r="T739" s="1">
        <f>Table1[[#This Row],[Purchase Amount (USD)]]</f>
        <v>24</v>
      </c>
      <c r="U739">
        <f>IF(Table1[[#This Row],[Subscription Status]]="Yes",1,IF(Table1[[#This Row],[Subscription Status]]="No",0))</f>
        <v>1</v>
      </c>
    </row>
    <row r="740" spans="1:21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  <c r="S740" t="str">
        <f>IF(Table1[[#This Row],[Age]]&lt;=25,"Young",IF(Table1[[#This Row],[Age]]&lt;=50,"Adult","Senior"))</f>
        <v>Senior</v>
      </c>
      <c r="T740" s="1">
        <f>Table1[[#This Row],[Purchase Amount (USD)]]</f>
        <v>31</v>
      </c>
      <c r="U740">
        <f>IF(Table1[[#This Row],[Subscription Status]]="Yes",1,IF(Table1[[#This Row],[Subscription Status]]="No",0))</f>
        <v>1</v>
      </c>
    </row>
    <row r="741" spans="1:21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  <c r="S741" t="str">
        <f>IF(Table1[[#This Row],[Age]]&lt;=25,"Young",IF(Table1[[#This Row],[Age]]&lt;=50,"Adult","Senior"))</f>
        <v>Senior</v>
      </c>
      <c r="T741" s="1">
        <f>Table1[[#This Row],[Purchase Amount (USD)]]</f>
        <v>29</v>
      </c>
      <c r="U741">
        <f>IF(Table1[[#This Row],[Subscription Status]]="Yes",1,IF(Table1[[#This Row],[Subscription Status]]="No",0))</f>
        <v>1</v>
      </c>
    </row>
    <row r="742" spans="1:21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  <c r="S742" t="str">
        <f>IF(Table1[[#This Row],[Age]]&lt;=25,"Young",IF(Table1[[#This Row],[Age]]&lt;=50,"Adult","Senior"))</f>
        <v>Adult</v>
      </c>
      <c r="T742" s="1">
        <f>Table1[[#This Row],[Purchase Amount (USD)]]</f>
        <v>69</v>
      </c>
      <c r="U742">
        <f>IF(Table1[[#This Row],[Subscription Status]]="Yes",1,IF(Table1[[#This Row],[Subscription Status]]="No",0))</f>
        <v>1</v>
      </c>
    </row>
    <row r="743" spans="1:21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  <c r="S743" t="str">
        <f>IF(Table1[[#This Row],[Age]]&lt;=25,"Young",IF(Table1[[#This Row],[Age]]&lt;=50,"Adult","Senior"))</f>
        <v>Young</v>
      </c>
      <c r="T743" s="1">
        <f>Table1[[#This Row],[Purchase Amount (USD)]]</f>
        <v>79</v>
      </c>
      <c r="U743">
        <f>IF(Table1[[#This Row],[Subscription Status]]="Yes",1,IF(Table1[[#This Row],[Subscription Status]]="No",0))</f>
        <v>1</v>
      </c>
    </row>
    <row r="744" spans="1:21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  <c r="S744" t="str">
        <f>IF(Table1[[#This Row],[Age]]&lt;=25,"Young",IF(Table1[[#This Row],[Age]]&lt;=50,"Adult","Senior"))</f>
        <v>Senior</v>
      </c>
      <c r="T744" s="1">
        <f>Table1[[#This Row],[Purchase Amount (USD)]]</f>
        <v>39</v>
      </c>
      <c r="U744">
        <f>IF(Table1[[#This Row],[Subscription Status]]="Yes",1,IF(Table1[[#This Row],[Subscription Status]]="No",0))</f>
        <v>1</v>
      </c>
    </row>
    <row r="745" spans="1:21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  <c r="S745" t="str">
        <f>IF(Table1[[#This Row],[Age]]&lt;=25,"Young",IF(Table1[[#This Row],[Age]]&lt;=50,"Adult","Senior"))</f>
        <v>Young</v>
      </c>
      <c r="T745" s="1">
        <f>Table1[[#This Row],[Purchase Amount (USD)]]</f>
        <v>84</v>
      </c>
      <c r="U745">
        <f>IF(Table1[[#This Row],[Subscription Status]]="Yes",1,IF(Table1[[#This Row],[Subscription Status]]="No",0))</f>
        <v>1</v>
      </c>
    </row>
    <row r="746" spans="1:21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  <c r="S746" t="str">
        <f>IF(Table1[[#This Row],[Age]]&lt;=25,"Young",IF(Table1[[#This Row],[Age]]&lt;=50,"Adult","Senior"))</f>
        <v>Senior</v>
      </c>
      <c r="T746" s="1">
        <f>Table1[[#This Row],[Purchase Amount (USD)]]</f>
        <v>66</v>
      </c>
      <c r="U746">
        <f>IF(Table1[[#This Row],[Subscription Status]]="Yes",1,IF(Table1[[#This Row],[Subscription Status]]="No",0))</f>
        <v>1</v>
      </c>
    </row>
    <row r="747" spans="1:21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  <c r="S747" t="str">
        <f>IF(Table1[[#This Row],[Age]]&lt;=25,"Young",IF(Table1[[#This Row],[Age]]&lt;=50,"Adult","Senior"))</f>
        <v>Adult</v>
      </c>
      <c r="T747" s="1">
        <f>Table1[[#This Row],[Purchase Amount (USD)]]</f>
        <v>92</v>
      </c>
      <c r="U747">
        <f>IF(Table1[[#This Row],[Subscription Status]]="Yes",1,IF(Table1[[#This Row],[Subscription Status]]="No",0))</f>
        <v>1</v>
      </c>
    </row>
    <row r="748" spans="1:21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  <c r="S748" t="str">
        <f>IF(Table1[[#This Row],[Age]]&lt;=25,"Young",IF(Table1[[#This Row],[Age]]&lt;=50,"Adult","Senior"))</f>
        <v>Adult</v>
      </c>
      <c r="T748" s="1">
        <f>Table1[[#This Row],[Purchase Amount (USD)]]</f>
        <v>45</v>
      </c>
      <c r="U748">
        <f>IF(Table1[[#This Row],[Subscription Status]]="Yes",1,IF(Table1[[#This Row],[Subscription Status]]="No",0))</f>
        <v>1</v>
      </c>
    </row>
    <row r="749" spans="1:21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  <c r="S749" t="str">
        <f>IF(Table1[[#This Row],[Age]]&lt;=25,"Young",IF(Table1[[#This Row],[Age]]&lt;=50,"Adult","Senior"))</f>
        <v>Senior</v>
      </c>
      <c r="T749" s="1">
        <f>Table1[[#This Row],[Purchase Amount (USD)]]</f>
        <v>74</v>
      </c>
      <c r="U749">
        <f>IF(Table1[[#This Row],[Subscription Status]]="Yes",1,IF(Table1[[#This Row],[Subscription Status]]="No",0))</f>
        <v>1</v>
      </c>
    </row>
    <row r="750" spans="1:21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  <c r="S750" t="str">
        <f>IF(Table1[[#This Row],[Age]]&lt;=25,"Young",IF(Table1[[#This Row],[Age]]&lt;=50,"Adult","Senior"))</f>
        <v>Adult</v>
      </c>
      <c r="T750" s="1">
        <f>Table1[[#This Row],[Purchase Amount (USD)]]</f>
        <v>39</v>
      </c>
      <c r="U750">
        <f>IF(Table1[[#This Row],[Subscription Status]]="Yes",1,IF(Table1[[#This Row],[Subscription Status]]="No",0))</f>
        <v>1</v>
      </c>
    </row>
    <row r="751" spans="1:21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  <c r="S751" t="str">
        <f>IF(Table1[[#This Row],[Age]]&lt;=25,"Young",IF(Table1[[#This Row],[Age]]&lt;=50,"Adult","Senior"))</f>
        <v>Senior</v>
      </c>
      <c r="T751" s="1">
        <f>Table1[[#This Row],[Purchase Amount (USD)]]</f>
        <v>71</v>
      </c>
      <c r="U751">
        <f>IF(Table1[[#This Row],[Subscription Status]]="Yes",1,IF(Table1[[#This Row],[Subscription Status]]="No",0))</f>
        <v>1</v>
      </c>
    </row>
    <row r="752" spans="1:21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  <c r="S752" t="str">
        <f>IF(Table1[[#This Row],[Age]]&lt;=25,"Young",IF(Table1[[#This Row],[Age]]&lt;=50,"Adult","Senior"))</f>
        <v>Young</v>
      </c>
      <c r="T752" s="1">
        <f>Table1[[#This Row],[Purchase Amount (USD)]]</f>
        <v>95</v>
      </c>
      <c r="U752">
        <f>IF(Table1[[#This Row],[Subscription Status]]="Yes",1,IF(Table1[[#This Row],[Subscription Status]]="No",0))</f>
        <v>1</v>
      </c>
    </row>
    <row r="753" spans="1:21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  <c r="S753" t="str">
        <f>IF(Table1[[#This Row],[Age]]&lt;=25,"Young",IF(Table1[[#This Row],[Age]]&lt;=50,"Adult","Senior"))</f>
        <v>Senior</v>
      </c>
      <c r="T753" s="1">
        <f>Table1[[#This Row],[Purchase Amount (USD)]]</f>
        <v>72</v>
      </c>
      <c r="U753">
        <f>IF(Table1[[#This Row],[Subscription Status]]="Yes",1,IF(Table1[[#This Row],[Subscription Status]]="No",0))</f>
        <v>1</v>
      </c>
    </row>
    <row r="754" spans="1:21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  <c r="S754" t="str">
        <f>IF(Table1[[#This Row],[Age]]&lt;=25,"Young",IF(Table1[[#This Row],[Age]]&lt;=50,"Adult","Senior"))</f>
        <v>Adult</v>
      </c>
      <c r="T754" s="1">
        <f>Table1[[#This Row],[Purchase Amount (USD)]]</f>
        <v>85</v>
      </c>
      <c r="U754">
        <f>IF(Table1[[#This Row],[Subscription Status]]="Yes",1,IF(Table1[[#This Row],[Subscription Status]]="No",0))</f>
        <v>1</v>
      </c>
    </row>
    <row r="755" spans="1:21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  <c r="S755" t="str">
        <f>IF(Table1[[#This Row],[Age]]&lt;=25,"Young",IF(Table1[[#This Row],[Age]]&lt;=50,"Adult","Senior"))</f>
        <v>Adult</v>
      </c>
      <c r="T755" s="1">
        <f>Table1[[#This Row],[Purchase Amount (USD)]]</f>
        <v>54</v>
      </c>
      <c r="U755">
        <f>IF(Table1[[#This Row],[Subscription Status]]="Yes",1,IF(Table1[[#This Row],[Subscription Status]]="No",0))</f>
        <v>1</v>
      </c>
    </row>
    <row r="756" spans="1:21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  <c r="S756" t="str">
        <f>IF(Table1[[#This Row],[Age]]&lt;=25,"Young",IF(Table1[[#This Row],[Age]]&lt;=50,"Adult","Senior"))</f>
        <v>Adult</v>
      </c>
      <c r="T756" s="1">
        <f>Table1[[#This Row],[Purchase Amount (USD)]]</f>
        <v>41</v>
      </c>
      <c r="U756">
        <f>IF(Table1[[#This Row],[Subscription Status]]="Yes",1,IF(Table1[[#This Row],[Subscription Status]]="No",0))</f>
        <v>1</v>
      </c>
    </row>
    <row r="757" spans="1:21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  <c r="S757" t="str">
        <f>IF(Table1[[#This Row],[Age]]&lt;=25,"Young",IF(Table1[[#This Row],[Age]]&lt;=50,"Adult","Senior"))</f>
        <v>Senior</v>
      </c>
      <c r="T757" s="1">
        <f>Table1[[#This Row],[Purchase Amount (USD)]]</f>
        <v>24</v>
      </c>
      <c r="U757">
        <f>IF(Table1[[#This Row],[Subscription Status]]="Yes",1,IF(Table1[[#This Row],[Subscription Status]]="No",0))</f>
        <v>1</v>
      </c>
    </row>
    <row r="758" spans="1:21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  <c r="S758" t="str">
        <f>IF(Table1[[#This Row],[Age]]&lt;=25,"Young",IF(Table1[[#This Row],[Age]]&lt;=50,"Adult","Senior"))</f>
        <v>Senior</v>
      </c>
      <c r="T758" s="1">
        <f>Table1[[#This Row],[Purchase Amount (USD)]]</f>
        <v>99</v>
      </c>
      <c r="U758">
        <f>IF(Table1[[#This Row],[Subscription Status]]="Yes",1,IF(Table1[[#This Row],[Subscription Status]]="No",0))</f>
        <v>1</v>
      </c>
    </row>
    <row r="759" spans="1:21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  <c r="S759" t="str">
        <f>IF(Table1[[#This Row],[Age]]&lt;=25,"Young",IF(Table1[[#This Row],[Age]]&lt;=50,"Adult","Senior"))</f>
        <v>Adult</v>
      </c>
      <c r="T759" s="1">
        <f>Table1[[#This Row],[Purchase Amount (USD)]]</f>
        <v>32</v>
      </c>
      <c r="U759">
        <f>IF(Table1[[#This Row],[Subscription Status]]="Yes",1,IF(Table1[[#This Row],[Subscription Status]]="No",0))</f>
        <v>1</v>
      </c>
    </row>
    <row r="760" spans="1:21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  <c r="S760" t="str">
        <f>IF(Table1[[#This Row],[Age]]&lt;=25,"Young",IF(Table1[[#This Row],[Age]]&lt;=50,"Adult","Senior"))</f>
        <v>Senior</v>
      </c>
      <c r="T760" s="1">
        <f>Table1[[#This Row],[Purchase Amount (USD)]]</f>
        <v>71</v>
      </c>
      <c r="U760">
        <f>IF(Table1[[#This Row],[Subscription Status]]="Yes",1,IF(Table1[[#This Row],[Subscription Status]]="No",0))</f>
        <v>1</v>
      </c>
    </row>
    <row r="761" spans="1:21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  <c r="S761" t="str">
        <f>IF(Table1[[#This Row],[Age]]&lt;=25,"Young",IF(Table1[[#This Row],[Age]]&lt;=50,"Adult","Senior"))</f>
        <v>Senior</v>
      </c>
      <c r="T761" s="1">
        <f>Table1[[#This Row],[Purchase Amount (USD)]]</f>
        <v>49</v>
      </c>
      <c r="U761">
        <f>IF(Table1[[#This Row],[Subscription Status]]="Yes",1,IF(Table1[[#This Row],[Subscription Status]]="No",0))</f>
        <v>1</v>
      </c>
    </row>
    <row r="762" spans="1:21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  <c r="S762" t="str">
        <f>IF(Table1[[#This Row],[Age]]&lt;=25,"Young",IF(Table1[[#This Row],[Age]]&lt;=50,"Adult","Senior"))</f>
        <v>Adult</v>
      </c>
      <c r="T762" s="1">
        <f>Table1[[#This Row],[Purchase Amount (USD)]]</f>
        <v>50</v>
      </c>
      <c r="U762">
        <f>IF(Table1[[#This Row],[Subscription Status]]="Yes",1,IF(Table1[[#This Row],[Subscription Status]]="No",0))</f>
        <v>1</v>
      </c>
    </row>
    <row r="763" spans="1:21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  <c r="S763" t="str">
        <f>IF(Table1[[#This Row],[Age]]&lt;=25,"Young",IF(Table1[[#This Row],[Age]]&lt;=50,"Adult","Senior"))</f>
        <v>Senior</v>
      </c>
      <c r="T763" s="1">
        <f>Table1[[#This Row],[Purchase Amount (USD)]]</f>
        <v>91</v>
      </c>
      <c r="U763">
        <f>IF(Table1[[#This Row],[Subscription Status]]="Yes",1,IF(Table1[[#This Row],[Subscription Status]]="No",0))</f>
        <v>1</v>
      </c>
    </row>
    <row r="764" spans="1:21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  <c r="S764" t="str">
        <f>IF(Table1[[#This Row],[Age]]&lt;=25,"Young",IF(Table1[[#This Row],[Age]]&lt;=50,"Adult","Senior"))</f>
        <v>Adult</v>
      </c>
      <c r="T764" s="1">
        <f>Table1[[#This Row],[Purchase Amount (USD)]]</f>
        <v>46</v>
      </c>
      <c r="U764">
        <f>IF(Table1[[#This Row],[Subscription Status]]="Yes",1,IF(Table1[[#This Row],[Subscription Status]]="No",0))</f>
        <v>1</v>
      </c>
    </row>
    <row r="765" spans="1:21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  <c r="S765" t="str">
        <f>IF(Table1[[#This Row],[Age]]&lt;=25,"Young",IF(Table1[[#This Row],[Age]]&lt;=50,"Adult","Senior"))</f>
        <v>Senior</v>
      </c>
      <c r="T765" s="1">
        <f>Table1[[#This Row],[Purchase Amount (USD)]]</f>
        <v>50</v>
      </c>
      <c r="U765">
        <f>IF(Table1[[#This Row],[Subscription Status]]="Yes",1,IF(Table1[[#This Row],[Subscription Status]]="No",0))</f>
        <v>1</v>
      </c>
    </row>
    <row r="766" spans="1:21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  <c r="S766" t="str">
        <f>IF(Table1[[#This Row],[Age]]&lt;=25,"Young",IF(Table1[[#This Row],[Age]]&lt;=50,"Adult","Senior"))</f>
        <v>Senior</v>
      </c>
      <c r="T766" s="1">
        <f>Table1[[#This Row],[Purchase Amount (USD)]]</f>
        <v>39</v>
      </c>
      <c r="U766">
        <f>IF(Table1[[#This Row],[Subscription Status]]="Yes",1,IF(Table1[[#This Row],[Subscription Status]]="No",0))</f>
        <v>1</v>
      </c>
    </row>
    <row r="767" spans="1:21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  <c r="S767" t="str">
        <f>IF(Table1[[#This Row],[Age]]&lt;=25,"Young",IF(Table1[[#This Row],[Age]]&lt;=50,"Adult","Senior"))</f>
        <v>Senior</v>
      </c>
      <c r="T767" s="1">
        <f>Table1[[#This Row],[Purchase Amount (USD)]]</f>
        <v>99</v>
      </c>
      <c r="U767">
        <f>IF(Table1[[#This Row],[Subscription Status]]="Yes",1,IF(Table1[[#This Row],[Subscription Status]]="No",0))</f>
        <v>1</v>
      </c>
    </row>
    <row r="768" spans="1:21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  <c r="S768" t="str">
        <f>IF(Table1[[#This Row],[Age]]&lt;=25,"Young",IF(Table1[[#This Row],[Age]]&lt;=50,"Adult","Senior"))</f>
        <v>Senior</v>
      </c>
      <c r="T768" s="1">
        <f>Table1[[#This Row],[Purchase Amount (USD)]]</f>
        <v>48</v>
      </c>
      <c r="U768">
        <f>IF(Table1[[#This Row],[Subscription Status]]="Yes",1,IF(Table1[[#This Row],[Subscription Status]]="No",0))</f>
        <v>1</v>
      </c>
    </row>
    <row r="769" spans="1:21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  <c r="S769" t="str">
        <f>IF(Table1[[#This Row],[Age]]&lt;=25,"Young",IF(Table1[[#This Row],[Age]]&lt;=50,"Adult","Senior"))</f>
        <v>Adult</v>
      </c>
      <c r="T769" s="1">
        <f>Table1[[#This Row],[Purchase Amount (USD)]]</f>
        <v>77</v>
      </c>
      <c r="U769">
        <f>IF(Table1[[#This Row],[Subscription Status]]="Yes",1,IF(Table1[[#This Row],[Subscription Status]]="No",0))</f>
        <v>1</v>
      </c>
    </row>
    <row r="770" spans="1:21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  <c r="S770" t="str">
        <f>IF(Table1[[#This Row],[Age]]&lt;=25,"Young",IF(Table1[[#This Row],[Age]]&lt;=50,"Adult","Senior"))</f>
        <v>Senior</v>
      </c>
      <c r="T770" s="1">
        <f>Table1[[#This Row],[Purchase Amount (USD)]]</f>
        <v>95</v>
      </c>
      <c r="U770">
        <f>IF(Table1[[#This Row],[Subscription Status]]="Yes",1,IF(Table1[[#This Row],[Subscription Status]]="No",0))</f>
        <v>1</v>
      </c>
    </row>
    <row r="771" spans="1:21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  <c r="S771" t="str">
        <f>IF(Table1[[#This Row],[Age]]&lt;=25,"Young",IF(Table1[[#This Row],[Age]]&lt;=50,"Adult","Senior"))</f>
        <v>Senior</v>
      </c>
      <c r="T771" s="1">
        <f>Table1[[#This Row],[Purchase Amount (USD)]]</f>
        <v>100</v>
      </c>
      <c r="U771">
        <f>IF(Table1[[#This Row],[Subscription Status]]="Yes",1,IF(Table1[[#This Row],[Subscription Status]]="No",0))</f>
        <v>1</v>
      </c>
    </row>
    <row r="772" spans="1:21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  <c r="S772" t="str">
        <f>IF(Table1[[#This Row],[Age]]&lt;=25,"Young",IF(Table1[[#This Row],[Age]]&lt;=50,"Adult","Senior"))</f>
        <v>Young</v>
      </c>
      <c r="T772" s="1">
        <f>Table1[[#This Row],[Purchase Amount (USD)]]</f>
        <v>54</v>
      </c>
      <c r="U772">
        <f>IF(Table1[[#This Row],[Subscription Status]]="Yes",1,IF(Table1[[#This Row],[Subscription Status]]="No",0))</f>
        <v>1</v>
      </c>
    </row>
    <row r="773" spans="1:21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  <c r="S773" t="str">
        <f>IF(Table1[[#This Row],[Age]]&lt;=25,"Young",IF(Table1[[#This Row],[Age]]&lt;=50,"Adult","Senior"))</f>
        <v>Young</v>
      </c>
      <c r="T773" s="1">
        <f>Table1[[#This Row],[Purchase Amount (USD)]]</f>
        <v>68</v>
      </c>
      <c r="U773">
        <f>IF(Table1[[#This Row],[Subscription Status]]="Yes",1,IF(Table1[[#This Row],[Subscription Status]]="No",0))</f>
        <v>1</v>
      </c>
    </row>
    <row r="774" spans="1:21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  <c r="S774" t="str">
        <f>IF(Table1[[#This Row],[Age]]&lt;=25,"Young",IF(Table1[[#This Row],[Age]]&lt;=50,"Adult","Senior"))</f>
        <v>Young</v>
      </c>
      <c r="T774" s="1">
        <f>Table1[[#This Row],[Purchase Amount (USD)]]</f>
        <v>22</v>
      </c>
      <c r="U774">
        <f>IF(Table1[[#This Row],[Subscription Status]]="Yes",1,IF(Table1[[#This Row],[Subscription Status]]="No",0))</f>
        <v>1</v>
      </c>
    </row>
    <row r="775" spans="1:21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  <c r="S775" t="str">
        <f>IF(Table1[[#This Row],[Age]]&lt;=25,"Young",IF(Table1[[#This Row],[Age]]&lt;=50,"Adult","Senior"))</f>
        <v>Adult</v>
      </c>
      <c r="T775" s="1">
        <f>Table1[[#This Row],[Purchase Amount (USD)]]</f>
        <v>84</v>
      </c>
      <c r="U775">
        <f>IF(Table1[[#This Row],[Subscription Status]]="Yes",1,IF(Table1[[#This Row],[Subscription Status]]="No",0))</f>
        <v>1</v>
      </c>
    </row>
    <row r="776" spans="1:21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  <c r="S776" t="str">
        <f>IF(Table1[[#This Row],[Age]]&lt;=25,"Young",IF(Table1[[#This Row],[Age]]&lt;=50,"Adult","Senior"))</f>
        <v>Adult</v>
      </c>
      <c r="T776" s="1">
        <f>Table1[[#This Row],[Purchase Amount (USD)]]</f>
        <v>46</v>
      </c>
      <c r="U776">
        <f>IF(Table1[[#This Row],[Subscription Status]]="Yes",1,IF(Table1[[#This Row],[Subscription Status]]="No",0))</f>
        <v>1</v>
      </c>
    </row>
    <row r="777" spans="1:21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  <c r="S777" t="str">
        <f>IF(Table1[[#This Row],[Age]]&lt;=25,"Young",IF(Table1[[#This Row],[Age]]&lt;=50,"Adult","Senior"))</f>
        <v>Adult</v>
      </c>
      <c r="T777" s="1">
        <f>Table1[[#This Row],[Purchase Amount (USD)]]</f>
        <v>53</v>
      </c>
      <c r="U777">
        <f>IF(Table1[[#This Row],[Subscription Status]]="Yes",1,IF(Table1[[#This Row],[Subscription Status]]="No",0))</f>
        <v>1</v>
      </c>
    </row>
    <row r="778" spans="1:21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  <c r="S778" t="str">
        <f>IF(Table1[[#This Row],[Age]]&lt;=25,"Young",IF(Table1[[#This Row],[Age]]&lt;=50,"Adult","Senior"))</f>
        <v>Adult</v>
      </c>
      <c r="T778" s="1">
        <f>Table1[[#This Row],[Purchase Amount (USD)]]</f>
        <v>60</v>
      </c>
      <c r="U778">
        <f>IF(Table1[[#This Row],[Subscription Status]]="Yes",1,IF(Table1[[#This Row],[Subscription Status]]="No",0))</f>
        <v>1</v>
      </c>
    </row>
    <row r="779" spans="1:21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  <c r="S779" t="str">
        <f>IF(Table1[[#This Row],[Age]]&lt;=25,"Young",IF(Table1[[#This Row],[Age]]&lt;=50,"Adult","Senior"))</f>
        <v>Senior</v>
      </c>
      <c r="T779" s="1">
        <f>Table1[[#This Row],[Purchase Amount (USD)]]</f>
        <v>32</v>
      </c>
      <c r="U779">
        <f>IF(Table1[[#This Row],[Subscription Status]]="Yes",1,IF(Table1[[#This Row],[Subscription Status]]="No",0))</f>
        <v>1</v>
      </c>
    </row>
    <row r="780" spans="1:21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  <c r="S780" t="str">
        <f>IF(Table1[[#This Row],[Age]]&lt;=25,"Young",IF(Table1[[#This Row],[Age]]&lt;=50,"Adult","Senior"))</f>
        <v>Adult</v>
      </c>
      <c r="T780" s="1">
        <f>Table1[[#This Row],[Purchase Amount (USD)]]</f>
        <v>50</v>
      </c>
      <c r="U780">
        <f>IF(Table1[[#This Row],[Subscription Status]]="Yes",1,IF(Table1[[#This Row],[Subscription Status]]="No",0))</f>
        <v>1</v>
      </c>
    </row>
    <row r="781" spans="1:21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  <c r="S781" t="str">
        <f>IF(Table1[[#This Row],[Age]]&lt;=25,"Young",IF(Table1[[#This Row],[Age]]&lt;=50,"Adult","Senior"))</f>
        <v>Senior</v>
      </c>
      <c r="T781" s="1">
        <f>Table1[[#This Row],[Purchase Amount (USD)]]</f>
        <v>94</v>
      </c>
      <c r="U781">
        <f>IF(Table1[[#This Row],[Subscription Status]]="Yes",1,IF(Table1[[#This Row],[Subscription Status]]="No",0))</f>
        <v>1</v>
      </c>
    </row>
    <row r="782" spans="1:21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  <c r="S782" t="str">
        <f>IF(Table1[[#This Row],[Age]]&lt;=25,"Young",IF(Table1[[#This Row],[Age]]&lt;=50,"Adult","Senior"))</f>
        <v>Adult</v>
      </c>
      <c r="T782" s="1">
        <f>Table1[[#This Row],[Purchase Amount (USD)]]</f>
        <v>26</v>
      </c>
      <c r="U782">
        <f>IF(Table1[[#This Row],[Subscription Status]]="Yes",1,IF(Table1[[#This Row],[Subscription Status]]="No",0))</f>
        <v>1</v>
      </c>
    </row>
    <row r="783" spans="1:21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  <c r="S783" t="str">
        <f>IF(Table1[[#This Row],[Age]]&lt;=25,"Young",IF(Table1[[#This Row],[Age]]&lt;=50,"Adult","Senior"))</f>
        <v>Adult</v>
      </c>
      <c r="T783" s="1">
        <f>Table1[[#This Row],[Purchase Amount (USD)]]</f>
        <v>44</v>
      </c>
      <c r="U783">
        <f>IF(Table1[[#This Row],[Subscription Status]]="Yes",1,IF(Table1[[#This Row],[Subscription Status]]="No",0))</f>
        <v>1</v>
      </c>
    </row>
    <row r="784" spans="1:21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  <c r="S784" t="str">
        <f>IF(Table1[[#This Row],[Age]]&lt;=25,"Young",IF(Table1[[#This Row],[Age]]&lt;=50,"Adult","Senior"))</f>
        <v>Adult</v>
      </c>
      <c r="T784" s="1">
        <f>Table1[[#This Row],[Purchase Amount (USD)]]</f>
        <v>57</v>
      </c>
      <c r="U784">
        <f>IF(Table1[[#This Row],[Subscription Status]]="Yes",1,IF(Table1[[#This Row],[Subscription Status]]="No",0))</f>
        <v>1</v>
      </c>
    </row>
    <row r="785" spans="1:21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  <c r="S785" t="str">
        <f>IF(Table1[[#This Row],[Age]]&lt;=25,"Young",IF(Table1[[#This Row],[Age]]&lt;=50,"Adult","Senior"))</f>
        <v>Senior</v>
      </c>
      <c r="T785" s="1">
        <f>Table1[[#This Row],[Purchase Amount (USD)]]</f>
        <v>65</v>
      </c>
      <c r="U785">
        <f>IF(Table1[[#This Row],[Subscription Status]]="Yes",1,IF(Table1[[#This Row],[Subscription Status]]="No",0))</f>
        <v>1</v>
      </c>
    </row>
    <row r="786" spans="1:21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  <c r="S786" t="str">
        <f>IF(Table1[[#This Row],[Age]]&lt;=25,"Young",IF(Table1[[#This Row],[Age]]&lt;=50,"Adult","Senior"))</f>
        <v>Adult</v>
      </c>
      <c r="T786" s="1">
        <f>Table1[[#This Row],[Purchase Amount (USD)]]</f>
        <v>72</v>
      </c>
      <c r="U786">
        <f>IF(Table1[[#This Row],[Subscription Status]]="Yes",1,IF(Table1[[#This Row],[Subscription Status]]="No",0))</f>
        <v>1</v>
      </c>
    </row>
    <row r="787" spans="1:21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  <c r="S787" t="str">
        <f>IF(Table1[[#This Row],[Age]]&lt;=25,"Young",IF(Table1[[#This Row],[Age]]&lt;=50,"Adult","Senior"))</f>
        <v>Adult</v>
      </c>
      <c r="T787" s="1">
        <f>Table1[[#This Row],[Purchase Amount (USD)]]</f>
        <v>62</v>
      </c>
      <c r="U787">
        <f>IF(Table1[[#This Row],[Subscription Status]]="Yes",1,IF(Table1[[#This Row],[Subscription Status]]="No",0))</f>
        <v>1</v>
      </c>
    </row>
    <row r="788" spans="1:21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  <c r="S788" t="str">
        <f>IF(Table1[[#This Row],[Age]]&lt;=25,"Young",IF(Table1[[#This Row],[Age]]&lt;=50,"Adult","Senior"))</f>
        <v>Senior</v>
      </c>
      <c r="T788" s="1">
        <f>Table1[[#This Row],[Purchase Amount (USD)]]</f>
        <v>21</v>
      </c>
      <c r="U788">
        <f>IF(Table1[[#This Row],[Subscription Status]]="Yes",1,IF(Table1[[#This Row],[Subscription Status]]="No",0))</f>
        <v>1</v>
      </c>
    </row>
    <row r="789" spans="1:21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  <c r="S789" t="str">
        <f>IF(Table1[[#This Row],[Age]]&lt;=25,"Young",IF(Table1[[#This Row],[Age]]&lt;=50,"Adult","Senior"))</f>
        <v>Senior</v>
      </c>
      <c r="T789" s="1">
        <f>Table1[[#This Row],[Purchase Amount (USD)]]</f>
        <v>85</v>
      </c>
      <c r="U789">
        <f>IF(Table1[[#This Row],[Subscription Status]]="Yes",1,IF(Table1[[#This Row],[Subscription Status]]="No",0))</f>
        <v>1</v>
      </c>
    </row>
    <row r="790" spans="1:21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  <c r="S790" t="str">
        <f>IF(Table1[[#This Row],[Age]]&lt;=25,"Young",IF(Table1[[#This Row],[Age]]&lt;=50,"Adult","Senior"))</f>
        <v>Adult</v>
      </c>
      <c r="T790" s="1">
        <f>Table1[[#This Row],[Purchase Amount (USD)]]</f>
        <v>51</v>
      </c>
      <c r="U790">
        <f>IF(Table1[[#This Row],[Subscription Status]]="Yes",1,IF(Table1[[#This Row],[Subscription Status]]="No",0))</f>
        <v>1</v>
      </c>
    </row>
    <row r="791" spans="1:21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  <c r="S791" t="str">
        <f>IF(Table1[[#This Row],[Age]]&lt;=25,"Young",IF(Table1[[#This Row],[Age]]&lt;=50,"Adult","Senior"))</f>
        <v>Adult</v>
      </c>
      <c r="T791" s="1">
        <f>Table1[[#This Row],[Purchase Amount (USD)]]</f>
        <v>84</v>
      </c>
      <c r="U791">
        <f>IF(Table1[[#This Row],[Subscription Status]]="Yes",1,IF(Table1[[#This Row],[Subscription Status]]="No",0))</f>
        <v>1</v>
      </c>
    </row>
    <row r="792" spans="1:21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  <c r="S792" t="str">
        <f>IF(Table1[[#This Row],[Age]]&lt;=25,"Young",IF(Table1[[#This Row],[Age]]&lt;=50,"Adult","Senior"))</f>
        <v>Young</v>
      </c>
      <c r="T792" s="1">
        <f>Table1[[#This Row],[Purchase Amount (USD)]]</f>
        <v>37</v>
      </c>
      <c r="U792">
        <f>IF(Table1[[#This Row],[Subscription Status]]="Yes",1,IF(Table1[[#This Row],[Subscription Status]]="No",0))</f>
        <v>1</v>
      </c>
    </row>
    <row r="793" spans="1:21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  <c r="S793" t="str">
        <f>IF(Table1[[#This Row],[Age]]&lt;=25,"Young",IF(Table1[[#This Row],[Age]]&lt;=50,"Adult","Senior"))</f>
        <v>Adult</v>
      </c>
      <c r="T793" s="1">
        <f>Table1[[#This Row],[Purchase Amount (USD)]]</f>
        <v>44</v>
      </c>
      <c r="U793">
        <f>IF(Table1[[#This Row],[Subscription Status]]="Yes",1,IF(Table1[[#This Row],[Subscription Status]]="No",0))</f>
        <v>1</v>
      </c>
    </row>
    <row r="794" spans="1:21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  <c r="S794" t="str">
        <f>IF(Table1[[#This Row],[Age]]&lt;=25,"Young",IF(Table1[[#This Row],[Age]]&lt;=50,"Adult","Senior"))</f>
        <v>Adult</v>
      </c>
      <c r="T794" s="1">
        <f>Table1[[#This Row],[Purchase Amount (USD)]]</f>
        <v>45</v>
      </c>
      <c r="U794">
        <f>IF(Table1[[#This Row],[Subscription Status]]="Yes",1,IF(Table1[[#This Row],[Subscription Status]]="No",0))</f>
        <v>1</v>
      </c>
    </row>
    <row r="795" spans="1:21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  <c r="S795" t="str">
        <f>IF(Table1[[#This Row],[Age]]&lt;=25,"Young",IF(Table1[[#This Row],[Age]]&lt;=50,"Adult","Senior"))</f>
        <v>Young</v>
      </c>
      <c r="T795" s="1">
        <f>Table1[[#This Row],[Purchase Amount (USD)]]</f>
        <v>35</v>
      </c>
      <c r="U795">
        <f>IF(Table1[[#This Row],[Subscription Status]]="Yes",1,IF(Table1[[#This Row],[Subscription Status]]="No",0))</f>
        <v>1</v>
      </c>
    </row>
    <row r="796" spans="1:21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  <c r="S796" t="str">
        <f>IF(Table1[[#This Row],[Age]]&lt;=25,"Young",IF(Table1[[#This Row],[Age]]&lt;=50,"Adult","Senior"))</f>
        <v>Senior</v>
      </c>
      <c r="T796" s="1">
        <f>Table1[[#This Row],[Purchase Amount (USD)]]</f>
        <v>50</v>
      </c>
      <c r="U796">
        <f>IF(Table1[[#This Row],[Subscription Status]]="Yes",1,IF(Table1[[#This Row],[Subscription Status]]="No",0))</f>
        <v>1</v>
      </c>
    </row>
    <row r="797" spans="1:21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  <c r="S797" t="str">
        <f>IF(Table1[[#This Row],[Age]]&lt;=25,"Young",IF(Table1[[#This Row],[Age]]&lt;=50,"Adult","Senior"))</f>
        <v>Adult</v>
      </c>
      <c r="T797" s="1">
        <f>Table1[[#This Row],[Purchase Amount (USD)]]</f>
        <v>26</v>
      </c>
      <c r="U797">
        <f>IF(Table1[[#This Row],[Subscription Status]]="Yes",1,IF(Table1[[#This Row],[Subscription Status]]="No",0))</f>
        <v>1</v>
      </c>
    </row>
    <row r="798" spans="1:21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  <c r="S798" t="str">
        <f>IF(Table1[[#This Row],[Age]]&lt;=25,"Young",IF(Table1[[#This Row],[Age]]&lt;=50,"Adult","Senior"))</f>
        <v>Adult</v>
      </c>
      <c r="T798" s="1">
        <f>Table1[[#This Row],[Purchase Amount (USD)]]</f>
        <v>78</v>
      </c>
      <c r="U798">
        <f>IF(Table1[[#This Row],[Subscription Status]]="Yes",1,IF(Table1[[#This Row],[Subscription Status]]="No",0))</f>
        <v>1</v>
      </c>
    </row>
    <row r="799" spans="1:21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  <c r="S799" t="str">
        <f>IF(Table1[[#This Row],[Age]]&lt;=25,"Young",IF(Table1[[#This Row],[Age]]&lt;=50,"Adult","Senior"))</f>
        <v>Adult</v>
      </c>
      <c r="T799" s="1">
        <f>Table1[[#This Row],[Purchase Amount (USD)]]</f>
        <v>82</v>
      </c>
      <c r="U799">
        <f>IF(Table1[[#This Row],[Subscription Status]]="Yes",1,IF(Table1[[#This Row],[Subscription Status]]="No",0))</f>
        <v>1</v>
      </c>
    </row>
    <row r="800" spans="1:21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  <c r="S800" t="str">
        <f>IF(Table1[[#This Row],[Age]]&lt;=25,"Young",IF(Table1[[#This Row],[Age]]&lt;=50,"Adult","Senior"))</f>
        <v>Adult</v>
      </c>
      <c r="T800" s="1">
        <f>Table1[[#This Row],[Purchase Amount (USD)]]</f>
        <v>39</v>
      </c>
      <c r="U800">
        <f>IF(Table1[[#This Row],[Subscription Status]]="Yes",1,IF(Table1[[#This Row],[Subscription Status]]="No",0))</f>
        <v>1</v>
      </c>
    </row>
    <row r="801" spans="1:21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  <c r="S801" t="str">
        <f>IF(Table1[[#This Row],[Age]]&lt;=25,"Young",IF(Table1[[#This Row],[Age]]&lt;=50,"Adult","Senior"))</f>
        <v>Senior</v>
      </c>
      <c r="T801" s="1">
        <f>Table1[[#This Row],[Purchase Amount (USD)]]</f>
        <v>55</v>
      </c>
      <c r="U801">
        <f>IF(Table1[[#This Row],[Subscription Status]]="Yes",1,IF(Table1[[#This Row],[Subscription Status]]="No",0))</f>
        <v>1</v>
      </c>
    </row>
    <row r="802" spans="1:21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  <c r="S802" t="str">
        <f>IF(Table1[[#This Row],[Age]]&lt;=25,"Young",IF(Table1[[#This Row],[Age]]&lt;=50,"Adult","Senior"))</f>
        <v>Adult</v>
      </c>
      <c r="T802" s="1">
        <f>Table1[[#This Row],[Purchase Amount (USD)]]</f>
        <v>20</v>
      </c>
      <c r="U802">
        <f>IF(Table1[[#This Row],[Subscription Status]]="Yes",1,IF(Table1[[#This Row],[Subscription Status]]="No",0))</f>
        <v>1</v>
      </c>
    </row>
    <row r="803" spans="1:21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  <c r="S803" t="str">
        <f>IF(Table1[[#This Row],[Age]]&lt;=25,"Young",IF(Table1[[#This Row],[Age]]&lt;=50,"Adult","Senior"))</f>
        <v>Young</v>
      </c>
      <c r="T803" s="1">
        <f>Table1[[#This Row],[Purchase Amount (USD)]]</f>
        <v>29</v>
      </c>
      <c r="U803">
        <f>IF(Table1[[#This Row],[Subscription Status]]="Yes",1,IF(Table1[[#This Row],[Subscription Status]]="No",0))</f>
        <v>1</v>
      </c>
    </row>
    <row r="804" spans="1:21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  <c r="S804" t="str">
        <f>IF(Table1[[#This Row],[Age]]&lt;=25,"Young",IF(Table1[[#This Row],[Age]]&lt;=50,"Adult","Senior"))</f>
        <v>Adult</v>
      </c>
      <c r="T804" s="1">
        <f>Table1[[#This Row],[Purchase Amount (USD)]]</f>
        <v>41</v>
      </c>
      <c r="U804">
        <f>IF(Table1[[#This Row],[Subscription Status]]="Yes",1,IF(Table1[[#This Row],[Subscription Status]]="No",0))</f>
        <v>1</v>
      </c>
    </row>
    <row r="805" spans="1:21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  <c r="S805" t="str">
        <f>IF(Table1[[#This Row],[Age]]&lt;=25,"Young",IF(Table1[[#This Row],[Age]]&lt;=50,"Adult","Senior"))</f>
        <v>Adult</v>
      </c>
      <c r="T805" s="1">
        <f>Table1[[#This Row],[Purchase Amount (USD)]]</f>
        <v>38</v>
      </c>
      <c r="U805">
        <f>IF(Table1[[#This Row],[Subscription Status]]="Yes",1,IF(Table1[[#This Row],[Subscription Status]]="No",0))</f>
        <v>1</v>
      </c>
    </row>
    <row r="806" spans="1:21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  <c r="S806" t="str">
        <f>IF(Table1[[#This Row],[Age]]&lt;=25,"Young",IF(Table1[[#This Row],[Age]]&lt;=50,"Adult","Senior"))</f>
        <v>Adult</v>
      </c>
      <c r="T806" s="1">
        <f>Table1[[#This Row],[Purchase Amount (USD)]]</f>
        <v>47</v>
      </c>
      <c r="U806">
        <f>IF(Table1[[#This Row],[Subscription Status]]="Yes",1,IF(Table1[[#This Row],[Subscription Status]]="No",0))</f>
        <v>1</v>
      </c>
    </row>
    <row r="807" spans="1:21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  <c r="S807" t="str">
        <f>IF(Table1[[#This Row],[Age]]&lt;=25,"Young",IF(Table1[[#This Row],[Age]]&lt;=50,"Adult","Senior"))</f>
        <v>Adult</v>
      </c>
      <c r="T807" s="1">
        <f>Table1[[#This Row],[Purchase Amount (USD)]]</f>
        <v>30</v>
      </c>
      <c r="U807">
        <f>IF(Table1[[#This Row],[Subscription Status]]="Yes",1,IF(Table1[[#This Row],[Subscription Status]]="No",0))</f>
        <v>1</v>
      </c>
    </row>
    <row r="808" spans="1:21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  <c r="S808" t="str">
        <f>IF(Table1[[#This Row],[Age]]&lt;=25,"Young",IF(Table1[[#This Row],[Age]]&lt;=50,"Adult","Senior"))</f>
        <v>Senior</v>
      </c>
      <c r="T808" s="1">
        <f>Table1[[#This Row],[Purchase Amount (USD)]]</f>
        <v>56</v>
      </c>
      <c r="U808">
        <f>IF(Table1[[#This Row],[Subscription Status]]="Yes",1,IF(Table1[[#This Row],[Subscription Status]]="No",0))</f>
        <v>1</v>
      </c>
    </row>
    <row r="809" spans="1:21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  <c r="S809" t="str">
        <f>IF(Table1[[#This Row],[Age]]&lt;=25,"Young",IF(Table1[[#This Row],[Age]]&lt;=50,"Adult","Senior"))</f>
        <v>Adult</v>
      </c>
      <c r="T809" s="1">
        <f>Table1[[#This Row],[Purchase Amount (USD)]]</f>
        <v>89</v>
      </c>
      <c r="U809">
        <f>IF(Table1[[#This Row],[Subscription Status]]="Yes",1,IF(Table1[[#This Row],[Subscription Status]]="No",0))</f>
        <v>1</v>
      </c>
    </row>
    <row r="810" spans="1:21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  <c r="S810" t="str">
        <f>IF(Table1[[#This Row],[Age]]&lt;=25,"Young",IF(Table1[[#This Row],[Age]]&lt;=50,"Adult","Senior"))</f>
        <v>Adult</v>
      </c>
      <c r="T810" s="1">
        <f>Table1[[#This Row],[Purchase Amount (USD)]]</f>
        <v>96</v>
      </c>
      <c r="U810">
        <f>IF(Table1[[#This Row],[Subscription Status]]="Yes",1,IF(Table1[[#This Row],[Subscription Status]]="No",0))</f>
        <v>1</v>
      </c>
    </row>
    <row r="811" spans="1:21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  <c r="S811" t="str">
        <f>IF(Table1[[#This Row],[Age]]&lt;=25,"Young",IF(Table1[[#This Row],[Age]]&lt;=50,"Adult","Senior"))</f>
        <v>Adult</v>
      </c>
      <c r="T811" s="1">
        <f>Table1[[#This Row],[Purchase Amount (USD)]]</f>
        <v>81</v>
      </c>
      <c r="U811">
        <f>IF(Table1[[#This Row],[Subscription Status]]="Yes",1,IF(Table1[[#This Row],[Subscription Status]]="No",0))</f>
        <v>1</v>
      </c>
    </row>
    <row r="812" spans="1:21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  <c r="S812" t="str">
        <f>IF(Table1[[#This Row],[Age]]&lt;=25,"Young",IF(Table1[[#This Row],[Age]]&lt;=50,"Adult","Senior"))</f>
        <v>Senior</v>
      </c>
      <c r="T812" s="1">
        <f>Table1[[#This Row],[Purchase Amount (USD)]]</f>
        <v>83</v>
      </c>
      <c r="U812">
        <f>IF(Table1[[#This Row],[Subscription Status]]="Yes",1,IF(Table1[[#This Row],[Subscription Status]]="No",0))</f>
        <v>1</v>
      </c>
    </row>
    <row r="813" spans="1:21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  <c r="S813" t="str">
        <f>IF(Table1[[#This Row],[Age]]&lt;=25,"Young",IF(Table1[[#This Row],[Age]]&lt;=50,"Adult","Senior"))</f>
        <v>Young</v>
      </c>
      <c r="T813" s="1">
        <f>Table1[[#This Row],[Purchase Amount (USD)]]</f>
        <v>35</v>
      </c>
      <c r="U813">
        <f>IF(Table1[[#This Row],[Subscription Status]]="Yes",1,IF(Table1[[#This Row],[Subscription Status]]="No",0))</f>
        <v>1</v>
      </c>
    </row>
    <row r="814" spans="1:21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  <c r="S814" t="str">
        <f>IF(Table1[[#This Row],[Age]]&lt;=25,"Young",IF(Table1[[#This Row],[Age]]&lt;=50,"Adult","Senior"))</f>
        <v>Senior</v>
      </c>
      <c r="T814" s="1">
        <f>Table1[[#This Row],[Purchase Amount (USD)]]</f>
        <v>56</v>
      </c>
      <c r="U814">
        <f>IF(Table1[[#This Row],[Subscription Status]]="Yes",1,IF(Table1[[#This Row],[Subscription Status]]="No",0))</f>
        <v>1</v>
      </c>
    </row>
    <row r="815" spans="1:21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  <c r="S815" t="str">
        <f>IF(Table1[[#This Row],[Age]]&lt;=25,"Young",IF(Table1[[#This Row],[Age]]&lt;=50,"Adult","Senior"))</f>
        <v>Senior</v>
      </c>
      <c r="T815" s="1">
        <f>Table1[[#This Row],[Purchase Amount (USD)]]</f>
        <v>45</v>
      </c>
      <c r="U815">
        <f>IF(Table1[[#This Row],[Subscription Status]]="Yes",1,IF(Table1[[#This Row],[Subscription Status]]="No",0))</f>
        <v>1</v>
      </c>
    </row>
    <row r="816" spans="1:21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  <c r="S816" t="str">
        <f>IF(Table1[[#This Row],[Age]]&lt;=25,"Young",IF(Table1[[#This Row],[Age]]&lt;=50,"Adult","Senior"))</f>
        <v>Adult</v>
      </c>
      <c r="T816" s="1">
        <f>Table1[[#This Row],[Purchase Amount (USD)]]</f>
        <v>62</v>
      </c>
      <c r="U816">
        <f>IF(Table1[[#This Row],[Subscription Status]]="Yes",1,IF(Table1[[#This Row],[Subscription Status]]="No",0))</f>
        <v>1</v>
      </c>
    </row>
    <row r="817" spans="1:21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  <c r="S817" t="str">
        <f>IF(Table1[[#This Row],[Age]]&lt;=25,"Young",IF(Table1[[#This Row],[Age]]&lt;=50,"Adult","Senior"))</f>
        <v>Adult</v>
      </c>
      <c r="T817" s="1">
        <f>Table1[[#This Row],[Purchase Amount (USD)]]</f>
        <v>84</v>
      </c>
      <c r="U817">
        <f>IF(Table1[[#This Row],[Subscription Status]]="Yes",1,IF(Table1[[#This Row],[Subscription Status]]="No",0))</f>
        <v>1</v>
      </c>
    </row>
    <row r="818" spans="1:21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  <c r="S818" t="str">
        <f>IF(Table1[[#This Row],[Age]]&lt;=25,"Young",IF(Table1[[#This Row],[Age]]&lt;=50,"Adult","Senior"))</f>
        <v>Adult</v>
      </c>
      <c r="T818" s="1">
        <f>Table1[[#This Row],[Purchase Amount (USD)]]</f>
        <v>24</v>
      </c>
      <c r="U818">
        <f>IF(Table1[[#This Row],[Subscription Status]]="Yes",1,IF(Table1[[#This Row],[Subscription Status]]="No",0))</f>
        <v>1</v>
      </c>
    </row>
    <row r="819" spans="1:21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  <c r="S819" t="str">
        <f>IF(Table1[[#This Row],[Age]]&lt;=25,"Young",IF(Table1[[#This Row],[Age]]&lt;=50,"Adult","Senior"))</f>
        <v>Young</v>
      </c>
      <c r="T819" s="1">
        <f>Table1[[#This Row],[Purchase Amount (USD)]]</f>
        <v>21</v>
      </c>
      <c r="U819">
        <f>IF(Table1[[#This Row],[Subscription Status]]="Yes",1,IF(Table1[[#This Row],[Subscription Status]]="No",0))</f>
        <v>1</v>
      </c>
    </row>
    <row r="820" spans="1:21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  <c r="S820" t="str">
        <f>IF(Table1[[#This Row],[Age]]&lt;=25,"Young",IF(Table1[[#This Row],[Age]]&lt;=50,"Adult","Senior"))</f>
        <v>Senior</v>
      </c>
      <c r="T820" s="1">
        <f>Table1[[#This Row],[Purchase Amount (USD)]]</f>
        <v>91</v>
      </c>
      <c r="U820">
        <f>IF(Table1[[#This Row],[Subscription Status]]="Yes",1,IF(Table1[[#This Row],[Subscription Status]]="No",0))</f>
        <v>1</v>
      </c>
    </row>
    <row r="821" spans="1:21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  <c r="S821" t="str">
        <f>IF(Table1[[#This Row],[Age]]&lt;=25,"Young",IF(Table1[[#This Row],[Age]]&lt;=50,"Adult","Senior"))</f>
        <v>Senior</v>
      </c>
      <c r="T821" s="1">
        <f>Table1[[#This Row],[Purchase Amount (USD)]]</f>
        <v>36</v>
      </c>
      <c r="U821">
        <f>IF(Table1[[#This Row],[Subscription Status]]="Yes",1,IF(Table1[[#This Row],[Subscription Status]]="No",0))</f>
        <v>1</v>
      </c>
    </row>
    <row r="822" spans="1:21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  <c r="S822" t="str">
        <f>IF(Table1[[#This Row],[Age]]&lt;=25,"Young",IF(Table1[[#This Row],[Age]]&lt;=50,"Adult","Senior"))</f>
        <v>Senior</v>
      </c>
      <c r="T822" s="1">
        <f>Table1[[#This Row],[Purchase Amount (USD)]]</f>
        <v>39</v>
      </c>
      <c r="U822">
        <f>IF(Table1[[#This Row],[Subscription Status]]="Yes",1,IF(Table1[[#This Row],[Subscription Status]]="No",0))</f>
        <v>1</v>
      </c>
    </row>
    <row r="823" spans="1:21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  <c r="S823" t="str">
        <f>IF(Table1[[#This Row],[Age]]&lt;=25,"Young",IF(Table1[[#This Row],[Age]]&lt;=50,"Adult","Senior"))</f>
        <v>Senior</v>
      </c>
      <c r="T823" s="1">
        <f>Table1[[#This Row],[Purchase Amount (USD)]]</f>
        <v>39</v>
      </c>
      <c r="U823">
        <f>IF(Table1[[#This Row],[Subscription Status]]="Yes",1,IF(Table1[[#This Row],[Subscription Status]]="No",0))</f>
        <v>1</v>
      </c>
    </row>
    <row r="824" spans="1:21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  <c r="S824" t="str">
        <f>IF(Table1[[#This Row],[Age]]&lt;=25,"Young",IF(Table1[[#This Row],[Age]]&lt;=50,"Adult","Senior"))</f>
        <v>Adult</v>
      </c>
      <c r="T824" s="1">
        <f>Table1[[#This Row],[Purchase Amount (USD)]]</f>
        <v>59</v>
      </c>
      <c r="U824">
        <f>IF(Table1[[#This Row],[Subscription Status]]="Yes",1,IF(Table1[[#This Row],[Subscription Status]]="No",0))</f>
        <v>1</v>
      </c>
    </row>
    <row r="825" spans="1:21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  <c r="S825" t="str">
        <f>IF(Table1[[#This Row],[Age]]&lt;=25,"Young",IF(Table1[[#This Row],[Age]]&lt;=50,"Adult","Senior"))</f>
        <v>Senior</v>
      </c>
      <c r="T825" s="1">
        <f>Table1[[#This Row],[Purchase Amount (USD)]]</f>
        <v>27</v>
      </c>
      <c r="U825">
        <f>IF(Table1[[#This Row],[Subscription Status]]="Yes",1,IF(Table1[[#This Row],[Subscription Status]]="No",0))</f>
        <v>1</v>
      </c>
    </row>
    <row r="826" spans="1:21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  <c r="S826" t="str">
        <f>IF(Table1[[#This Row],[Age]]&lt;=25,"Young",IF(Table1[[#This Row],[Age]]&lt;=50,"Adult","Senior"))</f>
        <v>Senior</v>
      </c>
      <c r="T826" s="1">
        <f>Table1[[#This Row],[Purchase Amount (USD)]]</f>
        <v>94</v>
      </c>
      <c r="U826">
        <f>IF(Table1[[#This Row],[Subscription Status]]="Yes",1,IF(Table1[[#This Row],[Subscription Status]]="No",0))</f>
        <v>1</v>
      </c>
    </row>
    <row r="827" spans="1:21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  <c r="S827" t="str">
        <f>IF(Table1[[#This Row],[Age]]&lt;=25,"Young",IF(Table1[[#This Row],[Age]]&lt;=50,"Adult","Senior"))</f>
        <v>Adult</v>
      </c>
      <c r="T827" s="1">
        <f>Table1[[#This Row],[Purchase Amount (USD)]]</f>
        <v>94</v>
      </c>
      <c r="U827">
        <f>IF(Table1[[#This Row],[Subscription Status]]="Yes",1,IF(Table1[[#This Row],[Subscription Status]]="No",0))</f>
        <v>1</v>
      </c>
    </row>
    <row r="828" spans="1:21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  <c r="S828" t="str">
        <f>IF(Table1[[#This Row],[Age]]&lt;=25,"Young",IF(Table1[[#This Row],[Age]]&lt;=50,"Adult","Senior"))</f>
        <v>Senior</v>
      </c>
      <c r="T828" s="1">
        <f>Table1[[#This Row],[Purchase Amount (USD)]]</f>
        <v>94</v>
      </c>
      <c r="U828">
        <f>IF(Table1[[#This Row],[Subscription Status]]="Yes",1,IF(Table1[[#This Row],[Subscription Status]]="No",0))</f>
        <v>1</v>
      </c>
    </row>
    <row r="829" spans="1:21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  <c r="S829" t="str">
        <f>IF(Table1[[#This Row],[Age]]&lt;=25,"Young",IF(Table1[[#This Row],[Age]]&lt;=50,"Adult","Senior"))</f>
        <v>Adult</v>
      </c>
      <c r="T829" s="1">
        <f>Table1[[#This Row],[Purchase Amount (USD)]]</f>
        <v>51</v>
      </c>
      <c r="U829">
        <f>IF(Table1[[#This Row],[Subscription Status]]="Yes",1,IF(Table1[[#This Row],[Subscription Status]]="No",0))</f>
        <v>1</v>
      </c>
    </row>
    <row r="830" spans="1:21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  <c r="S830" t="str">
        <f>IF(Table1[[#This Row],[Age]]&lt;=25,"Young",IF(Table1[[#This Row],[Age]]&lt;=50,"Adult","Senior"))</f>
        <v>Young</v>
      </c>
      <c r="T830" s="1">
        <f>Table1[[#This Row],[Purchase Amount (USD)]]</f>
        <v>62</v>
      </c>
      <c r="U830">
        <f>IF(Table1[[#This Row],[Subscription Status]]="Yes",1,IF(Table1[[#This Row],[Subscription Status]]="No",0))</f>
        <v>1</v>
      </c>
    </row>
    <row r="831" spans="1:21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  <c r="S831" t="str">
        <f>IF(Table1[[#This Row],[Age]]&lt;=25,"Young",IF(Table1[[#This Row],[Age]]&lt;=50,"Adult","Senior"))</f>
        <v>Adult</v>
      </c>
      <c r="T831" s="1">
        <f>Table1[[#This Row],[Purchase Amount (USD)]]</f>
        <v>57</v>
      </c>
      <c r="U831">
        <f>IF(Table1[[#This Row],[Subscription Status]]="Yes",1,IF(Table1[[#This Row],[Subscription Status]]="No",0))</f>
        <v>1</v>
      </c>
    </row>
    <row r="832" spans="1:21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  <c r="S832" t="str">
        <f>IF(Table1[[#This Row],[Age]]&lt;=25,"Young",IF(Table1[[#This Row],[Age]]&lt;=50,"Adult","Senior"))</f>
        <v>Adult</v>
      </c>
      <c r="T832" s="1">
        <f>Table1[[#This Row],[Purchase Amount (USD)]]</f>
        <v>76</v>
      </c>
      <c r="U832">
        <f>IF(Table1[[#This Row],[Subscription Status]]="Yes",1,IF(Table1[[#This Row],[Subscription Status]]="No",0))</f>
        <v>1</v>
      </c>
    </row>
    <row r="833" spans="1:21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  <c r="S833" t="str">
        <f>IF(Table1[[#This Row],[Age]]&lt;=25,"Young",IF(Table1[[#This Row],[Age]]&lt;=50,"Adult","Senior"))</f>
        <v>Senior</v>
      </c>
      <c r="T833" s="1">
        <f>Table1[[#This Row],[Purchase Amount (USD)]]</f>
        <v>63</v>
      </c>
      <c r="U833">
        <f>IF(Table1[[#This Row],[Subscription Status]]="Yes",1,IF(Table1[[#This Row],[Subscription Status]]="No",0))</f>
        <v>1</v>
      </c>
    </row>
    <row r="834" spans="1:21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  <c r="S834" t="str">
        <f>IF(Table1[[#This Row],[Age]]&lt;=25,"Young",IF(Table1[[#This Row],[Age]]&lt;=50,"Adult","Senior"))</f>
        <v>Senior</v>
      </c>
      <c r="T834" s="1">
        <f>Table1[[#This Row],[Purchase Amount (USD)]]</f>
        <v>80</v>
      </c>
      <c r="U834">
        <f>IF(Table1[[#This Row],[Subscription Status]]="Yes",1,IF(Table1[[#This Row],[Subscription Status]]="No",0))</f>
        <v>1</v>
      </c>
    </row>
    <row r="835" spans="1:21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  <c r="S835" t="str">
        <f>IF(Table1[[#This Row],[Age]]&lt;=25,"Young",IF(Table1[[#This Row],[Age]]&lt;=50,"Adult","Senior"))</f>
        <v>Adult</v>
      </c>
      <c r="T835" s="1">
        <f>Table1[[#This Row],[Purchase Amount (USD)]]</f>
        <v>68</v>
      </c>
      <c r="U835">
        <f>IF(Table1[[#This Row],[Subscription Status]]="Yes",1,IF(Table1[[#This Row],[Subscription Status]]="No",0))</f>
        <v>1</v>
      </c>
    </row>
    <row r="836" spans="1:21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  <c r="S836" t="str">
        <f>IF(Table1[[#This Row],[Age]]&lt;=25,"Young",IF(Table1[[#This Row],[Age]]&lt;=50,"Adult","Senior"))</f>
        <v>Senior</v>
      </c>
      <c r="T836" s="1">
        <f>Table1[[#This Row],[Purchase Amount (USD)]]</f>
        <v>89</v>
      </c>
      <c r="U836">
        <f>IF(Table1[[#This Row],[Subscription Status]]="Yes",1,IF(Table1[[#This Row],[Subscription Status]]="No",0))</f>
        <v>1</v>
      </c>
    </row>
    <row r="837" spans="1:21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  <c r="S837" t="str">
        <f>IF(Table1[[#This Row],[Age]]&lt;=25,"Young",IF(Table1[[#This Row],[Age]]&lt;=50,"Adult","Senior"))</f>
        <v>Adult</v>
      </c>
      <c r="T837" s="1">
        <f>Table1[[#This Row],[Purchase Amount (USD)]]</f>
        <v>26</v>
      </c>
      <c r="U837">
        <f>IF(Table1[[#This Row],[Subscription Status]]="Yes",1,IF(Table1[[#This Row],[Subscription Status]]="No",0))</f>
        <v>1</v>
      </c>
    </row>
    <row r="838" spans="1:21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  <c r="S838" t="str">
        <f>IF(Table1[[#This Row],[Age]]&lt;=25,"Young",IF(Table1[[#This Row],[Age]]&lt;=50,"Adult","Senior"))</f>
        <v>Young</v>
      </c>
      <c r="T838" s="1">
        <f>Table1[[#This Row],[Purchase Amount (USD)]]</f>
        <v>90</v>
      </c>
      <c r="U838">
        <f>IF(Table1[[#This Row],[Subscription Status]]="Yes",1,IF(Table1[[#This Row],[Subscription Status]]="No",0))</f>
        <v>1</v>
      </c>
    </row>
    <row r="839" spans="1:21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  <c r="S839" t="str">
        <f>IF(Table1[[#This Row],[Age]]&lt;=25,"Young",IF(Table1[[#This Row],[Age]]&lt;=50,"Adult","Senior"))</f>
        <v>Young</v>
      </c>
      <c r="T839" s="1">
        <f>Table1[[#This Row],[Purchase Amount (USD)]]</f>
        <v>28</v>
      </c>
      <c r="U839">
        <f>IF(Table1[[#This Row],[Subscription Status]]="Yes",1,IF(Table1[[#This Row],[Subscription Status]]="No",0))</f>
        <v>1</v>
      </c>
    </row>
    <row r="840" spans="1:21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  <c r="S840" t="str">
        <f>IF(Table1[[#This Row],[Age]]&lt;=25,"Young",IF(Table1[[#This Row],[Age]]&lt;=50,"Adult","Senior"))</f>
        <v>Adult</v>
      </c>
      <c r="T840" s="1">
        <f>Table1[[#This Row],[Purchase Amount (USD)]]</f>
        <v>29</v>
      </c>
      <c r="U840">
        <f>IF(Table1[[#This Row],[Subscription Status]]="Yes",1,IF(Table1[[#This Row],[Subscription Status]]="No",0))</f>
        <v>1</v>
      </c>
    </row>
    <row r="841" spans="1:21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  <c r="S841" t="str">
        <f>IF(Table1[[#This Row],[Age]]&lt;=25,"Young",IF(Table1[[#This Row],[Age]]&lt;=50,"Adult","Senior"))</f>
        <v>Adult</v>
      </c>
      <c r="T841" s="1">
        <f>Table1[[#This Row],[Purchase Amount (USD)]]</f>
        <v>31</v>
      </c>
      <c r="U841">
        <f>IF(Table1[[#This Row],[Subscription Status]]="Yes",1,IF(Table1[[#This Row],[Subscription Status]]="No",0))</f>
        <v>1</v>
      </c>
    </row>
    <row r="842" spans="1:21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  <c r="S842" t="str">
        <f>IF(Table1[[#This Row],[Age]]&lt;=25,"Young",IF(Table1[[#This Row],[Age]]&lt;=50,"Adult","Senior"))</f>
        <v>Adult</v>
      </c>
      <c r="T842" s="1">
        <f>Table1[[#This Row],[Purchase Amount (USD)]]</f>
        <v>24</v>
      </c>
      <c r="U842">
        <f>IF(Table1[[#This Row],[Subscription Status]]="Yes",1,IF(Table1[[#This Row],[Subscription Status]]="No",0))</f>
        <v>1</v>
      </c>
    </row>
    <row r="843" spans="1:21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  <c r="S843" t="str">
        <f>IF(Table1[[#This Row],[Age]]&lt;=25,"Young",IF(Table1[[#This Row],[Age]]&lt;=50,"Adult","Senior"))</f>
        <v>Senior</v>
      </c>
      <c r="T843" s="1">
        <f>Table1[[#This Row],[Purchase Amount (USD)]]</f>
        <v>88</v>
      </c>
      <c r="U843">
        <f>IF(Table1[[#This Row],[Subscription Status]]="Yes",1,IF(Table1[[#This Row],[Subscription Status]]="No",0))</f>
        <v>1</v>
      </c>
    </row>
    <row r="844" spans="1:21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  <c r="S844" t="str">
        <f>IF(Table1[[#This Row],[Age]]&lt;=25,"Young",IF(Table1[[#This Row],[Age]]&lt;=50,"Adult","Senior"))</f>
        <v>Senior</v>
      </c>
      <c r="T844" s="1">
        <f>Table1[[#This Row],[Purchase Amount (USD)]]</f>
        <v>87</v>
      </c>
      <c r="U844">
        <f>IF(Table1[[#This Row],[Subscription Status]]="Yes",1,IF(Table1[[#This Row],[Subscription Status]]="No",0))</f>
        <v>1</v>
      </c>
    </row>
    <row r="845" spans="1:21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  <c r="S845" t="str">
        <f>IF(Table1[[#This Row],[Age]]&lt;=25,"Young",IF(Table1[[#This Row],[Age]]&lt;=50,"Adult","Senior"))</f>
        <v>Senior</v>
      </c>
      <c r="T845" s="1">
        <f>Table1[[#This Row],[Purchase Amount (USD)]]</f>
        <v>80</v>
      </c>
      <c r="U845">
        <f>IF(Table1[[#This Row],[Subscription Status]]="Yes",1,IF(Table1[[#This Row],[Subscription Status]]="No",0))</f>
        <v>1</v>
      </c>
    </row>
    <row r="846" spans="1:21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  <c r="S846" t="str">
        <f>IF(Table1[[#This Row],[Age]]&lt;=25,"Young",IF(Table1[[#This Row],[Age]]&lt;=50,"Adult","Senior"))</f>
        <v>Senior</v>
      </c>
      <c r="T846" s="1">
        <f>Table1[[#This Row],[Purchase Amount (USD)]]</f>
        <v>48</v>
      </c>
      <c r="U846">
        <f>IF(Table1[[#This Row],[Subscription Status]]="Yes",1,IF(Table1[[#This Row],[Subscription Status]]="No",0))</f>
        <v>1</v>
      </c>
    </row>
    <row r="847" spans="1:21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  <c r="S847" t="str">
        <f>IF(Table1[[#This Row],[Age]]&lt;=25,"Young",IF(Table1[[#This Row],[Age]]&lt;=50,"Adult","Senior"))</f>
        <v>Adult</v>
      </c>
      <c r="T847" s="1">
        <f>Table1[[#This Row],[Purchase Amount (USD)]]</f>
        <v>21</v>
      </c>
      <c r="U847">
        <f>IF(Table1[[#This Row],[Subscription Status]]="Yes",1,IF(Table1[[#This Row],[Subscription Status]]="No",0))</f>
        <v>1</v>
      </c>
    </row>
    <row r="848" spans="1:21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  <c r="S848" t="str">
        <f>IF(Table1[[#This Row],[Age]]&lt;=25,"Young",IF(Table1[[#This Row],[Age]]&lt;=50,"Adult","Senior"))</f>
        <v>Adult</v>
      </c>
      <c r="T848" s="1">
        <f>Table1[[#This Row],[Purchase Amount (USD)]]</f>
        <v>72</v>
      </c>
      <c r="U848">
        <f>IF(Table1[[#This Row],[Subscription Status]]="Yes",1,IF(Table1[[#This Row],[Subscription Status]]="No",0))</f>
        <v>1</v>
      </c>
    </row>
    <row r="849" spans="1:21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  <c r="S849" t="str">
        <f>IF(Table1[[#This Row],[Age]]&lt;=25,"Young",IF(Table1[[#This Row],[Age]]&lt;=50,"Adult","Senior"))</f>
        <v>Senior</v>
      </c>
      <c r="T849" s="1">
        <f>Table1[[#This Row],[Purchase Amount (USD)]]</f>
        <v>44</v>
      </c>
      <c r="U849">
        <f>IF(Table1[[#This Row],[Subscription Status]]="Yes",1,IF(Table1[[#This Row],[Subscription Status]]="No",0))</f>
        <v>1</v>
      </c>
    </row>
    <row r="850" spans="1:21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  <c r="S850" t="str">
        <f>IF(Table1[[#This Row],[Age]]&lt;=25,"Young",IF(Table1[[#This Row],[Age]]&lt;=50,"Adult","Senior"))</f>
        <v>Adult</v>
      </c>
      <c r="T850" s="1">
        <f>Table1[[#This Row],[Purchase Amount (USD)]]</f>
        <v>73</v>
      </c>
      <c r="U850">
        <f>IF(Table1[[#This Row],[Subscription Status]]="Yes",1,IF(Table1[[#This Row],[Subscription Status]]="No",0))</f>
        <v>1</v>
      </c>
    </row>
    <row r="851" spans="1:21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  <c r="S851" t="str">
        <f>IF(Table1[[#This Row],[Age]]&lt;=25,"Young",IF(Table1[[#This Row],[Age]]&lt;=50,"Adult","Senior"))</f>
        <v>Young</v>
      </c>
      <c r="T851" s="1">
        <f>Table1[[#This Row],[Purchase Amount (USD)]]</f>
        <v>61</v>
      </c>
      <c r="U851">
        <f>IF(Table1[[#This Row],[Subscription Status]]="Yes",1,IF(Table1[[#This Row],[Subscription Status]]="No",0))</f>
        <v>1</v>
      </c>
    </row>
    <row r="852" spans="1:21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  <c r="S852" t="str">
        <f>IF(Table1[[#This Row],[Age]]&lt;=25,"Young",IF(Table1[[#This Row],[Age]]&lt;=50,"Adult","Senior"))</f>
        <v>Senior</v>
      </c>
      <c r="T852" s="1">
        <f>Table1[[#This Row],[Purchase Amount (USD)]]</f>
        <v>20</v>
      </c>
      <c r="U852">
        <f>IF(Table1[[#This Row],[Subscription Status]]="Yes",1,IF(Table1[[#This Row],[Subscription Status]]="No",0))</f>
        <v>1</v>
      </c>
    </row>
    <row r="853" spans="1:21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  <c r="S853" t="str">
        <f>IF(Table1[[#This Row],[Age]]&lt;=25,"Young",IF(Table1[[#This Row],[Age]]&lt;=50,"Adult","Senior"))</f>
        <v>Adult</v>
      </c>
      <c r="T853" s="1">
        <f>Table1[[#This Row],[Purchase Amount (USD)]]</f>
        <v>86</v>
      </c>
      <c r="U853">
        <f>IF(Table1[[#This Row],[Subscription Status]]="Yes",1,IF(Table1[[#This Row],[Subscription Status]]="No",0))</f>
        <v>1</v>
      </c>
    </row>
    <row r="854" spans="1:21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  <c r="S854" t="str">
        <f>IF(Table1[[#This Row],[Age]]&lt;=25,"Young",IF(Table1[[#This Row],[Age]]&lt;=50,"Adult","Senior"))</f>
        <v>Adult</v>
      </c>
      <c r="T854" s="1">
        <f>Table1[[#This Row],[Purchase Amount (USD)]]</f>
        <v>60</v>
      </c>
      <c r="U854">
        <f>IF(Table1[[#This Row],[Subscription Status]]="Yes",1,IF(Table1[[#This Row],[Subscription Status]]="No",0))</f>
        <v>1</v>
      </c>
    </row>
    <row r="855" spans="1:21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  <c r="S855" t="str">
        <f>IF(Table1[[#This Row],[Age]]&lt;=25,"Young",IF(Table1[[#This Row],[Age]]&lt;=50,"Adult","Senior"))</f>
        <v>Senior</v>
      </c>
      <c r="T855" s="1">
        <f>Table1[[#This Row],[Purchase Amount (USD)]]</f>
        <v>43</v>
      </c>
      <c r="U855">
        <f>IF(Table1[[#This Row],[Subscription Status]]="Yes",1,IF(Table1[[#This Row],[Subscription Status]]="No",0))</f>
        <v>1</v>
      </c>
    </row>
    <row r="856" spans="1:21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  <c r="S856" t="str">
        <f>IF(Table1[[#This Row],[Age]]&lt;=25,"Young",IF(Table1[[#This Row],[Age]]&lt;=50,"Adult","Senior"))</f>
        <v>Young</v>
      </c>
      <c r="T856" s="1">
        <f>Table1[[#This Row],[Purchase Amount (USD)]]</f>
        <v>44</v>
      </c>
      <c r="U856">
        <f>IF(Table1[[#This Row],[Subscription Status]]="Yes",1,IF(Table1[[#This Row],[Subscription Status]]="No",0))</f>
        <v>1</v>
      </c>
    </row>
    <row r="857" spans="1:21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  <c r="S857" t="str">
        <f>IF(Table1[[#This Row],[Age]]&lt;=25,"Young",IF(Table1[[#This Row],[Age]]&lt;=50,"Adult","Senior"))</f>
        <v>Senior</v>
      </c>
      <c r="T857" s="1">
        <f>Table1[[#This Row],[Purchase Amount (USD)]]</f>
        <v>76</v>
      </c>
      <c r="U857">
        <f>IF(Table1[[#This Row],[Subscription Status]]="Yes",1,IF(Table1[[#This Row],[Subscription Status]]="No",0))</f>
        <v>1</v>
      </c>
    </row>
    <row r="858" spans="1:21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  <c r="S858" t="str">
        <f>IF(Table1[[#This Row],[Age]]&lt;=25,"Young",IF(Table1[[#This Row],[Age]]&lt;=50,"Adult","Senior"))</f>
        <v>Senior</v>
      </c>
      <c r="T858" s="1">
        <f>Table1[[#This Row],[Purchase Amount (USD)]]</f>
        <v>33</v>
      </c>
      <c r="U858">
        <f>IF(Table1[[#This Row],[Subscription Status]]="Yes",1,IF(Table1[[#This Row],[Subscription Status]]="No",0))</f>
        <v>1</v>
      </c>
    </row>
    <row r="859" spans="1:21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  <c r="S859" t="str">
        <f>IF(Table1[[#This Row],[Age]]&lt;=25,"Young",IF(Table1[[#This Row],[Age]]&lt;=50,"Adult","Senior"))</f>
        <v>Adult</v>
      </c>
      <c r="T859" s="1">
        <f>Table1[[#This Row],[Purchase Amount (USD)]]</f>
        <v>60</v>
      </c>
      <c r="U859">
        <f>IF(Table1[[#This Row],[Subscription Status]]="Yes",1,IF(Table1[[#This Row],[Subscription Status]]="No",0))</f>
        <v>1</v>
      </c>
    </row>
    <row r="860" spans="1:21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  <c r="S860" t="str">
        <f>IF(Table1[[#This Row],[Age]]&lt;=25,"Young",IF(Table1[[#This Row],[Age]]&lt;=50,"Adult","Senior"))</f>
        <v>Young</v>
      </c>
      <c r="T860" s="1">
        <f>Table1[[#This Row],[Purchase Amount (USD)]]</f>
        <v>26</v>
      </c>
      <c r="U860">
        <f>IF(Table1[[#This Row],[Subscription Status]]="Yes",1,IF(Table1[[#This Row],[Subscription Status]]="No",0))</f>
        <v>1</v>
      </c>
    </row>
    <row r="861" spans="1:21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  <c r="S861" t="str">
        <f>IF(Table1[[#This Row],[Age]]&lt;=25,"Young",IF(Table1[[#This Row],[Age]]&lt;=50,"Adult","Senior"))</f>
        <v>Adult</v>
      </c>
      <c r="T861" s="1">
        <f>Table1[[#This Row],[Purchase Amount (USD)]]</f>
        <v>73</v>
      </c>
      <c r="U861">
        <f>IF(Table1[[#This Row],[Subscription Status]]="Yes",1,IF(Table1[[#This Row],[Subscription Status]]="No",0))</f>
        <v>1</v>
      </c>
    </row>
    <row r="862" spans="1:21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  <c r="S862" t="str">
        <f>IF(Table1[[#This Row],[Age]]&lt;=25,"Young",IF(Table1[[#This Row],[Age]]&lt;=50,"Adult","Senior"))</f>
        <v>Adult</v>
      </c>
      <c r="T862" s="1">
        <f>Table1[[#This Row],[Purchase Amount (USD)]]</f>
        <v>87</v>
      </c>
      <c r="U862">
        <f>IF(Table1[[#This Row],[Subscription Status]]="Yes",1,IF(Table1[[#This Row],[Subscription Status]]="No",0))</f>
        <v>1</v>
      </c>
    </row>
    <row r="863" spans="1:21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  <c r="S863" t="str">
        <f>IF(Table1[[#This Row],[Age]]&lt;=25,"Young",IF(Table1[[#This Row],[Age]]&lt;=50,"Adult","Senior"))</f>
        <v>Adult</v>
      </c>
      <c r="T863" s="1">
        <f>Table1[[#This Row],[Purchase Amount (USD)]]</f>
        <v>100</v>
      </c>
      <c r="U863">
        <f>IF(Table1[[#This Row],[Subscription Status]]="Yes",1,IF(Table1[[#This Row],[Subscription Status]]="No",0))</f>
        <v>1</v>
      </c>
    </row>
    <row r="864" spans="1:21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  <c r="S864" t="str">
        <f>IF(Table1[[#This Row],[Age]]&lt;=25,"Young",IF(Table1[[#This Row],[Age]]&lt;=50,"Adult","Senior"))</f>
        <v>Young</v>
      </c>
      <c r="T864" s="1">
        <f>Table1[[#This Row],[Purchase Amount (USD)]]</f>
        <v>84</v>
      </c>
      <c r="U864">
        <f>IF(Table1[[#This Row],[Subscription Status]]="Yes",1,IF(Table1[[#This Row],[Subscription Status]]="No",0))</f>
        <v>1</v>
      </c>
    </row>
    <row r="865" spans="1:21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  <c r="S865" t="str">
        <f>IF(Table1[[#This Row],[Age]]&lt;=25,"Young",IF(Table1[[#This Row],[Age]]&lt;=50,"Adult","Senior"))</f>
        <v>Adult</v>
      </c>
      <c r="T865" s="1">
        <f>Table1[[#This Row],[Purchase Amount (USD)]]</f>
        <v>41</v>
      </c>
      <c r="U865">
        <f>IF(Table1[[#This Row],[Subscription Status]]="Yes",1,IF(Table1[[#This Row],[Subscription Status]]="No",0))</f>
        <v>1</v>
      </c>
    </row>
    <row r="866" spans="1:21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  <c r="S866" t="str">
        <f>IF(Table1[[#This Row],[Age]]&lt;=25,"Young",IF(Table1[[#This Row],[Age]]&lt;=50,"Adult","Senior"))</f>
        <v>Senior</v>
      </c>
      <c r="T866" s="1">
        <f>Table1[[#This Row],[Purchase Amount (USD)]]</f>
        <v>59</v>
      </c>
      <c r="U866">
        <f>IF(Table1[[#This Row],[Subscription Status]]="Yes",1,IF(Table1[[#This Row],[Subscription Status]]="No",0))</f>
        <v>1</v>
      </c>
    </row>
    <row r="867" spans="1:21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  <c r="S867" t="str">
        <f>IF(Table1[[#This Row],[Age]]&lt;=25,"Young",IF(Table1[[#This Row],[Age]]&lt;=50,"Adult","Senior"))</f>
        <v>Senior</v>
      </c>
      <c r="T867" s="1">
        <f>Table1[[#This Row],[Purchase Amount (USD)]]</f>
        <v>26</v>
      </c>
      <c r="U867">
        <f>IF(Table1[[#This Row],[Subscription Status]]="Yes",1,IF(Table1[[#This Row],[Subscription Status]]="No",0))</f>
        <v>1</v>
      </c>
    </row>
    <row r="868" spans="1:21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  <c r="S868" t="str">
        <f>IF(Table1[[#This Row],[Age]]&lt;=25,"Young",IF(Table1[[#This Row],[Age]]&lt;=50,"Adult","Senior"))</f>
        <v>Senior</v>
      </c>
      <c r="T868" s="1">
        <f>Table1[[#This Row],[Purchase Amount (USD)]]</f>
        <v>69</v>
      </c>
      <c r="U868">
        <f>IF(Table1[[#This Row],[Subscription Status]]="Yes",1,IF(Table1[[#This Row],[Subscription Status]]="No",0))</f>
        <v>1</v>
      </c>
    </row>
    <row r="869" spans="1:21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  <c r="S869" t="str">
        <f>IF(Table1[[#This Row],[Age]]&lt;=25,"Young",IF(Table1[[#This Row],[Age]]&lt;=50,"Adult","Senior"))</f>
        <v>Adult</v>
      </c>
      <c r="T869" s="1">
        <f>Table1[[#This Row],[Purchase Amount (USD)]]</f>
        <v>20</v>
      </c>
      <c r="U869">
        <f>IF(Table1[[#This Row],[Subscription Status]]="Yes",1,IF(Table1[[#This Row],[Subscription Status]]="No",0))</f>
        <v>1</v>
      </c>
    </row>
    <row r="870" spans="1:21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  <c r="S870" t="str">
        <f>IF(Table1[[#This Row],[Age]]&lt;=25,"Young",IF(Table1[[#This Row],[Age]]&lt;=50,"Adult","Senior"))</f>
        <v>Adult</v>
      </c>
      <c r="T870" s="1">
        <f>Table1[[#This Row],[Purchase Amount (USD)]]</f>
        <v>83</v>
      </c>
      <c r="U870">
        <f>IF(Table1[[#This Row],[Subscription Status]]="Yes",1,IF(Table1[[#This Row],[Subscription Status]]="No",0))</f>
        <v>1</v>
      </c>
    </row>
    <row r="871" spans="1:21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  <c r="S871" t="str">
        <f>IF(Table1[[#This Row],[Age]]&lt;=25,"Young",IF(Table1[[#This Row],[Age]]&lt;=50,"Adult","Senior"))</f>
        <v>Adult</v>
      </c>
      <c r="T871" s="1">
        <f>Table1[[#This Row],[Purchase Amount (USD)]]</f>
        <v>54</v>
      </c>
      <c r="U871">
        <f>IF(Table1[[#This Row],[Subscription Status]]="Yes",1,IF(Table1[[#This Row],[Subscription Status]]="No",0))</f>
        <v>1</v>
      </c>
    </row>
    <row r="872" spans="1:21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  <c r="S872" t="str">
        <f>IF(Table1[[#This Row],[Age]]&lt;=25,"Young",IF(Table1[[#This Row],[Age]]&lt;=50,"Adult","Senior"))</f>
        <v>Senior</v>
      </c>
      <c r="T872" s="1">
        <f>Table1[[#This Row],[Purchase Amount (USD)]]</f>
        <v>66</v>
      </c>
      <c r="U872">
        <f>IF(Table1[[#This Row],[Subscription Status]]="Yes",1,IF(Table1[[#This Row],[Subscription Status]]="No",0))</f>
        <v>1</v>
      </c>
    </row>
    <row r="873" spans="1:21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  <c r="S873" t="str">
        <f>IF(Table1[[#This Row],[Age]]&lt;=25,"Young",IF(Table1[[#This Row],[Age]]&lt;=50,"Adult","Senior"))</f>
        <v>Adult</v>
      </c>
      <c r="T873" s="1">
        <f>Table1[[#This Row],[Purchase Amount (USD)]]</f>
        <v>42</v>
      </c>
      <c r="U873">
        <f>IF(Table1[[#This Row],[Subscription Status]]="Yes",1,IF(Table1[[#This Row],[Subscription Status]]="No",0))</f>
        <v>1</v>
      </c>
    </row>
    <row r="874" spans="1:21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  <c r="S874" t="str">
        <f>IF(Table1[[#This Row],[Age]]&lt;=25,"Young",IF(Table1[[#This Row],[Age]]&lt;=50,"Adult","Senior"))</f>
        <v>Senior</v>
      </c>
      <c r="T874" s="1">
        <f>Table1[[#This Row],[Purchase Amount (USD)]]</f>
        <v>33</v>
      </c>
      <c r="U874">
        <f>IF(Table1[[#This Row],[Subscription Status]]="Yes",1,IF(Table1[[#This Row],[Subscription Status]]="No",0))</f>
        <v>1</v>
      </c>
    </row>
    <row r="875" spans="1:21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  <c r="S875" t="str">
        <f>IF(Table1[[#This Row],[Age]]&lt;=25,"Young",IF(Table1[[#This Row],[Age]]&lt;=50,"Adult","Senior"))</f>
        <v>Senior</v>
      </c>
      <c r="T875" s="1">
        <f>Table1[[#This Row],[Purchase Amount (USD)]]</f>
        <v>77</v>
      </c>
      <c r="U875">
        <f>IF(Table1[[#This Row],[Subscription Status]]="Yes",1,IF(Table1[[#This Row],[Subscription Status]]="No",0))</f>
        <v>1</v>
      </c>
    </row>
    <row r="876" spans="1:21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  <c r="S876" t="str">
        <f>IF(Table1[[#This Row],[Age]]&lt;=25,"Young",IF(Table1[[#This Row],[Age]]&lt;=50,"Adult","Senior"))</f>
        <v>Young</v>
      </c>
      <c r="T876" s="1">
        <f>Table1[[#This Row],[Purchase Amount (USD)]]</f>
        <v>65</v>
      </c>
      <c r="U876">
        <f>IF(Table1[[#This Row],[Subscription Status]]="Yes",1,IF(Table1[[#This Row],[Subscription Status]]="No",0))</f>
        <v>1</v>
      </c>
    </row>
    <row r="877" spans="1:21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  <c r="S877" t="str">
        <f>IF(Table1[[#This Row],[Age]]&lt;=25,"Young",IF(Table1[[#This Row],[Age]]&lt;=50,"Adult","Senior"))</f>
        <v>Adult</v>
      </c>
      <c r="T877" s="1">
        <f>Table1[[#This Row],[Purchase Amount (USD)]]</f>
        <v>39</v>
      </c>
      <c r="U877">
        <f>IF(Table1[[#This Row],[Subscription Status]]="Yes",1,IF(Table1[[#This Row],[Subscription Status]]="No",0))</f>
        <v>1</v>
      </c>
    </row>
    <row r="878" spans="1:21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  <c r="S878" t="str">
        <f>IF(Table1[[#This Row],[Age]]&lt;=25,"Young",IF(Table1[[#This Row],[Age]]&lt;=50,"Adult","Senior"))</f>
        <v>Adult</v>
      </c>
      <c r="T878" s="1">
        <f>Table1[[#This Row],[Purchase Amount (USD)]]</f>
        <v>51</v>
      </c>
      <c r="U878">
        <f>IF(Table1[[#This Row],[Subscription Status]]="Yes",1,IF(Table1[[#This Row],[Subscription Status]]="No",0))</f>
        <v>1</v>
      </c>
    </row>
    <row r="879" spans="1:21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  <c r="S879" t="str">
        <f>IF(Table1[[#This Row],[Age]]&lt;=25,"Young",IF(Table1[[#This Row],[Age]]&lt;=50,"Adult","Senior"))</f>
        <v>Senior</v>
      </c>
      <c r="T879" s="1">
        <f>Table1[[#This Row],[Purchase Amount (USD)]]</f>
        <v>65</v>
      </c>
      <c r="U879">
        <f>IF(Table1[[#This Row],[Subscription Status]]="Yes",1,IF(Table1[[#This Row],[Subscription Status]]="No",0))</f>
        <v>1</v>
      </c>
    </row>
    <row r="880" spans="1:21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  <c r="S880" t="str">
        <f>IF(Table1[[#This Row],[Age]]&lt;=25,"Young",IF(Table1[[#This Row],[Age]]&lt;=50,"Adult","Senior"))</f>
        <v>Young</v>
      </c>
      <c r="T880" s="1">
        <f>Table1[[#This Row],[Purchase Amount (USD)]]</f>
        <v>89</v>
      </c>
      <c r="U880">
        <f>IF(Table1[[#This Row],[Subscription Status]]="Yes",1,IF(Table1[[#This Row],[Subscription Status]]="No",0))</f>
        <v>1</v>
      </c>
    </row>
    <row r="881" spans="1:21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  <c r="S881" t="str">
        <f>IF(Table1[[#This Row],[Age]]&lt;=25,"Young",IF(Table1[[#This Row],[Age]]&lt;=50,"Adult","Senior"))</f>
        <v>Senior</v>
      </c>
      <c r="T881" s="1">
        <f>Table1[[#This Row],[Purchase Amount (USD)]]</f>
        <v>76</v>
      </c>
      <c r="U881">
        <f>IF(Table1[[#This Row],[Subscription Status]]="Yes",1,IF(Table1[[#This Row],[Subscription Status]]="No",0))</f>
        <v>1</v>
      </c>
    </row>
    <row r="882" spans="1:21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  <c r="S882" t="str">
        <f>IF(Table1[[#This Row],[Age]]&lt;=25,"Young",IF(Table1[[#This Row],[Age]]&lt;=50,"Adult","Senior"))</f>
        <v>Adult</v>
      </c>
      <c r="T882" s="1">
        <f>Table1[[#This Row],[Purchase Amount (USD)]]</f>
        <v>75</v>
      </c>
      <c r="U882">
        <f>IF(Table1[[#This Row],[Subscription Status]]="Yes",1,IF(Table1[[#This Row],[Subscription Status]]="No",0))</f>
        <v>1</v>
      </c>
    </row>
    <row r="883" spans="1:21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  <c r="S883" t="str">
        <f>IF(Table1[[#This Row],[Age]]&lt;=25,"Young",IF(Table1[[#This Row],[Age]]&lt;=50,"Adult","Senior"))</f>
        <v>Senior</v>
      </c>
      <c r="T883" s="1">
        <f>Table1[[#This Row],[Purchase Amount (USD)]]</f>
        <v>61</v>
      </c>
      <c r="U883">
        <f>IF(Table1[[#This Row],[Subscription Status]]="Yes",1,IF(Table1[[#This Row],[Subscription Status]]="No",0))</f>
        <v>1</v>
      </c>
    </row>
    <row r="884" spans="1:21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  <c r="S884" t="str">
        <f>IF(Table1[[#This Row],[Age]]&lt;=25,"Young",IF(Table1[[#This Row],[Age]]&lt;=50,"Adult","Senior"))</f>
        <v>Adult</v>
      </c>
      <c r="T884" s="1">
        <f>Table1[[#This Row],[Purchase Amount (USD)]]</f>
        <v>35</v>
      </c>
      <c r="U884">
        <f>IF(Table1[[#This Row],[Subscription Status]]="Yes",1,IF(Table1[[#This Row],[Subscription Status]]="No",0))</f>
        <v>1</v>
      </c>
    </row>
    <row r="885" spans="1:21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  <c r="S885" t="str">
        <f>IF(Table1[[#This Row],[Age]]&lt;=25,"Young",IF(Table1[[#This Row],[Age]]&lt;=50,"Adult","Senior"))</f>
        <v>Adult</v>
      </c>
      <c r="T885" s="1">
        <f>Table1[[#This Row],[Purchase Amount (USD)]]</f>
        <v>37</v>
      </c>
      <c r="U885">
        <f>IF(Table1[[#This Row],[Subscription Status]]="Yes",1,IF(Table1[[#This Row],[Subscription Status]]="No",0))</f>
        <v>1</v>
      </c>
    </row>
    <row r="886" spans="1:21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  <c r="S886" t="str">
        <f>IF(Table1[[#This Row],[Age]]&lt;=25,"Young",IF(Table1[[#This Row],[Age]]&lt;=50,"Adult","Senior"))</f>
        <v>Senior</v>
      </c>
      <c r="T886" s="1">
        <f>Table1[[#This Row],[Purchase Amount (USD)]]</f>
        <v>91</v>
      </c>
      <c r="U886">
        <f>IF(Table1[[#This Row],[Subscription Status]]="Yes",1,IF(Table1[[#This Row],[Subscription Status]]="No",0))</f>
        <v>1</v>
      </c>
    </row>
    <row r="887" spans="1:21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  <c r="S887" t="str">
        <f>IF(Table1[[#This Row],[Age]]&lt;=25,"Young",IF(Table1[[#This Row],[Age]]&lt;=50,"Adult","Senior"))</f>
        <v>Adult</v>
      </c>
      <c r="T887" s="1">
        <f>Table1[[#This Row],[Purchase Amount (USD)]]</f>
        <v>99</v>
      </c>
      <c r="U887">
        <f>IF(Table1[[#This Row],[Subscription Status]]="Yes",1,IF(Table1[[#This Row],[Subscription Status]]="No",0))</f>
        <v>1</v>
      </c>
    </row>
    <row r="888" spans="1:21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  <c r="S888" t="str">
        <f>IF(Table1[[#This Row],[Age]]&lt;=25,"Young",IF(Table1[[#This Row],[Age]]&lt;=50,"Adult","Senior"))</f>
        <v>Young</v>
      </c>
      <c r="T888" s="1">
        <f>Table1[[#This Row],[Purchase Amount (USD)]]</f>
        <v>54</v>
      </c>
      <c r="U888">
        <f>IF(Table1[[#This Row],[Subscription Status]]="Yes",1,IF(Table1[[#This Row],[Subscription Status]]="No",0))</f>
        <v>1</v>
      </c>
    </row>
    <row r="889" spans="1:21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  <c r="S889" t="str">
        <f>IF(Table1[[#This Row],[Age]]&lt;=25,"Young",IF(Table1[[#This Row],[Age]]&lt;=50,"Adult","Senior"))</f>
        <v>Senior</v>
      </c>
      <c r="T889" s="1">
        <f>Table1[[#This Row],[Purchase Amount (USD)]]</f>
        <v>47</v>
      </c>
      <c r="U889">
        <f>IF(Table1[[#This Row],[Subscription Status]]="Yes",1,IF(Table1[[#This Row],[Subscription Status]]="No",0))</f>
        <v>1</v>
      </c>
    </row>
    <row r="890" spans="1:21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  <c r="S890" t="str">
        <f>IF(Table1[[#This Row],[Age]]&lt;=25,"Young",IF(Table1[[#This Row],[Age]]&lt;=50,"Adult","Senior"))</f>
        <v>Adult</v>
      </c>
      <c r="T890" s="1">
        <f>Table1[[#This Row],[Purchase Amount (USD)]]</f>
        <v>77</v>
      </c>
      <c r="U890">
        <f>IF(Table1[[#This Row],[Subscription Status]]="Yes",1,IF(Table1[[#This Row],[Subscription Status]]="No",0))</f>
        <v>1</v>
      </c>
    </row>
    <row r="891" spans="1:21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  <c r="S891" t="str">
        <f>IF(Table1[[#This Row],[Age]]&lt;=25,"Young",IF(Table1[[#This Row],[Age]]&lt;=50,"Adult","Senior"))</f>
        <v>Senior</v>
      </c>
      <c r="T891" s="1">
        <f>Table1[[#This Row],[Purchase Amount (USD)]]</f>
        <v>84</v>
      </c>
      <c r="U891">
        <f>IF(Table1[[#This Row],[Subscription Status]]="Yes",1,IF(Table1[[#This Row],[Subscription Status]]="No",0))</f>
        <v>1</v>
      </c>
    </row>
    <row r="892" spans="1:21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  <c r="S892" t="str">
        <f>IF(Table1[[#This Row],[Age]]&lt;=25,"Young",IF(Table1[[#This Row],[Age]]&lt;=50,"Adult","Senior"))</f>
        <v>Senior</v>
      </c>
      <c r="T892" s="1">
        <f>Table1[[#This Row],[Purchase Amount (USD)]]</f>
        <v>51</v>
      </c>
      <c r="U892">
        <f>IF(Table1[[#This Row],[Subscription Status]]="Yes",1,IF(Table1[[#This Row],[Subscription Status]]="No",0))</f>
        <v>1</v>
      </c>
    </row>
    <row r="893" spans="1:21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  <c r="S893" t="str">
        <f>IF(Table1[[#This Row],[Age]]&lt;=25,"Young",IF(Table1[[#This Row],[Age]]&lt;=50,"Adult","Senior"))</f>
        <v>Young</v>
      </c>
      <c r="T893" s="1">
        <f>Table1[[#This Row],[Purchase Amount (USD)]]</f>
        <v>26</v>
      </c>
      <c r="U893">
        <f>IF(Table1[[#This Row],[Subscription Status]]="Yes",1,IF(Table1[[#This Row],[Subscription Status]]="No",0))</f>
        <v>1</v>
      </c>
    </row>
    <row r="894" spans="1:21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  <c r="S894" t="str">
        <f>IF(Table1[[#This Row],[Age]]&lt;=25,"Young",IF(Table1[[#This Row],[Age]]&lt;=50,"Adult","Senior"))</f>
        <v>Adult</v>
      </c>
      <c r="T894" s="1">
        <f>Table1[[#This Row],[Purchase Amount (USD)]]</f>
        <v>64</v>
      </c>
      <c r="U894">
        <f>IF(Table1[[#This Row],[Subscription Status]]="Yes",1,IF(Table1[[#This Row],[Subscription Status]]="No",0))</f>
        <v>1</v>
      </c>
    </row>
    <row r="895" spans="1:21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  <c r="S895" t="str">
        <f>IF(Table1[[#This Row],[Age]]&lt;=25,"Young",IF(Table1[[#This Row],[Age]]&lt;=50,"Adult","Senior"))</f>
        <v>Adult</v>
      </c>
      <c r="T895" s="1">
        <f>Table1[[#This Row],[Purchase Amount (USD)]]</f>
        <v>51</v>
      </c>
      <c r="U895">
        <f>IF(Table1[[#This Row],[Subscription Status]]="Yes",1,IF(Table1[[#This Row],[Subscription Status]]="No",0))</f>
        <v>1</v>
      </c>
    </row>
    <row r="896" spans="1:21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  <c r="S896" t="str">
        <f>IF(Table1[[#This Row],[Age]]&lt;=25,"Young",IF(Table1[[#This Row],[Age]]&lt;=50,"Adult","Senior"))</f>
        <v>Adult</v>
      </c>
      <c r="T896" s="1">
        <f>Table1[[#This Row],[Purchase Amount (USD)]]</f>
        <v>60</v>
      </c>
      <c r="U896">
        <f>IF(Table1[[#This Row],[Subscription Status]]="Yes",1,IF(Table1[[#This Row],[Subscription Status]]="No",0))</f>
        <v>1</v>
      </c>
    </row>
    <row r="897" spans="1:21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  <c r="S897" t="str">
        <f>IF(Table1[[#This Row],[Age]]&lt;=25,"Young",IF(Table1[[#This Row],[Age]]&lt;=50,"Adult","Senior"))</f>
        <v>Adult</v>
      </c>
      <c r="T897" s="1">
        <f>Table1[[#This Row],[Purchase Amount (USD)]]</f>
        <v>69</v>
      </c>
      <c r="U897">
        <f>IF(Table1[[#This Row],[Subscription Status]]="Yes",1,IF(Table1[[#This Row],[Subscription Status]]="No",0))</f>
        <v>1</v>
      </c>
    </row>
    <row r="898" spans="1:21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  <c r="S898" t="str">
        <f>IF(Table1[[#This Row],[Age]]&lt;=25,"Young",IF(Table1[[#This Row],[Age]]&lt;=50,"Adult","Senior"))</f>
        <v>Senior</v>
      </c>
      <c r="T898" s="1">
        <f>Table1[[#This Row],[Purchase Amount (USD)]]</f>
        <v>29</v>
      </c>
      <c r="U898">
        <f>IF(Table1[[#This Row],[Subscription Status]]="Yes",1,IF(Table1[[#This Row],[Subscription Status]]="No",0))</f>
        <v>1</v>
      </c>
    </row>
    <row r="899" spans="1:21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  <c r="S899" t="str">
        <f>IF(Table1[[#This Row],[Age]]&lt;=25,"Young",IF(Table1[[#This Row],[Age]]&lt;=50,"Adult","Senior"))</f>
        <v>Adult</v>
      </c>
      <c r="T899" s="1">
        <f>Table1[[#This Row],[Purchase Amount (USD)]]</f>
        <v>91</v>
      </c>
      <c r="U899">
        <f>IF(Table1[[#This Row],[Subscription Status]]="Yes",1,IF(Table1[[#This Row],[Subscription Status]]="No",0))</f>
        <v>1</v>
      </c>
    </row>
    <row r="900" spans="1:21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  <c r="S900" t="str">
        <f>IF(Table1[[#This Row],[Age]]&lt;=25,"Young",IF(Table1[[#This Row],[Age]]&lt;=50,"Adult","Senior"))</f>
        <v>Senior</v>
      </c>
      <c r="T900" s="1">
        <f>Table1[[#This Row],[Purchase Amount (USD)]]</f>
        <v>70</v>
      </c>
      <c r="U900">
        <f>IF(Table1[[#This Row],[Subscription Status]]="Yes",1,IF(Table1[[#This Row],[Subscription Status]]="No",0))</f>
        <v>1</v>
      </c>
    </row>
    <row r="901" spans="1:21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  <c r="S901" t="str">
        <f>IF(Table1[[#This Row],[Age]]&lt;=25,"Young",IF(Table1[[#This Row],[Age]]&lt;=50,"Adult","Senior"))</f>
        <v>Senior</v>
      </c>
      <c r="T901" s="1">
        <f>Table1[[#This Row],[Purchase Amount (USD)]]</f>
        <v>58</v>
      </c>
      <c r="U901">
        <f>IF(Table1[[#This Row],[Subscription Status]]="Yes",1,IF(Table1[[#This Row],[Subscription Status]]="No",0))</f>
        <v>1</v>
      </c>
    </row>
    <row r="902" spans="1:21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  <c r="S902" t="str">
        <f>IF(Table1[[#This Row],[Age]]&lt;=25,"Young",IF(Table1[[#This Row],[Age]]&lt;=50,"Adult","Senior"))</f>
        <v>Senior</v>
      </c>
      <c r="T902" s="1">
        <f>Table1[[#This Row],[Purchase Amount (USD)]]</f>
        <v>98</v>
      </c>
      <c r="U902">
        <f>IF(Table1[[#This Row],[Subscription Status]]="Yes",1,IF(Table1[[#This Row],[Subscription Status]]="No",0))</f>
        <v>1</v>
      </c>
    </row>
    <row r="903" spans="1:21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  <c r="S903" t="str">
        <f>IF(Table1[[#This Row],[Age]]&lt;=25,"Young",IF(Table1[[#This Row],[Age]]&lt;=50,"Adult","Senior"))</f>
        <v>Senior</v>
      </c>
      <c r="T903" s="1">
        <f>Table1[[#This Row],[Purchase Amount (USD)]]</f>
        <v>68</v>
      </c>
      <c r="U903">
        <f>IF(Table1[[#This Row],[Subscription Status]]="Yes",1,IF(Table1[[#This Row],[Subscription Status]]="No",0))</f>
        <v>1</v>
      </c>
    </row>
    <row r="904" spans="1:21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  <c r="S904" t="str">
        <f>IF(Table1[[#This Row],[Age]]&lt;=25,"Young",IF(Table1[[#This Row],[Age]]&lt;=50,"Adult","Senior"))</f>
        <v>Adult</v>
      </c>
      <c r="T904" s="1">
        <f>Table1[[#This Row],[Purchase Amount (USD)]]</f>
        <v>44</v>
      </c>
      <c r="U904">
        <f>IF(Table1[[#This Row],[Subscription Status]]="Yes",1,IF(Table1[[#This Row],[Subscription Status]]="No",0))</f>
        <v>1</v>
      </c>
    </row>
    <row r="905" spans="1:21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  <c r="S905" t="str">
        <f>IF(Table1[[#This Row],[Age]]&lt;=25,"Young",IF(Table1[[#This Row],[Age]]&lt;=50,"Adult","Senior"))</f>
        <v>Adult</v>
      </c>
      <c r="T905" s="1">
        <f>Table1[[#This Row],[Purchase Amount (USD)]]</f>
        <v>45</v>
      </c>
      <c r="U905">
        <f>IF(Table1[[#This Row],[Subscription Status]]="Yes",1,IF(Table1[[#This Row],[Subscription Status]]="No",0))</f>
        <v>1</v>
      </c>
    </row>
    <row r="906" spans="1:21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  <c r="S906" t="str">
        <f>IF(Table1[[#This Row],[Age]]&lt;=25,"Young",IF(Table1[[#This Row],[Age]]&lt;=50,"Adult","Senior"))</f>
        <v>Senior</v>
      </c>
      <c r="T906" s="1">
        <f>Table1[[#This Row],[Purchase Amount (USD)]]</f>
        <v>99</v>
      </c>
      <c r="U906">
        <f>IF(Table1[[#This Row],[Subscription Status]]="Yes",1,IF(Table1[[#This Row],[Subscription Status]]="No",0))</f>
        <v>1</v>
      </c>
    </row>
    <row r="907" spans="1:21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  <c r="S907" t="str">
        <f>IF(Table1[[#This Row],[Age]]&lt;=25,"Young",IF(Table1[[#This Row],[Age]]&lt;=50,"Adult","Senior"))</f>
        <v>Adult</v>
      </c>
      <c r="T907" s="1">
        <f>Table1[[#This Row],[Purchase Amount (USD)]]</f>
        <v>68</v>
      </c>
      <c r="U907">
        <f>IF(Table1[[#This Row],[Subscription Status]]="Yes",1,IF(Table1[[#This Row],[Subscription Status]]="No",0))</f>
        <v>1</v>
      </c>
    </row>
    <row r="908" spans="1:21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  <c r="S908" t="str">
        <f>IF(Table1[[#This Row],[Age]]&lt;=25,"Young",IF(Table1[[#This Row],[Age]]&lt;=50,"Adult","Senior"))</f>
        <v>Adult</v>
      </c>
      <c r="T908" s="1">
        <f>Table1[[#This Row],[Purchase Amount (USD)]]</f>
        <v>56</v>
      </c>
      <c r="U908">
        <f>IF(Table1[[#This Row],[Subscription Status]]="Yes",1,IF(Table1[[#This Row],[Subscription Status]]="No",0))</f>
        <v>1</v>
      </c>
    </row>
    <row r="909" spans="1:21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  <c r="S909" t="str">
        <f>IF(Table1[[#This Row],[Age]]&lt;=25,"Young",IF(Table1[[#This Row],[Age]]&lt;=50,"Adult","Senior"))</f>
        <v>Adult</v>
      </c>
      <c r="T909" s="1">
        <f>Table1[[#This Row],[Purchase Amount (USD)]]</f>
        <v>43</v>
      </c>
      <c r="U909">
        <f>IF(Table1[[#This Row],[Subscription Status]]="Yes",1,IF(Table1[[#This Row],[Subscription Status]]="No",0))</f>
        <v>1</v>
      </c>
    </row>
    <row r="910" spans="1:21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  <c r="S910" t="str">
        <f>IF(Table1[[#This Row],[Age]]&lt;=25,"Young",IF(Table1[[#This Row],[Age]]&lt;=50,"Adult","Senior"))</f>
        <v>Adult</v>
      </c>
      <c r="T910" s="1">
        <f>Table1[[#This Row],[Purchase Amount (USD)]]</f>
        <v>99</v>
      </c>
      <c r="U910">
        <f>IF(Table1[[#This Row],[Subscription Status]]="Yes",1,IF(Table1[[#This Row],[Subscription Status]]="No",0))</f>
        <v>1</v>
      </c>
    </row>
    <row r="911" spans="1:21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  <c r="S911" t="str">
        <f>IF(Table1[[#This Row],[Age]]&lt;=25,"Young",IF(Table1[[#This Row],[Age]]&lt;=50,"Adult","Senior"))</f>
        <v>Senior</v>
      </c>
      <c r="T911" s="1">
        <f>Table1[[#This Row],[Purchase Amount (USD)]]</f>
        <v>56</v>
      </c>
      <c r="U911">
        <f>IF(Table1[[#This Row],[Subscription Status]]="Yes",1,IF(Table1[[#This Row],[Subscription Status]]="No",0))</f>
        <v>1</v>
      </c>
    </row>
    <row r="912" spans="1:21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  <c r="S912" t="str">
        <f>IF(Table1[[#This Row],[Age]]&lt;=25,"Young",IF(Table1[[#This Row],[Age]]&lt;=50,"Adult","Senior"))</f>
        <v>Adult</v>
      </c>
      <c r="T912" s="1">
        <f>Table1[[#This Row],[Purchase Amount (USD)]]</f>
        <v>25</v>
      </c>
      <c r="U912">
        <f>IF(Table1[[#This Row],[Subscription Status]]="Yes",1,IF(Table1[[#This Row],[Subscription Status]]="No",0))</f>
        <v>1</v>
      </c>
    </row>
    <row r="913" spans="1:21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  <c r="S913" t="str">
        <f>IF(Table1[[#This Row],[Age]]&lt;=25,"Young",IF(Table1[[#This Row],[Age]]&lt;=50,"Adult","Senior"))</f>
        <v>Senior</v>
      </c>
      <c r="T913" s="1">
        <f>Table1[[#This Row],[Purchase Amount (USD)]]</f>
        <v>74</v>
      </c>
      <c r="U913">
        <f>IF(Table1[[#This Row],[Subscription Status]]="Yes",1,IF(Table1[[#This Row],[Subscription Status]]="No",0))</f>
        <v>1</v>
      </c>
    </row>
    <row r="914" spans="1:21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  <c r="S914" t="str">
        <f>IF(Table1[[#This Row],[Age]]&lt;=25,"Young",IF(Table1[[#This Row],[Age]]&lt;=50,"Adult","Senior"))</f>
        <v>Young</v>
      </c>
      <c r="T914" s="1">
        <f>Table1[[#This Row],[Purchase Amount (USD)]]</f>
        <v>56</v>
      </c>
      <c r="U914">
        <f>IF(Table1[[#This Row],[Subscription Status]]="Yes",1,IF(Table1[[#This Row],[Subscription Status]]="No",0))</f>
        <v>1</v>
      </c>
    </row>
    <row r="915" spans="1:21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  <c r="S915" t="str">
        <f>IF(Table1[[#This Row],[Age]]&lt;=25,"Young",IF(Table1[[#This Row],[Age]]&lt;=50,"Adult","Senior"))</f>
        <v>Adult</v>
      </c>
      <c r="T915" s="1">
        <f>Table1[[#This Row],[Purchase Amount (USD)]]</f>
        <v>47</v>
      </c>
      <c r="U915">
        <f>IF(Table1[[#This Row],[Subscription Status]]="Yes",1,IF(Table1[[#This Row],[Subscription Status]]="No",0))</f>
        <v>1</v>
      </c>
    </row>
    <row r="916" spans="1:21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  <c r="S916" t="str">
        <f>IF(Table1[[#This Row],[Age]]&lt;=25,"Young",IF(Table1[[#This Row],[Age]]&lt;=50,"Adult","Senior"))</f>
        <v>Adult</v>
      </c>
      <c r="T916" s="1">
        <f>Table1[[#This Row],[Purchase Amount (USD)]]</f>
        <v>67</v>
      </c>
      <c r="U916">
        <f>IF(Table1[[#This Row],[Subscription Status]]="Yes",1,IF(Table1[[#This Row],[Subscription Status]]="No",0))</f>
        <v>1</v>
      </c>
    </row>
    <row r="917" spans="1:21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  <c r="S917" t="str">
        <f>IF(Table1[[#This Row],[Age]]&lt;=25,"Young",IF(Table1[[#This Row],[Age]]&lt;=50,"Adult","Senior"))</f>
        <v>Adult</v>
      </c>
      <c r="T917" s="1">
        <f>Table1[[#This Row],[Purchase Amount (USD)]]</f>
        <v>22</v>
      </c>
      <c r="U917">
        <f>IF(Table1[[#This Row],[Subscription Status]]="Yes",1,IF(Table1[[#This Row],[Subscription Status]]="No",0))</f>
        <v>1</v>
      </c>
    </row>
    <row r="918" spans="1:21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  <c r="S918" t="str">
        <f>IF(Table1[[#This Row],[Age]]&lt;=25,"Young",IF(Table1[[#This Row],[Age]]&lt;=50,"Adult","Senior"))</f>
        <v>Adult</v>
      </c>
      <c r="T918" s="1">
        <f>Table1[[#This Row],[Purchase Amount (USD)]]</f>
        <v>34</v>
      </c>
      <c r="U918">
        <f>IF(Table1[[#This Row],[Subscription Status]]="Yes",1,IF(Table1[[#This Row],[Subscription Status]]="No",0))</f>
        <v>1</v>
      </c>
    </row>
    <row r="919" spans="1:21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  <c r="S919" t="str">
        <f>IF(Table1[[#This Row],[Age]]&lt;=25,"Young",IF(Table1[[#This Row],[Age]]&lt;=50,"Adult","Senior"))</f>
        <v>Senior</v>
      </c>
      <c r="T919" s="1">
        <f>Table1[[#This Row],[Purchase Amount (USD)]]</f>
        <v>64</v>
      </c>
      <c r="U919">
        <f>IF(Table1[[#This Row],[Subscription Status]]="Yes",1,IF(Table1[[#This Row],[Subscription Status]]="No",0))</f>
        <v>1</v>
      </c>
    </row>
    <row r="920" spans="1:21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  <c r="S920" t="str">
        <f>IF(Table1[[#This Row],[Age]]&lt;=25,"Young",IF(Table1[[#This Row],[Age]]&lt;=50,"Adult","Senior"))</f>
        <v>Senior</v>
      </c>
      <c r="T920" s="1">
        <f>Table1[[#This Row],[Purchase Amount (USD)]]</f>
        <v>42</v>
      </c>
      <c r="U920">
        <f>IF(Table1[[#This Row],[Subscription Status]]="Yes",1,IF(Table1[[#This Row],[Subscription Status]]="No",0))</f>
        <v>1</v>
      </c>
    </row>
    <row r="921" spans="1:21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  <c r="S921" t="str">
        <f>IF(Table1[[#This Row],[Age]]&lt;=25,"Young",IF(Table1[[#This Row],[Age]]&lt;=50,"Adult","Senior"))</f>
        <v>Adult</v>
      </c>
      <c r="T921" s="1">
        <f>Table1[[#This Row],[Purchase Amount (USD)]]</f>
        <v>82</v>
      </c>
      <c r="U921">
        <f>IF(Table1[[#This Row],[Subscription Status]]="Yes",1,IF(Table1[[#This Row],[Subscription Status]]="No",0))</f>
        <v>1</v>
      </c>
    </row>
    <row r="922" spans="1:21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  <c r="S922" t="str">
        <f>IF(Table1[[#This Row],[Age]]&lt;=25,"Young",IF(Table1[[#This Row],[Age]]&lt;=50,"Adult","Senior"))</f>
        <v>Adult</v>
      </c>
      <c r="T922" s="1">
        <f>Table1[[#This Row],[Purchase Amount (USD)]]</f>
        <v>81</v>
      </c>
      <c r="U922">
        <f>IF(Table1[[#This Row],[Subscription Status]]="Yes",1,IF(Table1[[#This Row],[Subscription Status]]="No",0))</f>
        <v>1</v>
      </c>
    </row>
    <row r="923" spans="1:21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  <c r="S923" t="str">
        <f>IF(Table1[[#This Row],[Age]]&lt;=25,"Young",IF(Table1[[#This Row],[Age]]&lt;=50,"Adult","Senior"))</f>
        <v>Senior</v>
      </c>
      <c r="T923" s="1">
        <f>Table1[[#This Row],[Purchase Amount (USD)]]</f>
        <v>24</v>
      </c>
      <c r="U923">
        <f>IF(Table1[[#This Row],[Subscription Status]]="Yes",1,IF(Table1[[#This Row],[Subscription Status]]="No",0))</f>
        <v>1</v>
      </c>
    </row>
    <row r="924" spans="1:21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  <c r="S924" t="str">
        <f>IF(Table1[[#This Row],[Age]]&lt;=25,"Young",IF(Table1[[#This Row],[Age]]&lt;=50,"Adult","Senior"))</f>
        <v>Senior</v>
      </c>
      <c r="T924" s="1">
        <f>Table1[[#This Row],[Purchase Amount (USD)]]</f>
        <v>60</v>
      </c>
      <c r="U924">
        <f>IF(Table1[[#This Row],[Subscription Status]]="Yes",1,IF(Table1[[#This Row],[Subscription Status]]="No",0))</f>
        <v>1</v>
      </c>
    </row>
    <row r="925" spans="1:21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  <c r="S925" t="str">
        <f>IF(Table1[[#This Row],[Age]]&lt;=25,"Young",IF(Table1[[#This Row],[Age]]&lt;=50,"Adult","Senior"))</f>
        <v>Senior</v>
      </c>
      <c r="T925" s="1">
        <f>Table1[[#This Row],[Purchase Amount (USD)]]</f>
        <v>24</v>
      </c>
      <c r="U925">
        <f>IF(Table1[[#This Row],[Subscription Status]]="Yes",1,IF(Table1[[#This Row],[Subscription Status]]="No",0))</f>
        <v>1</v>
      </c>
    </row>
    <row r="926" spans="1:21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  <c r="S926" t="str">
        <f>IF(Table1[[#This Row],[Age]]&lt;=25,"Young",IF(Table1[[#This Row],[Age]]&lt;=50,"Adult","Senior"))</f>
        <v>Senior</v>
      </c>
      <c r="T926" s="1">
        <f>Table1[[#This Row],[Purchase Amount (USD)]]</f>
        <v>78</v>
      </c>
      <c r="U926">
        <f>IF(Table1[[#This Row],[Subscription Status]]="Yes",1,IF(Table1[[#This Row],[Subscription Status]]="No",0))</f>
        <v>1</v>
      </c>
    </row>
    <row r="927" spans="1:21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  <c r="S927" t="str">
        <f>IF(Table1[[#This Row],[Age]]&lt;=25,"Young",IF(Table1[[#This Row],[Age]]&lt;=50,"Adult","Senior"))</f>
        <v>Young</v>
      </c>
      <c r="T927" s="1">
        <f>Table1[[#This Row],[Purchase Amount (USD)]]</f>
        <v>88</v>
      </c>
      <c r="U927">
        <f>IF(Table1[[#This Row],[Subscription Status]]="Yes",1,IF(Table1[[#This Row],[Subscription Status]]="No",0))</f>
        <v>1</v>
      </c>
    </row>
    <row r="928" spans="1:21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  <c r="S928" t="str">
        <f>IF(Table1[[#This Row],[Age]]&lt;=25,"Young",IF(Table1[[#This Row],[Age]]&lt;=50,"Adult","Senior"))</f>
        <v>Senior</v>
      </c>
      <c r="T928" s="1">
        <f>Table1[[#This Row],[Purchase Amount (USD)]]</f>
        <v>63</v>
      </c>
      <c r="U928">
        <f>IF(Table1[[#This Row],[Subscription Status]]="Yes",1,IF(Table1[[#This Row],[Subscription Status]]="No",0))</f>
        <v>1</v>
      </c>
    </row>
    <row r="929" spans="1:21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  <c r="S929" t="str">
        <f>IF(Table1[[#This Row],[Age]]&lt;=25,"Young",IF(Table1[[#This Row],[Age]]&lt;=50,"Adult","Senior"))</f>
        <v>Adult</v>
      </c>
      <c r="T929" s="1">
        <f>Table1[[#This Row],[Purchase Amount (USD)]]</f>
        <v>78</v>
      </c>
      <c r="U929">
        <f>IF(Table1[[#This Row],[Subscription Status]]="Yes",1,IF(Table1[[#This Row],[Subscription Status]]="No",0))</f>
        <v>1</v>
      </c>
    </row>
    <row r="930" spans="1:21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  <c r="S930" t="str">
        <f>IF(Table1[[#This Row],[Age]]&lt;=25,"Young",IF(Table1[[#This Row],[Age]]&lt;=50,"Adult","Senior"))</f>
        <v>Senior</v>
      </c>
      <c r="T930" s="1">
        <f>Table1[[#This Row],[Purchase Amount (USD)]]</f>
        <v>37</v>
      </c>
      <c r="U930">
        <f>IF(Table1[[#This Row],[Subscription Status]]="Yes",1,IF(Table1[[#This Row],[Subscription Status]]="No",0))</f>
        <v>1</v>
      </c>
    </row>
    <row r="931" spans="1:21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  <c r="S931" t="str">
        <f>IF(Table1[[#This Row],[Age]]&lt;=25,"Young",IF(Table1[[#This Row],[Age]]&lt;=50,"Adult","Senior"))</f>
        <v>Senior</v>
      </c>
      <c r="T931" s="1">
        <f>Table1[[#This Row],[Purchase Amount (USD)]]</f>
        <v>94</v>
      </c>
      <c r="U931">
        <f>IF(Table1[[#This Row],[Subscription Status]]="Yes",1,IF(Table1[[#This Row],[Subscription Status]]="No",0))</f>
        <v>1</v>
      </c>
    </row>
    <row r="932" spans="1:21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  <c r="S932" t="str">
        <f>IF(Table1[[#This Row],[Age]]&lt;=25,"Young",IF(Table1[[#This Row],[Age]]&lt;=50,"Adult","Senior"))</f>
        <v>Adult</v>
      </c>
      <c r="T932" s="1">
        <f>Table1[[#This Row],[Purchase Amount (USD)]]</f>
        <v>78</v>
      </c>
      <c r="U932">
        <f>IF(Table1[[#This Row],[Subscription Status]]="Yes",1,IF(Table1[[#This Row],[Subscription Status]]="No",0))</f>
        <v>1</v>
      </c>
    </row>
    <row r="933" spans="1:21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  <c r="S933" t="str">
        <f>IF(Table1[[#This Row],[Age]]&lt;=25,"Young",IF(Table1[[#This Row],[Age]]&lt;=50,"Adult","Senior"))</f>
        <v>Young</v>
      </c>
      <c r="T933" s="1">
        <f>Table1[[#This Row],[Purchase Amount (USD)]]</f>
        <v>36</v>
      </c>
      <c r="U933">
        <f>IF(Table1[[#This Row],[Subscription Status]]="Yes",1,IF(Table1[[#This Row],[Subscription Status]]="No",0))</f>
        <v>1</v>
      </c>
    </row>
    <row r="934" spans="1:21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  <c r="S934" t="str">
        <f>IF(Table1[[#This Row],[Age]]&lt;=25,"Young",IF(Table1[[#This Row],[Age]]&lt;=50,"Adult","Senior"))</f>
        <v>Senior</v>
      </c>
      <c r="T934" s="1">
        <f>Table1[[#This Row],[Purchase Amount (USD)]]</f>
        <v>24</v>
      </c>
      <c r="U934">
        <f>IF(Table1[[#This Row],[Subscription Status]]="Yes",1,IF(Table1[[#This Row],[Subscription Status]]="No",0))</f>
        <v>1</v>
      </c>
    </row>
    <row r="935" spans="1:21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  <c r="S935" t="str">
        <f>IF(Table1[[#This Row],[Age]]&lt;=25,"Young",IF(Table1[[#This Row],[Age]]&lt;=50,"Adult","Senior"))</f>
        <v>Senior</v>
      </c>
      <c r="T935" s="1">
        <f>Table1[[#This Row],[Purchase Amount (USD)]]</f>
        <v>84</v>
      </c>
      <c r="U935">
        <f>IF(Table1[[#This Row],[Subscription Status]]="Yes",1,IF(Table1[[#This Row],[Subscription Status]]="No",0))</f>
        <v>1</v>
      </c>
    </row>
    <row r="936" spans="1:21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  <c r="S936" t="str">
        <f>IF(Table1[[#This Row],[Age]]&lt;=25,"Young",IF(Table1[[#This Row],[Age]]&lt;=50,"Adult","Senior"))</f>
        <v>Adult</v>
      </c>
      <c r="T936" s="1">
        <f>Table1[[#This Row],[Purchase Amount (USD)]]</f>
        <v>47</v>
      </c>
      <c r="U936">
        <f>IF(Table1[[#This Row],[Subscription Status]]="Yes",1,IF(Table1[[#This Row],[Subscription Status]]="No",0))</f>
        <v>1</v>
      </c>
    </row>
    <row r="937" spans="1:21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  <c r="S937" t="str">
        <f>IF(Table1[[#This Row],[Age]]&lt;=25,"Young",IF(Table1[[#This Row],[Age]]&lt;=50,"Adult","Senior"))</f>
        <v>Senior</v>
      </c>
      <c r="T937" s="1">
        <f>Table1[[#This Row],[Purchase Amount (USD)]]</f>
        <v>51</v>
      </c>
      <c r="U937">
        <f>IF(Table1[[#This Row],[Subscription Status]]="Yes",1,IF(Table1[[#This Row],[Subscription Status]]="No",0))</f>
        <v>1</v>
      </c>
    </row>
    <row r="938" spans="1:21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  <c r="S938" t="str">
        <f>IF(Table1[[#This Row],[Age]]&lt;=25,"Young",IF(Table1[[#This Row],[Age]]&lt;=50,"Adult","Senior"))</f>
        <v>Adult</v>
      </c>
      <c r="T938" s="1">
        <f>Table1[[#This Row],[Purchase Amount (USD)]]</f>
        <v>84</v>
      </c>
      <c r="U938">
        <f>IF(Table1[[#This Row],[Subscription Status]]="Yes",1,IF(Table1[[#This Row],[Subscription Status]]="No",0))</f>
        <v>1</v>
      </c>
    </row>
    <row r="939" spans="1:21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  <c r="S939" t="str">
        <f>IF(Table1[[#This Row],[Age]]&lt;=25,"Young",IF(Table1[[#This Row],[Age]]&lt;=50,"Adult","Senior"))</f>
        <v>Adult</v>
      </c>
      <c r="T939" s="1">
        <f>Table1[[#This Row],[Purchase Amount (USD)]]</f>
        <v>24</v>
      </c>
      <c r="U939">
        <f>IF(Table1[[#This Row],[Subscription Status]]="Yes",1,IF(Table1[[#This Row],[Subscription Status]]="No",0))</f>
        <v>1</v>
      </c>
    </row>
    <row r="940" spans="1:21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  <c r="S940" t="str">
        <f>IF(Table1[[#This Row],[Age]]&lt;=25,"Young",IF(Table1[[#This Row],[Age]]&lt;=50,"Adult","Senior"))</f>
        <v>Adult</v>
      </c>
      <c r="T940" s="1">
        <f>Table1[[#This Row],[Purchase Amount (USD)]]</f>
        <v>97</v>
      </c>
      <c r="U940">
        <f>IF(Table1[[#This Row],[Subscription Status]]="Yes",1,IF(Table1[[#This Row],[Subscription Status]]="No",0))</f>
        <v>1</v>
      </c>
    </row>
    <row r="941" spans="1:21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  <c r="S941" t="str">
        <f>IF(Table1[[#This Row],[Age]]&lt;=25,"Young",IF(Table1[[#This Row],[Age]]&lt;=50,"Adult","Senior"))</f>
        <v>Young</v>
      </c>
      <c r="T941" s="1">
        <f>Table1[[#This Row],[Purchase Amount (USD)]]</f>
        <v>89</v>
      </c>
      <c r="U941">
        <f>IF(Table1[[#This Row],[Subscription Status]]="Yes",1,IF(Table1[[#This Row],[Subscription Status]]="No",0))</f>
        <v>1</v>
      </c>
    </row>
    <row r="942" spans="1:21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  <c r="S942" t="str">
        <f>IF(Table1[[#This Row],[Age]]&lt;=25,"Young",IF(Table1[[#This Row],[Age]]&lt;=50,"Adult","Senior"))</f>
        <v>Adult</v>
      </c>
      <c r="T942" s="1">
        <f>Table1[[#This Row],[Purchase Amount (USD)]]</f>
        <v>44</v>
      </c>
      <c r="U942">
        <f>IF(Table1[[#This Row],[Subscription Status]]="Yes",1,IF(Table1[[#This Row],[Subscription Status]]="No",0))</f>
        <v>1</v>
      </c>
    </row>
    <row r="943" spans="1:21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  <c r="S943" t="str">
        <f>IF(Table1[[#This Row],[Age]]&lt;=25,"Young",IF(Table1[[#This Row],[Age]]&lt;=50,"Adult","Senior"))</f>
        <v>Adult</v>
      </c>
      <c r="T943" s="1">
        <f>Table1[[#This Row],[Purchase Amount (USD)]]</f>
        <v>35</v>
      </c>
      <c r="U943">
        <f>IF(Table1[[#This Row],[Subscription Status]]="Yes",1,IF(Table1[[#This Row],[Subscription Status]]="No",0))</f>
        <v>1</v>
      </c>
    </row>
    <row r="944" spans="1:21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  <c r="S944" t="str">
        <f>IF(Table1[[#This Row],[Age]]&lt;=25,"Young",IF(Table1[[#This Row],[Age]]&lt;=50,"Adult","Senior"))</f>
        <v>Adult</v>
      </c>
      <c r="T944" s="1">
        <f>Table1[[#This Row],[Purchase Amount (USD)]]</f>
        <v>91</v>
      </c>
      <c r="U944">
        <f>IF(Table1[[#This Row],[Subscription Status]]="Yes",1,IF(Table1[[#This Row],[Subscription Status]]="No",0))</f>
        <v>1</v>
      </c>
    </row>
    <row r="945" spans="1:21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  <c r="S945" t="str">
        <f>IF(Table1[[#This Row],[Age]]&lt;=25,"Young",IF(Table1[[#This Row],[Age]]&lt;=50,"Adult","Senior"))</f>
        <v>Adult</v>
      </c>
      <c r="T945" s="1">
        <f>Table1[[#This Row],[Purchase Amount (USD)]]</f>
        <v>63</v>
      </c>
      <c r="U945">
        <f>IF(Table1[[#This Row],[Subscription Status]]="Yes",1,IF(Table1[[#This Row],[Subscription Status]]="No",0))</f>
        <v>1</v>
      </c>
    </row>
    <row r="946" spans="1:21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  <c r="S946" t="str">
        <f>IF(Table1[[#This Row],[Age]]&lt;=25,"Young",IF(Table1[[#This Row],[Age]]&lt;=50,"Adult","Senior"))</f>
        <v>Senior</v>
      </c>
      <c r="T946" s="1">
        <f>Table1[[#This Row],[Purchase Amount (USD)]]</f>
        <v>97</v>
      </c>
      <c r="U946">
        <f>IF(Table1[[#This Row],[Subscription Status]]="Yes",1,IF(Table1[[#This Row],[Subscription Status]]="No",0))</f>
        <v>1</v>
      </c>
    </row>
    <row r="947" spans="1:21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  <c r="S947" t="str">
        <f>IF(Table1[[#This Row],[Age]]&lt;=25,"Young",IF(Table1[[#This Row],[Age]]&lt;=50,"Adult","Senior"))</f>
        <v>Adult</v>
      </c>
      <c r="T947" s="1">
        <f>Table1[[#This Row],[Purchase Amount (USD)]]</f>
        <v>38</v>
      </c>
      <c r="U947">
        <f>IF(Table1[[#This Row],[Subscription Status]]="Yes",1,IF(Table1[[#This Row],[Subscription Status]]="No",0))</f>
        <v>1</v>
      </c>
    </row>
    <row r="948" spans="1:21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  <c r="S948" t="str">
        <f>IF(Table1[[#This Row],[Age]]&lt;=25,"Young",IF(Table1[[#This Row],[Age]]&lt;=50,"Adult","Senior"))</f>
        <v>Adult</v>
      </c>
      <c r="T948" s="1">
        <f>Table1[[#This Row],[Purchase Amount (USD)]]</f>
        <v>24</v>
      </c>
      <c r="U948">
        <f>IF(Table1[[#This Row],[Subscription Status]]="Yes",1,IF(Table1[[#This Row],[Subscription Status]]="No",0))</f>
        <v>1</v>
      </c>
    </row>
    <row r="949" spans="1:21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  <c r="S949" t="str">
        <f>IF(Table1[[#This Row],[Age]]&lt;=25,"Young",IF(Table1[[#This Row],[Age]]&lt;=50,"Adult","Senior"))</f>
        <v>Senior</v>
      </c>
      <c r="T949" s="1">
        <f>Table1[[#This Row],[Purchase Amount (USD)]]</f>
        <v>32</v>
      </c>
      <c r="U949">
        <f>IF(Table1[[#This Row],[Subscription Status]]="Yes",1,IF(Table1[[#This Row],[Subscription Status]]="No",0))</f>
        <v>1</v>
      </c>
    </row>
    <row r="950" spans="1:21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  <c r="S950" t="str">
        <f>IF(Table1[[#This Row],[Age]]&lt;=25,"Young",IF(Table1[[#This Row],[Age]]&lt;=50,"Adult","Senior"))</f>
        <v>Adult</v>
      </c>
      <c r="T950" s="1">
        <f>Table1[[#This Row],[Purchase Amount (USD)]]</f>
        <v>90</v>
      </c>
      <c r="U950">
        <f>IF(Table1[[#This Row],[Subscription Status]]="Yes",1,IF(Table1[[#This Row],[Subscription Status]]="No",0))</f>
        <v>1</v>
      </c>
    </row>
    <row r="951" spans="1:21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  <c r="S951" t="str">
        <f>IF(Table1[[#This Row],[Age]]&lt;=25,"Young",IF(Table1[[#This Row],[Age]]&lt;=50,"Adult","Senior"))</f>
        <v>Adult</v>
      </c>
      <c r="T951" s="1">
        <f>Table1[[#This Row],[Purchase Amount (USD)]]</f>
        <v>36</v>
      </c>
      <c r="U951">
        <f>IF(Table1[[#This Row],[Subscription Status]]="Yes",1,IF(Table1[[#This Row],[Subscription Status]]="No",0))</f>
        <v>1</v>
      </c>
    </row>
    <row r="952" spans="1:21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  <c r="S952" t="str">
        <f>IF(Table1[[#This Row],[Age]]&lt;=25,"Young",IF(Table1[[#This Row],[Age]]&lt;=50,"Adult","Senior"))</f>
        <v>Senior</v>
      </c>
      <c r="T952" s="1">
        <f>Table1[[#This Row],[Purchase Amount (USD)]]</f>
        <v>37</v>
      </c>
      <c r="U952">
        <f>IF(Table1[[#This Row],[Subscription Status]]="Yes",1,IF(Table1[[#This Row],[Subscription Status]]="No",0))</f>
        <v>1</v>
      </c>
    </row>
    <row r="953" spans="1:21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  <c r="S953" t="str">
        <f>IF(Table1[[#This Row],[Age]]&lt;=25,"Young",IF(Table1[[#This Row],[Age]]&lt;=50,"Adult","Senior"))</f>
        <v>Adult</v>
      </c>
      <c r="T953" s="1">
        <f>Table1[[#This Row],[Purchase Amount (USD)]]</f>
        <v>51</v>
      </c>
      <c r="U953">
        <f>IF(Table1[[#This Row],[Subscription Status]]="Yes",1,IF(Table1[[#This Row],[Subscription Status]]="No",0))</f>
        <v>1</v>
      </c>
    </row>
    <row r="954" spans="1:21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  <c r="S954" t="str">
        <f>IF(Table1[[#This Row],[Age]]&lt;=25,"Young",IF(Table1[[#This Row],[Age]]&lt;=50,"Adult","Senior"))</f>
        <v>Adult</v>
      </c>
      <c r="T954" s="1">
        <f>Table1[[#This Row],[Purchase Amount (USD)]]</f>
        <v>71</v>
      </c>
      <c r="U954">
        <f>IF(Table1[[#This Row],[Subscription Status]]="Yes",1,IF(Table1[[#This Row],[Subscription Status]]="No",0))</f>
        <v>1</v>
      </c>
    </row>
    <row r="955" spans="1:21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  <c r="S955" t="str">
        <f>IF(Table1[[#This Row],[Age]]&lt;=25,"Young",IF(Table1[[#This Row],[Age]]&lt;=50,"Adult","Senior"))</f>
        <v>Senior</v>
      </c>
      <c r="T955" s="1">
        <f>Table1[[#This Row],[Purchase Amount (USD)]]</f>
        <v>50</v>
      </c>
      <c r="U955">
        <f>IF(Table1[[#This Row],[Subscription Status]]="Yes",1,IF(Table1[[#This Row],[Subscription Status]]="No",0))</f>
        <v>1</v>
      </c>
    </row>
    <row r="956" spans="1:21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  <c r="S956" t="str">
        <f>IF(Table1[[#This Row],[Age]]&lt;=25,"Young",IF(Table1[[#This Row],[Age]]&lt;=50,"Adult","Senior"))</f>
        <v>Senior</v>
      </c>
      <c r="T956" s="1">
        <f>Table1[[#This Row],[Purchase Amount (USD)]]</f>
        <v>74</v>
      </c>
      <c r="U956">
        <f>IF(Table1[[#This Row],[Subscription Status]]="Yes",1,IF(Table1[[#This Row],[Subscription Status]]="No",0))</f>
        <v>1</v>
      </c>
    </row>
    <row r="957" spans="1:21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  <c r="S957" t="str">
        <f>IF(Table1[[#This Row],[Age]]&lt;=25,"Young",IF(Table1[[#This Row],[Age]]&lt;=50,"Adult","Senior"))</f>
        <v>Senior</v>
      </c>
      <c r="T957" s="1">
        <f>Table1[[#This Row],[Purchase Amount (USD)]]</f>
        <v>75</v>
      </c>
      <c r="U957">
        <f>IF(Table1[[#This Row],[Subscription Status]]="Yes",1,IF(Table1[[#This Row],[Subscription Status]]="No",0))</f>
        <v>1</v>
      </c>
    </row>
    <row r="958" spans="1:21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  <c r="S958" t="str">
        <f>IF(Table1[[#This Row],[Age]]&lt;=25,"Young",IF(Table1[[#This Row],[Age]]&lt;=50,"Adult","Senior"))</f>
        <v>Adult</v>
      </c>
      <c r="T958" s="1">
        <f>Table1[[#This Row],[Purchase Amount (USD)]]</f>
        <v>99</v>
      </c>
      <c r="U958">
        <f>IF(Table1[[#This Row],[Subscription Status]]="Yes",1,IF(Table1[[#This Row],[Subscription Status]]="No",0))</f>
        <v>1</v>
      </c>
    </row>
    <row r="959" spans="1:21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  <c r="S959" t="str">
        <f>IF(Table1[[#This Row],[Age]]&lt;=25,"Young",IF(Table1[[#This Row],[Age]]&lt;=50,"Adult","Senior"))</f>
        <v>Adult</v>
      </c>
      <c r="T959" s="1">
        <f>Table1[[#This Row],[Purchase Amount (USD)]]</f>
        <v>23</v>
      </c>
      <c r="U959">
        <f>IF(Table1[[#This Row],[Subscription Status]]="Yes",1,IF(Table1[[#This Row],[Subscription Status]]="No",0))</f>
        <v>1</v>
      </c>
    </row>
    <row r="960" spans="1:21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  <c r="S960" t="str">
        <f>IF(Table1[[#This Row],[Age]]&lt;=25,"Young",IF(Table1[[#This Row],[Age]]&lt;=50,"Adult","Senior"))</f>
        <v>Senior</v>
      </c>
      <c r="T960" s="1">
        <f>Table1[[#This Row],[Purchase Amount (USD)]]</f>
        <v>53</v>
      </c>
      <c r="U960">
        <f>IF(Table1[[#This Row],[Subscription Status]]="Yes",1,IF(Table1[[#This Row],[Subscription Status]]="No",0))</f>
        <v>1</v>
      </c>
    </row>
    <row r="961" spans="1:21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  <c r="S961" t="str">
        <f>IF(Table1[[#This Row],[Age]]&lt;=25,"Young",IF(Table1[[#This Row],[Age]]&lt;=50,"Adult","Senior"))</f>
        <v>Adult</v>
      </c>
      <c r="T961" s="1">
        <f>Table1[[#This Row],[Purchase Amount (USD)]]</f>
        <v>99</v>
      </c>
      <c r="U961">
        <f>IF(Table1[[#This Row],[Subscription Status]]="Yes",1,IF(Table1[[#This Row],[Subscription Status]]="No",0))</f>
        <v>1</v>
      </c>
    </row>
    <row r="962" spans="1:21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  <c r="S962" t="str">
        <f>IF(Table1[[#This Row],[Age]]&lt;=25,"Young",IF(Table1[[#This Row],[Age]]&lt;=50,"Adult","Senior"))</f>
        <v>Young</v>
      </c>
      <c r="T962" s="1">
        <f>Table1[[#This Row],[Purchase Amount (USD)]]</f>
        <v>48</v>
      </c>
      <c r="U962">
        <f>IF(Table1[[#This Row],[Subscription Status]]="Yes",1,IF(Table1[[#This Row],[Subscription Status]]="No",0))</f>
        <v>1</v>
      </c>
    </row>
    <row r="963" spans="1:21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  <c r="S963" t="str">
        <f>IF(Table1[[#This Row],[Age]]&lt;=25,"Young",IF(Table1[[#This Row],[Age]]&lt;=50,"Adult","Senior"))</f>
        <v>Senior</v>
      </c>
      <c r="T963" s="1">
        <f>Table1[[#This Row],[Purchase Amount (USD)]]</f>
        <v>72</v>
      </c>
      <c r="U963">
        <f>IF(Table1[[#This Row],[Subscription Status]]="Yes",1,IF(Table1[[#This Row],[Subscription Status]]="No",0))</f>
        <v>1</v>
      </c>
    </row>
    <row r="964" spans="1:21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  <c r="S964" t="str">
        <f>IF(Table1[[#This Row],[Age]]&lt;=25,"Young",IF(Table1[[#This Row],[Age]]&lt;=50,"Adult","Senior"))</f>
        <v>Adult</v>
      </c>
      <c r="T964" s="1">
        <f>Table1[[#This Row],[Purchase Amount (USD)]]</f>
        <v>64</v>
      </c>
      <c r="U964">
        <f>IF(Table1[[#This Row],[Subscription Status]]="Yes",1,IF(Table1[[#This Row],[Subscription Status]]="No",0))</f>
        <v>1</v>
      </c>
    </row>
    <row r="965" spans="1:21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  <c r="S965" t="str">
        <f>IF(Table1[[#This Row],[Age]]&lt;=25,"Young",IF(Table1[[#This Row],[Age]]&lt;=50,"Adult","Senior"))</f>
        <v>Young</v>
      </c>
      <c r="T965" s="1">
        <f>Table1[[#This Row],[Purchase Amount (USD)]]</f>
        <v>63</v>
      </c>
      <c r="U965">
        <f>IF(Table1[[#This Row],[Subscription Status]]="Yes",1,IF(Table1[[#This Row],[Subscription Status]]="No",0))</f>
        <v>1</v>
      </c>
    </row>
    <row r="966" spans="1:21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  <c r="S966" t="str">
        <f>IF(Table1[[#This Row],[Age]]&lt;=25,"Young",IF(Table1[[#This Row],[Age]]&lt;=50,"Adult","Senior"))</f>
        <v>Adult</v>
      </c>
      <c r="T966" s="1">
        <f>Table1[[#This Row],[Purchase Amount (USD)]]</f>
        <v>51</v>
      </c>
      <c r="U966">
        <f>IF(Table1[[#This Row],[Subscription Status]]="Yes",1,IF(Table1[[#This Row],[Subscription Status]]="No",0))</f>
        <v>1</v>
      </c>
    </row>
    <row r="967" spans="1:21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  <c r="S967" t="str">
        <f>IF(Table1[[#This Row],[Age]]&lt;=25,"Young",IF(Table1[[#This Row],[Age]]&lt;=50,"Adult","Senior"))</f>
        <v>Adult</v>
      </c>
      <c r="T967" s="1">
        <f>Table1[[#This Row],[Purchase Amount (USD)]]</f>
        <v>55</v>
      </c>
      <c r="U967">
        <f>IF(Table1[[#This Row],[Subscription Status]]="Yes",1,IF(Table1[[#This Row],[Subscription Status]]="No",0))</f>
        <v>1</v>
      </c>
    </row>
    <row r="968" spans="1:21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  <c r="S968" t="str">
        <f>IF(Table1[[#This Row],[Age]]&lt;=25,"Young",IF(Table1[[#This Row],[Age]]&lt;=50,"Adult","Senior"))</f>
        <v>Senior</v>
      </c>
      <c r="T968" s="1">
        <f>Table1[[#This Row],[Purchase Amount (USD)]]</f>
        <v>55</v>
      </c>
      <c r="U968">
        <f>IF(Table1[[#This Row],[Subscription Status]]="Yes",1,IF(Table1[[#This Row],[Subscription Status]]="No",0))</f>
        <v>1</v>
      </c>
    </row>
    <row r="969" spans="1:21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  <c r="S969" t="str">
        <f>IF(Table1[[#This Row],[Age]]&lt;=25,"Young",IF(Table1[[#This Row],[Age]]&lt;=50,"Adult","Senior"))</f>
        <v>Adult</v>
      </c>
      <c r="T969" s="1">
        <f>Table1[[#This Row],[Purchase Amount (USD)]]</f>
        <v>26</v>
      </c>
      <c r="U969">
        <f>IF(Table1[[#This Row],[Subscription Status]]="Yes",1,IF(Table1[[#This Row],[Subscription Status]]="No",0))</f>
        <v>1</v>
      </c>
    </row>
    <row r="970" spans="1:21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  <c r="S970" t="str">
        <f>IF(Table1[[#This Row],[Age]]&lt;=25,"Young",IF(Table1[[#This Row],[Age]]&lt;=50,"Adult","Senior"))</f>
        <v>Senior</v>
      </c>
      <c r="T970" s="1">
        <f>Table1[[#This Row],[Purchase Amount (USD)]]</f>
        <v>67</v>
      </c>
      <c r="U970">
        <f>IF(Table1[[#This Row],[Subscription Status]]="Yes",1,IF(Table1[[#This Row],[Subscription Status]]="No",0))</f>
        <v>1</v>
      </c>
    </row>
    <row r="971" spans="1:21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  <c r="S971" t="str">
        <f>IF(Table1[[#This Row],[Age]]&lt;=25,"Young",IF(Table1[[#This Row],[Age]]&lt;=50,"Adult","Senior"))</f>
        <v>Adult</v>
      </c>
      <c r="T971" s="1">
        <f>Table1[[#This Row],[Purchase Amount (USD)]]</f>
        <v>31</v>
      </c>
      <c r="U971">
        <f>IF(Table1[[#This Row],[Subscription Status]]="Yes",1,IF(Table1[[#This Row],[Subscription Status]]="No",0))</f>
        <v>1</v>
      </c>
    </row>
    <row r="972" spans="1:21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  <c r="S972" t="str">
        <f>IF(Table1[[#This Row],[Age]]&lt;=25,"Young",IF(Table1[[#This Row],[Age]]&lt;=50,"Adult","Senior"))</f>
        <v>Adult</v>
      </c>
      <c r="T972" s="1">
        <f>Table1[[#This Row],[Purchase Amount (USD)]]</f>
        <v>66</v>
      </c>
      <c r="U972">
        <f>IF(Table1[[#This Row],[Subscription Status]]="Yes",1,IF(Table1[[#This Row],[Subscription Status]]="No",0))</f>
        <v>1</v>
      </c>
    </row>
    <row r="973" spans="1:21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  <c r="S973" t="str">
        <f>IF(Table1[[#This Row],[Age]]&lt;=25,"Young",IF(Table1[[#This Row],[Age]]&lt;=50,"Adult","Senior"))</f>
        <v>Adult</v>
      </c>
      <c r="T973" s="1">
        <f>Table1[[#This Row],[Purchase Amount (USD)]]</f>
        <v>67</v>
      </c>
      <c r="U973">
        <f>IF(Table1[[#This Row],[Subscription Status]]="Yes",1,IF(Table1[[#This Row],[Subscription Status]]="No",0))</f>
        <v>1</v>
      </c>
    </row>
    <row r="974" spans="1:21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  <c r="S974" t="str">
        <f>IF(Table1[[#This Row],[Age]]&lt;=25,"Young",IF(Table1[[#This Row],[Age]]&lt;=50,"Adult","Senior"))</f>
        <v>Senior</v>
      </c>
      <c r="T974" s="1">
        <f>Table1[[#This Row],[Purchase Amount (USD)]]</f>
        <v>61</v>
      </c>
      <c r="U974">
        <f>IF(Table1[[#This Row],[Subscription Status]]="Yes",1,IF(Table1[[#This Row],[Subscription Status]]="No",0))</f>
        <v>1</v>
      </c>
    </row>
    <row r="975" spans="1:21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  <c r="S975" t="str">
        <f>IF(Table1[[#This Row],[Age]]&lt;=25,"Young",IF(Table1[[#This Row],[Age]]&lt;=50,"Adult","Senior"))</f>
        <v>Senior</v>
      </c>
      <c r="T975" s="1">
        <f>Table1[[#This Row],[Purchase Amount (USD)]]</f>
        <v>75</v>
      </c>
      <c r="U975">
        <f>IF(Table1[[#This Row],[Subscription Status]]="Yes",1,IF(Table1[[#This Row],[Subscription Status]]="No",0))</f>
        <v>1</v>
      </c>
    </row>
    <row r="976" spans="1:21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  <c r="S976" t="str">
        <f>IF(Table1[[#This Row],[Age]]&lt;=25,"Young",IF(Table1[[#This Row],[Age]]&lt;=50,"Adult","Senior"))</f>
        <v>Senior</v>
      </c>
      <c r="T976" s="1">
        <f>Table1[[#This Row],[Purchase Amount (USD)]]</f>
        <v>90</v>
      </c>
      <c r="U976">
        <f>IF(Table1[[#This Row],[Subscription Status]]="Yes",1,IF(Table1[[#This Row],[Subscription Status]]="No",0))</f>
        <v>1</v>
      </c>
    </row>
    <row r="977" spans="1:21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  <c r="S977" t="str">
        <f>IF(Table1[[#This Row],[Age]]&lt;=25,"Young",IF(Table1[[#This Row],[Age]]&lt;=50,"Adult","Senior"))</f>
        <v>Senior</v>
      </c>
      <c r="T977" s="1">
        <f>Table1[[#This Row],[Purchase Amount (USD)]]</f>
        <v>40</v>
      </c>
      <c r="U977">
        <f>IF(Table1[[#This Row],[Subscription Status]]="Yes",1,IF(Table1[[#This Row],[Subscription Status]]="No",0))</f>
        <v>1</v>
      </c>
    </row>
    <row r="978" spans="1:21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  <c r="S978" t="str">
        <f>IF(Table1[[#This Row],[Age]]&lt;=25,"Young",IF(Table1[[#This Row],[Age]]&lt;=50,"Adult","Senior"))</f>
        <v>Adult</v>
      </c>
      <c r="T978" s="1">
        <f>Table1[[#This Row],[Purchase Amount (USD)]]</f>
        <v>90</v>
      </c>
      <c r="U978">
        <f>IF(Table1[[#This Row],[Subscription Status]]="Yes",1,IF(Table1[[#This Row],[Subscription Status]]="No",0))</f>
        <v>1</v>
      </c>
    </row>
    <row r="979" spans="1:21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  <c r="S979" t="str">
        <f>IF(Table1[[#This Row],[Age]]&lt;=25,"Young",IF(Table1[[#This Row],[Age]]&lt;=50,"Adult","Senior"))</f>
        <v>Young</v>
      </c>
      <c r="T979" s="1">
        <f>Table1[[#This Row],[Purchase Amount (USD)]]</f>
        <v>20</v>
      </c>
      <c r="U979">
        <f>IF(Table1[[#This Row],[Subscription Status]]="Yes",1,IF(Table1[[#This Row],[Subscription Status]]="No",0))</f>
        <v>1</v>
      </c>
    </row>
    <row r="980" spans="1:21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  <c r="S980" t="str">
        <f>IF(Table1[[#This Row],[Age]]&lt;=25,"Young",IF(Table1[[#This Row],[Age]]&lt;=50,"Adult","Senior"))</f>
        <v>Senior</v>
      </c>
      <c r="T980" s="1">
        <f>Table1[[#This Row],[Purchase Amount (USD)]]</f>
        <v>40</v>
      </c>
      <c r="U980">
        <f>IF(Table1[[#This Row],[Subscription Status]]="Yes",1,IF(Table1[[#This Row],[Subscription Status]]="No",0))</f>
        <v>1</v>
      </c>
    </row>
    <row r="981" spans="1:21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  <c r="S981" t="str">
        <f>IF(Table1[[#This Row],[Age]]&lt;=25,"Young",IF(Table1[[#This Row],[Age]]&lt;=50,"Adult","Senior"))</f>
        <v>Senior</v>
      </c>
      <c r="T981" s="1">
        <f>Table1[[#This Row],[Purchase Amount (USD)]]</f>
        <v>33</v>
      </c>
      <c r="U981">
        <f>IF(Table1[[#This Row],[Subscription Status]]="Yes",1,IF(Table1[[#This Row],[Subscription Status]]="No",0))</f>
        <v>1</v>
      </c>
    </row>
    <row r="982" spans="1:21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  <c r="S982" t="str">
        <f>IF(Table1[[#This Row],[Age]]&lt;=25,"Young",IF(Table1[[#This Row],[Age]]&lt;=50,"Adult","Senior"))</f>
        <v>Senior</v>
      </c>
      <c r="T982" s="1">
        <f>Table1[[#This Row],[Purchase Amount (USD)]]</f>
        <v>98</v>
      </c>
      <c r="U982">
        <f>IF(Table1[[#This Row],[Subscription Status]]="Yes",1,IF(Table1[[#This Row],[Subscription Status]]="No",0))</f>
        <v>1</v>
      </c>
    </row>
    <row r="983" spans="1:21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  <c r="S983" t="str">
        <f>IF(Table1[[#This Row],[Age]]&lt;=25,"Young",IF(Table1[[#This Row],[Age]]&lt;=50,"Adult","Senior"))</f>
        <v>Adult</v>
      </c>
      <c r="T983" s="1">
        <f>Table1[[#This Row],[Purchase Amount (USD)]]</f>
        <v>42</v>
      </c>
      <c r="U983">
        <f>IF(Table1[[#This Row],[Subscription Status]]="Yes",1,IF(Table1[[#This Row],[Subscription Status]]="No",0))</f>
        <v>1</v>
      </c>
    </row>
    <row r="984" spans="1:21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  <c r="S984" t="str">
        <f>IF(Table1[[#This Row],[Age]]&lt;=25,"Young",IF(Table1[[#This Row],[Age]]&lt;=50,"Adult","Senior"))</f>
        <v>Adult</v>
      </c>
      <c r="T984" s="1">
        <f>Table1[[#This Row],[Purchase Amount (USD)]]</f>
        <v>62</v>
      </c>
      <c r="U984">
        <f>IF(Table1[[#This Row],[Subscription Status]]="Yes",1,IF(Table1[[#This Row],[Subscription Status]]="No",0))</f>
        <v>1</v>
      </c>
    </row>
    <row r="985" spans="1:21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  <c r="S985" t="str">
        <f>IF(Table1[[#This Row],[Age]]&lt;=25,"Young",IF(Table1[[#This Row],[Age]]&lt;=50,"Adult","Senior"))</f>
        <v>Young</v>
      </c>
      <c r="T985" s="1">
        <f>Table1[[#This Row],[Purchase Amount (USD)]]</f>
        <v>45</v>
      </c>
      <c r="U985">
        <f>IF(Table1[[#This Row],[Subscription Status]]="Yes",1,IF(Table1[[#This Row],[Subscription Status]]="No",0))</f>
        <v>1</v>
      </c>
    </row>
    <row r="986" spans="1:21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  <c r="S986" t="str">
        <f>IF(Table1[[#This Row],[Age]]&lt;=25,"Young",IF(Table1[[#This Row],[Age]]&lt;=50,"Adult","Senior"))</f>
        <v>Adult</v>
      </c>
      <c r="T986" s="1">
        <f>Table1[[#This Row],[Purchase Amount (USD)]]</f>
        <v>78</v>
      </c>
      <c r="U986">
        <f>IF(Table1[[#This Row],[Subscription Status]]="Yes",1,IF(Table1[[#This Row],[Subscription Status]]="No",0))</f>
        <v>1</v>
      </c>
    </row>
    <row r="987" spans="1:21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  <c r="S987" t="str">
        <f>IF(Table1[[#This Row],[Age]]&lt;=25,"Young",IF(Table1[[#This Row],[Age]]&lt;=50,"Adult","Senior"))</f>
        <v>Adult</v>
      </c>
      <c r="T987" s="1">
        <f>Table1[[#This Row],[Purchase Amount (USD)]]</f>
        <v>80</v>
      </c>
      <c r="U987">
        <f>IF(Table1[[#This Row],[Subscription Status]]="Yes",1,IF(Table1[[#This Row],[Subscription Status]]="No",0))</f>
        <v>1</v>
      </c>
    </row>
    <row r="988" spans="1:21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  <c r="S988" t="str">
        <f>IF(Table1[[#This Row],[Age]]&lt;=25,"Young",IF(Table1[[#This Row],[Age]]&lt;=50,"Adult","Senior"))</f>
        <v>Senior</v>
      </c>
      <c r="T988" s="1">
        <f>Table1[[#This Row],[Purchase Amount (USD)]]</f>
        <v>96</v>
      </c>
      <c r="U988">
        <f>IF(Table1[[#This Row],[Subscription Status]]="Yes",1,IF(Table1[[#This Row],[Subscription Status]]="No",0))</f>
        <v>1</v>
      </c>
    </row>
    <row r="989" spans="1:21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  <c r="S989" t="str">
        <f>IF(Table1[[#This Row],[Age]]&lt;=25,"Young",IF(Table1[[#This Row],[Age]]&lt;=50,"Adult","Senior"))</f>
        <v>Senior</v>
      </c>
      <c r="T989" s="1">
        <f>Table1[[#This Row],[Purchase Amount (USD)]]</f>
        <v>47</v>
      </c>
      <c r="U989">
        <f>IF(Table1[[#This Row],[Subscription Status]]="Yes",1,IF(Table1[[#This Row],[Subscription Status]]="No",0))</f>
        <v>1</v>
      </c>
    </row>
    <row r="990" spans="1:21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  <c r="S990" t="str">
        <f>IF(Table1[[#This Row],[Age]]&lt;=25,"Young",IF(Table1[[#This Row],[Age]]&lt;=50,"Adult","Senior"))</f>
        <v>Adult</v>
      </c>
      <c r="T990" s="1">
        <f>Table1[[#This Row],[Purchase Amount (USD)]]</f>
        <v>84</v>
      </c>
      <c r="U990">
        <f>IF(Table1[[#This Row],[Subscription Status]]="Yes",1,IF(Table1[[#This Row],[Subscription Status]]="No",0))</f>
        <v>1</v>
      </c>
    </row>
    <row r="991" spans="1:21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  <c r="S991" t="str">
        <f>IF(Table1[[#This Row],[Age]]&lt;=25,"Young",IF(Table1[[#This Row],[Age]]&lt;=50,"Adult","Senior"))</f>
        <v>Senior</v>
      </c>
      <c r="T991" s="1">
        <f>Table1[[#This Row],[Purchase Amount (USD)]]</f>
        <v>31</v>
      </c>
      <c r="U991">
        <f>IF(Table1[[#This Row],[Subscription Status]]="Yes",1,IF(Table1[[#This Row],[Subscription Status]]="No",0))</f>
        <v>1</v>
      </c>
    </row>
    <row r="992" spans="1:21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  <c r="S992" t="str">
        <f>IF(Table1[[#This Row],[Age]]&lt;=25,"Young",IF(Table1[[#This Row],[Age]]&lt;=50,"Adult","Senior"))</f>
        <v>Adult</v>
      </c>
      <c r="T992" s="1">
        <f>Table1[[#This Row],[Purchase Amount (USD)]]</f>
        <v>63</v>
      </c>
      <c r="U992">
        <f>IF(Table1[[#This Row],[Subscription Status]]="Yes",1,IF(Table1[[#This Row],[Subscription Status]]="No",0))</f>
        <v>1</v>
      </c>
    </row>
    <row r="993" spans="1:21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  <c r="S993" t="str">
        <f>IF(Table1[[#This Row],[Age]]&lt;=25,"Young",IF(Table1[[#This Row],[Age]]&lt;=50,"Adult","Senior"))</f>
        <v>Young</v>
      </c>
      <c r="T993" s="1">
        <f>Table1[[#This Row],[Purchase Amount (USD)]]</f>
        <v>97</v>
      </c>
      <c r="U993">
        <f>IF(Table1[[#This Row],[Subscription Status]]="Yes",1,IF(Table1[[#This Row],[Subscription Status]]="No",0))</f>
        <v>1</v>
      </c>
    </row>
    <row r="994" spans="1:21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  <c r="S994" t="str">
        <f>IF(Table1[[#This Row],[Age]]&lt;=25,"Young",IF(Table1[[#This Row],[Age]]&lt;=50,"Adult","Senior"))</f>
        <v>Adult</v>
      </c>
      <c r="T994" s="1">
        <f>Table1[[#This Row],[Purchase Amount (USD)]]</f>
        <v>99</v>
      </c>
      <c r="U994">
        <f>IF(Table1[[#This Row],[Subscription Status]]="Yes",1,IF(Table1[[#This Row],[Subscription Status]]="No",0))</f>
        <v>1</v>
      </c>
    </row>
    <row r="995" spans="1:21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  <c r="S995" t="str">
        <f>IF(Table1[[#This Row],[Age]]&lt;=25,"Young",IF(Table1[[#This Row],[Age]]&lt;=50,"Adult","Senior"))</f>
        <v>Senior</v>
      </c>
      <c r="T995" s="1">
        <f>Table1[[#This Row],[Purchase Amount (USD)]]</f>
        <v>90</v>
      </c>
      <c r="U995">
        <f>IF(Table1[[#This Row],[Subscription Status]]="Yes",1,IF(Table1[[#This Row],[Subscription Status]]="No",0))</f>
        <v>1</v>
      </c>
    </row>
    <row r="996" spans="1:21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  <c r="S996" t="str">
        <f>IF(Table1[[#This Row],[Age]]&lt;=25,"Young",IF(Table1[[#This Row],[Age]]&lt;=50,"Adult","Senior"))</f>
        <v>Senior</v>
      </c>
      <c r="T996" s="1">
        <f>Table1[[#This Row],[Purchase Amount (USD)]]</f>
        <v>68</v>
      </c>
      <c r="U996">
        <f>IF(Table1[[#This Row],[Subscription Status]]="Yes",1,IF(Table1[[#This Row],[Subscription Status]]="No",0))</f>
        <v>1</v>
      </c>
    </row>
    <row r="997" spans="1:21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  <c r="S997" t="str">
        <f>IF(Table1[[#This Row],[Age]]&lt;=25,"Young",IF(Table1[[#This Row],[Age]]&lt;=50,"Adult","Senior"))</f>
        <v>Adult</v>
      </c>
      <c r="T997" s="1">
        <f>Table1[[#This Row],[Purchase Amount (USD)]]</f>
        <v>80</v>
      </c>
      <c r="U997">
        <f>IF(Table1[[#This Row],[Subscription Status]]="Yes",1,IF(Table1[[#This Row],[Subscription Status]]="No",0))</f>
        <v>1</v>
      </c>
    </row>
    <row r="998" spans="1:21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  <c r="S998" t="str">
        <f>IF(Table1[[#This Row],[Age]]&lt;=25,"Young",IF(Table1[[#This Row],[Age]]&lt;=50,"Adult","Senior"))</f>
        <v>Adult</v>
      </c>
      <c r="T998" s="1">
        <f>Table1[[#This Row],[Purchase Amount (USD)]]</f>
        <v>91</v>
      </c>
      <c r="U998">
        <f>IF(Table1[[#This Row],[Subscription Status]]="Yes",1,IF(Table1[[#This Row],[Subscription Status]]="No",0))</f>
        <v>1</v>
      </c>
    </row>
    <row r="999" spans="1:21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  <c r="S999" t="str">
        <f>IF(Table1[[#This Row],[Age]]&lt;=25,"Young",IF(Table1[[#This Row],[Age]]&lt;=50,"Adult","Senior"))</f>
        <v>Senior</v>
      </c>
      <c r="T999" s="1">
        <f>Table1[[#This Row],[Purchase Amount (USD)]]</f>
        <v>30</v>
      </c>
      <c r="U999">
        <f>IF(Table1[[#This Row],[Subscription Status]]="Yes",1,IF(Table1[[#This Row],[Subscription Status]]="No",0))</f>
        <v>1</v>
      </c>
    </row>
    <row r="1000" spans="1:21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  <c r="S1000" t="str">
        <f>IF(Table1[[#This Row],[Age]]&lt;=25,"Young",IF(Table1[[#This Row],[Age]]&lt;=50,"Adult","Senior"))</f>
        <v>Senior</v>
      </c>
      <c r="T1000" s="1">
        <f>Table1[[#This Row],[Purchase Amount (USD)]]</f>
        <v>90</v>
      </c>
      <c r="U1000">
        <f>IF(Table1[[#This Row],[Subscription Status]]="Yes",1,IF(Table1[[#This Row],[Subscription Status]]="No",0))</f>
        <v>1</v>
      </c>
    </row>
    <row r="1001" spans="1:21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  <c r="S1001" t="str">
        <f>IF(Table1[[#This Row],[Age]]&lt;=25,"Young",IF(Table1[[#This Row],[Age]]&lt;=50,"Adult","Senior"))</f>
        <v>Adult</v>
      </c>
      <c r="T1001" s="1">
        <f>Table1[[#This Row],[Purchase Amount (USD)]]</f>
        <v>28</v>
      </c>
      <c r="U1001">
        <f>IF(Table1[[#This Row],[Subscription Status]]="Yes",1,IF(Table1[[#This Row],[Subscription Status]]="No",0))</f>
        <v>1</v>
      </c>
    </row>
    <row r="1002" spans="1:21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  <c r="S1002" t="str">
        <f>IF(Table1[[#This Row],[Age]]&lt;=25,"Young",IF(Table1[[#This Row],[Age]]&lt;=50,"Adult","Senior"))</f>
        <v>Adult</v>
      </c>
      <c r="T1002" s="1">
        <f>Table1[[#This Row],[Purchase Amount (USD)]]</f>
        <v>46</v>
      </c>
      <c r="U1002">
        <f>IF(Table1[[#This Row],[Subscription Status]]="Yes",1,IF(Table1[[#This Row],[Subscription Status]]="No",0))</f>
        <v>1</v>
      </c>
    </row>
    <row r="1003" spans="1:21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  <c r="S1003" t="str">
        <f>IF(Table1[[#This Row],[Age]]&lt;=25,"Young",IF(Table1[[#This Row],[Age]]&lt;=50,"Adult","Senior"))</f>
        <v>Senior</v>
      </c>
      <c r="T1003" s="1">
        <f>Table1[[#This Row],[Purchase Amount (USD)]]</f>
        <v>60</v>
      </c>
      <c r="U1003">
        <f>IF(Table1[[#This Row],[Subscription Status]]="Yes",1,IF(Table1[[#This Row],[Subscription Status]]="No",0))</f>
        <v>1</v>
      </c>
    </row>
    <row r="1004" spans="1:21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  <c r="S1004" t="str">
        <f>IF(Table1[[#This Row],[Age]]&lt;=25,"Young",IF(Table1[[#This Row],[Age]]&lt;=50,"Adult","Senior"))</f>
        <v>Senior</v>
      </c>
      <c r="T1004" s="1">
        <f>Table1[[#This Row],[Purchase Amount (USD)]]</f>
        <v>59</v>
      </c>
      <c r="U1004">
        <f>IF(Table1[[#This Row],[Subscription Status]]="Yes",1,IF(Table1[[#This Row],[Subscription Status]]="No",0))</f>
        <v>1</v>
      </c>
    </row>
    <row r="1005" spans="1:21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  <c r="S1005" t="str">
        <f>IF(Table1[[#This Row],[Age]]&lt;=25,"Young",IF(Table1[[#This Row],[Age]]&lt;=50,"Adult","Senior"))</f>
        <v>Senior</v>
      </c>
      <c r="T1005" s="1">
        <f>Table1[[#This Row],[Purchase Amount (USD)]]</f>
        <v>68</v>
      </c>
      <c r="U1005">
        <f>IF(Table1[[#This Row],[Subscription Status]]="Yes",1,IF(Table1[[#This Row],[Subscription Status]]="No",0))</f>
        <v>1</v>
      </c>
    </row>
    <row r="1006" spans="1:21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  <c r="S1006" t="str">
        <f>IF(Table1[[#This Row],[Age]]&lt;=25,"Young",IF(Table1[[#This Row],[Age]]&lt;=50,"Adult","Senior"))</f>
        <v>Adult</v>
      </c>
      <c r="T1006" s="1">
        <f>Table1[[#This Row],[Purchase Amount (USD)]]</f>
        <v>79</v>
      </c>
      <c r="U1006">
        <f>IF(Table1[[#This Row],[Subscription Status]]="Yes",1,IF(Table1[[#This Row],[Subscription Status]]="No",0))</f>
        <v>1</v>
      </c>
    </row>
    <row r="1007" spans="1:21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  <c r="S1007" t="str">
        <f>IF(Table1[[#This Row],[Age]]&lt;=25,"Young",IF(Table1[[#This Row],[Age]]&lt;=50,"Adult","Senior"))</f>
        <v>Adult</v>
      </c>
      <c r="T1007" s="1">
        <f>Table1[[#This Row],[Purchase Amount (USD)]]</f>
        <v>94</v>
      </c>
      <c r="U1007">
        <f>IF(Table1[[#This Row],[Subscription Status]]="Yes",1,IF(Table1[[#This Row],[Subscription Status]]="No",0))</f>
        <v>1</v>
      </c>
    </row>
    <row r="1008" spans="1:21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  <c r="S1008" t="str">
        <f>IF(Table1[[#This Row],[Age]]&lt;=25,"Young",IF(Table1[[#This Row],[Age]]&lt;=50,"Adult","Senior"))</f>
        <v>Young</v>
      </c>
      <c r="T1008" s="1">
        <f>Table1[[#This Row],[Purchase Amount (USD)]]</f>
        <v>83</v>
      </c>
      <c r="U1008">
        <f>IF(Table1[[#This Row],[Subscription Status]]="Yes",1,IF(Table1[[#This Row],[Subscription Status]]="No",0))</f>
        <v>1</v>
      </c>
    </row>
    <row r="1009" spans="1:21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  <c r="S1009" t="str">
        <f>IF(Table1[[#This Row],[Age]]&lt;=25,"Young",IF(Table1[[#This Row],[Age]]&lt;=50,"Adult","Senior"))</f>
        <v>Senior</v>
      </c>
      <c r="T1009" s="1">
        <f>Table1[[#This Row],[Purchase Amount (USD)]]</f>
        <v>62</v>
      </c>
      <c r="U1009">
        <f>IF(Table1[[#This Row],[Subscription Status]]="Yes",1,IF(Table1[[#This Row],[Subscription Status]]="No",0))</f>
        <v>1</v>
      </c>
    </row>
    <row r="1010" spans="1:21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  <c r="S1010" t="str">
        <f>IF(Table1[[#This Row],[Age]]&lt;=25,"Young",IF(Table1[[#This Row],[Age]]&lt;=50,"Adult","Senior"))</f>
        <v>Adult</v>
      </c>
      <c r="T1010" s="1">
        <f>Table1[[#This Row],[Purchase Amount (USD)]]</f>
        <v>85</v>
      </c>
      <c r="U1010">
        <f>IF(Table1[[#This Row],[Subscription Status]]="Yes",1,IF(Table1[[#This Row],[Subscription Status]]="No",0))</f>
        <v>1</v>
      </c>
    </row>
    <row r="1011" spans="1:21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  <c r="S1011" t="str">
        <f>IF(Table1[[#This Row],[Age]]&lt;=25,"Young",IF(Table1[[#This Row],[Age]]&lt;=50,"Adult","Senior"))</f>
        <v>Adult</v>
      </c>
      <c r="T1011" s="1">
        <f>Table1[[#This Row],[Purchase Amount (USD)]]</f>
        <v>30</v>
      </c>
      <c r="U1011">
        <f>IF(Table1[[#This Row],[Subscription Status]]="Yes",1,IF(Table1[[#This Row],[Subscription Status]]="No",0))</f>
        <v>1</v>
      </c>
    </row>
    <row r="1012" spans="1:21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  <c r="S1012" t="str">
        <f>IF(Table1[[#This Row],[Age]]&lt;=25,"Young",IF(Table1[[#This Row],[Age]]&lt;=50,"Adult","Senior"))</f>
        <v>Senior</v>
      </c>
      <c r="T1012" s="1">
        <f>Table1[[#This Row],[Purchase Amount (USD)]]</f>
        <v>24</v>
      </c>
      <c r="U1012">
        <f>IF(Table1[[#This Row],[Subscription Status]]="Yes",1,IF(Table1[[#This Row],[Subscription Status]]="No",0))</f>
        <v>1</v>
      </c>
    </row>
    <row r="1013" spans="1:21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  <c r="S1013" t="str">
        <f>IF(Table1[[#This Row],[Age]]&lt;=25,"Young",IF(Table1[[#This Row],[Age]]&lt;=50,"Adult","Senior"))</f>
        <v>Adult</v>
      </c>
      <c r="T1013" s="1">
        <f>Table1[[#This Row],[Purchase Amount (USD)]]</f>
        <v>25</v>
      </c>
      <c r="U1013">
        <f>IF(Table1[[#This Row],[Subscription Status]]="Yes",1,IF(Table1[[#This Row],[Subscription Status]]="No",0))</f>
        <v>1</v>
      </c>
    </row>
    <row r="1014" spans="1:21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  <c r="S1014" t="str">
        <f>IF(Table1[[#This Row],[Age]]&lt;=25,"Young",IF(Table1[[#This Row],[Age]]&lt;=50,"Adult","Senior"))</f>
        <v>Adult</v>
      </c>
      <c r="T1014" s="1">
        <f>Table1[[#This Row],[Purchase Amount (USD)]]</f>
        <v>37</v>
      </c>
      <c r="U1014">
        <f>IF(Table1[[#This Row],[Subscription Status]]="Yes",1,IF(Table1[[#This Row],[Subscription Status]]="No",0))</f>
        <v>1</v>
      </c>
    </row>
    <row r="1015" spans="1:21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  <c r="S1015" t="str">
        <f>IF(Table1[[#This Row],[Age]]&lt;=25,"Young",IF(Table1[[#This Row],[Age]]&lt;=50,"Adult","Senior"))</f>
        <v>Senior</v>
      </c>
      <c r="T1015" s="1">
        <f>Table1[[#This Row],[Purchase Amount (USD)]]</f>
        <v>69</v>
      </c>
      <c r="U1015">
        <f>IF(Table1[[#This Row],[Subscription Status]]="Yes",1,IF(Table1[[#This Row],[Subscription Status]]="No",0))</f>
        <v>1</v>
      </c>
    </row>
    <row r="1016" spans="1:21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  <c r="S1016" t="str">
        <f>IF(Table1[[#This Row],[Age]]&lt;=25,"Young",IF(Table1[[#This Row],[Age]]&lt;=50,"Adult","Senior"))</f>
        <v>Adult</v>
      </c>
      <c r="T1016" s="1">
        <f>Table1[[#This Row],[Purchase Amount (USD)]]</f>
        <v>97</v>
      </c>
      <c r="U1016">
        <f>IF(Table1[[#This Row],[Subscription Status]]="Yes",1,IF(Table1[[#This Row],[Subscription Status]]="No",0))</f>
        <v>1</v>
      </c>
    </row>
    <row r="1017" spans="1:21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  <c r="S1017" t="str">
        <f>IF(Table1[[#This Row],[Age]]&lt;=25,"Young",IF(Table1[[#This Row],[Age]]&lt;=50,"Adult","Senior"))</f>
        <v>Senior</v>
      </c>
      <c r="T1017" s="1">
        <f>Table1[[#This Row],[Purchase Amount (USD)]]</f>
        <v>24</v>
      </c>
      <c r="U1017">
        <f>IF(Table1[[#This Row],[Subscription Status]]="Yes",1,IF(Table1[[#This Row],[Subscription Status]]="No",0))</f>
        <v>1</v>
      </c>
    </row>
    <row r="1018" spans="1:21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  <c r="S1018" t="str">
        <f>IF(Table1[[#This Row],[Age]]&lt;=25,"Young",IF(Table1[[#This Row],[Age]]&lt;=50,"Adult","Senior"))</f>
        <v>Young</v>
      </c>
      <c r="T1018" s="1">
        <f>Table1[[#This Row],[Purchase Amount (USD)]]</f>
        <v>30</v>
      </c>
      <c r="U1018">
        <f>IF(Table1[[#This Row],[Subscription Status]]="Yes",1,IF(Table1[[#This Row],[Subscription Status]]="No",0))</f>
        <v>1</v>
      </c>
    </row>
    <row r="1019" spans="1:21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  <c r="S1019" t="str">
        <f>IF(Table1[[#This Row],[Age]]&lt;=25,"Young",IF(Table1[[#This Row],[Age]]&lt;=50,"Adult","Senior"))</f>
        <v>Young</v>
      </c>
      <c r="T1019" s="1">
        <f>Table1[[#This Row],[Purchase Amount (USD)]]</f>
        <v>53</v>
      </c>
      <c r="U1019">
        <f>IF(Table1[[#This Row],[Subscription Status]]="Yes",1,IF(Table1[[#This Row],[Subscription Status]]="No",0))</f>
        <v>1</v>
      </c>
    </row>
    <row r="1020" spans="1:21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  <c r="S1020" t="str">
        <f>IF(Table1[[#This Row],[Age]]&lt;=25,"Young",IF(Table1[[#This Row],[Age]]&lt;=50,"Adult","Senior"))</f>
        <v>Adult</v>
      </c>
      <c r="T1020" s="1">
        <f>Table1[[#This Row],[Purchase Amount (USD)]]</f>
        <v>70</v>
      </c>
      <c r="U1020">
        <f>IF(Table1[[#This Row],[Subscription Status]]="Yes",1,IF(Table1[[#This Row],[Subscription Status]]="No",0))</f>
        <v>1</v>
      </c>
    </row>
    <row r="1021" spans="1:21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  <c r="S1021" t="str">
        <f>IF(Table1[[#This Row],[Age]]&lt;=25,"Young",IF(Table1[[#This Row],[Age]]&lt;=50,"Adult","Senior"))</f>
        <v>Adult</v>
      </c>
      <c r="T1021" s="1">
        <f>Table1[[#This Row],[Purchase Amount (USD)]]</f>
        <v>76</v>
      </c>
      <c r="U1021">
        <f>IF(Table1[[#This Row],[Subscription Status]]="Yes",1,IF(Table1[[#This Row],[Subscription Status]]="No",0))</f>
        <v>1</v>
      </c>
    </row>
    <row r="1022" spans="1:21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  <c r="S1022" t="str">
        <f>IF(Table1[[#This Row],[Age]]&lt;=25,"Young",IF(Table1[[#This Row],[Age]]&lt;=50,"Adult","Senior"))</f>
        <v>Young</v>
      </c>
      <c r="T1022" s="1">
        <f>Table1[[#This Row],[Purchase Amount (USD)]]</f>
        <v>95</v>
      </c>
      <c r="U1022">
        <f>IF(Table1[[#This Row],[Subscription Status]]="Yes",1,IF(Table1[[#This Row],[Subscription Status]]="No",0))</f>
        <v>1</v>
      </c>
    </row>
    <row r="1023" spans="1:21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  <c r="S1023" t="str">
        <f>IF(Table1[[#This Row],[Age]]&lt;=25,"Young",IF(Table1[[#This Row],[Age]]&lt;=50,"Adult","Senior"))</f>
        <v>Senior</v>
      </c>
      <c r="T1023" s="1">
        <f>Table1[[#This Row],[Purchase Amount (USD)]]</f>
        <v>51</v>
      </c>
      <c r="U1023">
        <f>IF(Table1[[#This Row],[Subscription Status]]="Yes",1,IF(Table1[[#This Row],[Subscription Status]]="No",0))</f>
        <v>1</v>
      </c>
    </row>
    <row r="1024" spans="1:21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  <c r="S1024" t="str">
        <f>IF(Table1[[#This Row],[Age]]&lt;=25,"Young",IF(Table1[[#This Row],[Age]]&lt;=50,"Adult","Senior"))</f>
        <v>Senior</v>
      </c>
      <c r="T1024" s="1">
        <f>Table1[[#This Row],[Purchase Amount (USD)]]</f>
        <v>41</v>
      </c>
      <c r="U1024">
        <f>IF(Table1[[#This Row],[Subscription Status]]="Yes",1,IF(Table1[[#This Row],[Subscription Status]]="No",0))</f>
        <v>1</v>
      </c>
    </row>
    <row r="1025" spans="1:21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  <c r="S1025" t="str">
        <f>IF(Table1[[#This Row],[Age]]&lt;=25,"Young",IF(Table1[[#This Row],[Age]]&lt;=50,"Adult","Senior"))</f>
        <v>Senior</v>
      </c>
      <c r="T1025" s="1">
        <f>Table1[[#This Row],[Purchase Amount (USD)]]</f>
        <v>71</v>
      </c>
      <c r="U1025">
        <f>IF(Table1[[#This Row],[Subscription Status]]="Yes",1,IF(Table1[[#This Row],[Subscription Status]]="No",0))</f>
        <v>1</v>
      </c>
    </row>
    <row r="1026" spans="1:21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  <c r="S1026" t="str">
        <f>IF(Table1[[#This Row],[Age]]&lt;=25,"Young",IF(Table1[[#This Row],[Age]]&lt;=50,"Adult","Senior"))</f>
        <v>Adult</v>
      </c>
      <c r="T1026" s="1">
        <f>Table1[[#This Row],[Purchase Amount (USD)]]</f>
        <v>66</v>
      </c>
      <c r="U1026">
        <f>IF(Table1[[#This Row],[Subscription Status]]="Yes",1,IF(Table1[[#This Row],[Subscription Status]]="No",0))</f>
        <v>1</v>
      </c>
    </row>
    <row r="1027" spans="1:21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  <c r="S1027" t="str">
        <f>IF(Table1[[#This Row],[Age]]&lt;=25,"Young",IF(Table1[[#This Row],[Age]]&lt;=50,"Adult","Senior"))</f>
        <v>Senior</v>
      </c>
      <c r="T1027" s="1">
        <f>Table1[[#This Row],[Purchase Amount (USD)]]</f>
        <v>84</v>
      </c>
      <c r="U1027">
        <f>IF(Table1[[#This Row],[Subscription Status]]="Yes",1,IF(Table1[[#This Row],[Subscription Status]]="No",0))</f>
        <v>1</v>
      </c>
    </row>
    <row r="1028" spans="1:21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  <c r="S1028" t="str">
        <f>IF(Table1[[#This Row],[Age]]&lt;=25,"Young",IF(Table1[[#This Row],[Age]]&lt;=50,"Adult","Senior"))</f>
        <v>Adult</v>
      </c>
      <c r="T1028" s="1">
        <f>Table1[[#This Row],[Purchase Amount (USD)]]</f>
        <v>95</v>
      </c>
      <c r="U1028">
        <f>IF(Table1[[#This Row],[Subscription Status]]="Yes",1,IF(Table1[[#This Row],[Subscription Status]]="No",0))</f>
        <v>1</v>
      </c>
    </row>
    <row r="1029" spans="1:21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  <c r="S1029" t="str">
        <f>IF(Table1[[#This Row],[Age]]&lt;=25,"Young",IF(Table1[[#This Row],[Age]]&lt;=50,"Adult","Senior"))</f>
        <v>Adult</v>
      </c>
      <c r="T1029" s="1">
        <f>Table1[[#This Row],[Purchase Amount (USD)]]</f>
        <v>90</v>
      </c>
      <c r="U1029">
        <f>IF(Table1[[#This Row],[Subscription Status]]="Yes",1,IF(Table1[[#This Row],[Subscription Status]]="No",0))</f>
        <v>1</v>
      </c>
    </row>
    <row r="1030" spans="1:21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  <c r="S1030" t="str">
        <f>IF(Table1[[#This Row],[Age]]&lt;=25,"Young",IF(Table1[[#This Row],[Age]]&lt;=50,"Adult","Senior"))</f>
        <v>Adult</v>
      </c>
      <c r="T1030" s="1">
        <f>Table1[[#This Row],[Purchase Amount (USD)]]</f>
        <v>36</v>
      </c>
      <c r="U1030">
        <f>IF(Table1[[#This Row],[Subscription Status]]="Yes",1,IF(Table1[[#This Row],[Subscription Status]]="No",0))</f>
        <v>1</v>
      </c>
    </row>
    <row r="1031" spans="1:21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  <c r="S1031" t="str">
        <f>IF(Table1[[#This Row],[Age]]&lt;=25,"Young",IF(Table1[[#This Row],[Age]]&lt;=50,"Adult","Senior"))</f>
        <v>Adult</v>
      </c>
      <c r="T1031" s="1">
        <f>Table1[[#This Row],[Purchase Amount (USD)]]</f>
        <v>22</v>
      </c>
      <c r="U1031">
        <f>IF(Table1[[#This Row],[Subscription Status]]="Yes",1,IF(Table1[[#This Row],[Subscription Status]]="No",0))</f>
        <v>1</v>
      </c>
    </row>
    <row r="1032" spans="1:21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  <c r="S1032" t="str">
        <f>IF(Table1[[#This Row],[Age]]&lt;=25,"Young",IF(Table1[[#This Row],[Age]]&lt;=50,"Adult","Senior"))</f>
        <v>Senior</v>
      </c>
      <c r="T1032" s="1">
        <f>Table1[[#This Row],[Purchase Amount (USD)]]</f>
        <v>89</v>
      </c>
      <c r="U1032">
        <f>IF(Table1[[#This Row],[Subscription Status]]="Yes",1,IF(Table1[[#This Row],[Subscription Status]]="No",0))</f>
        <v>1</v>
      </c>
    </row>
    <row r="1033" spans="1:21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  <c r="S1033" t="str">
        <f>IF(Table1[[#This Row],[Age]]&lt;=25,"Young",IF(Table1[[#This Row],[Age]]&lt;=50,"Adult","Senior"))</f>
        <v>Young</v>
      </c>
      <c r="T1033" s="1">
        <f>Table1[[#This Row],[Purchase Amount (USD)]]</f>
        <v>50</v>
      </c>
      <c r="U1033">
        <f>IF(Table1[[#This Row],[Subscription Status]]="Yes",1,IF(Table1[[#This Row],[Subscription Status]]="No",0))</f>
        <v>1</v>
      </c>
    </row>
    <row r="1034" spans="1:21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  <c r="S1034" t="str">
        <f>IF(Table1[[#This Row],[Age]]&lt;=25,"Young",IF(Table1[[#This Row],[Age]]&lt;=50,"Adult","Senior"))</f>
        <v>Senior</v>
      </c>
      <c r="T1034" s="1">
        <f>Table1[[#This Row],[Purchase Amount (USD)]]</f>
        <v>36</v>
      </c>
      <c r="U1034">
        <f>IF(Table1[[#This Row],[Subscription Status]]="Yes",1,IF(Table1[[#This Row],[Subscription Status]]="No",0))</f>
        <v>1</v>
      </c>
    </row>
    <row r="1035" spans="1:21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  <c r="S1035" t="str">
        <f>IF(Table1[[#This Row],[Age]]&lt;=25,"Young",IF(Table1[[#This Row],[Age]]&lt;=50,"Adult","Senior"))</f>
        <v>Young</v>
      </c>
      <c r="T1035" s="1">
        <f>Table1[[#This Row],[Purchase Amount (USD)]]</f>
        <v>52</v>
      </c>
      <c r="U1035">
        <f>IF(Table1[[#This Row],[Subscription Status]]="Yes",1,IF(Table1[[#This Row],[Subscription Status]]="No",0))</f>
        <v>1</v>
      </c>
    </row>
    <row r="1036" spans="1:21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  <c r="S1036" t="str">
        <f>IF(Table1[[#This Row],[Age]]&lt;=25,"Young",IF(Table1[[#This Row],[Age]]&lt;=50,"Adult","Senior"))</f>
        <v>Senior</v>
      </c>
      <c r="T1036" s="1">
        <f>Table1[[#This Row],[Purchase Amount (USD)]]</f>
        <v>29</v>
      </c>
      <c r="U1036">
        <f>IF(Table1[[#This Row],[Subscription Status]]="Yes",1,IF(Table1[[#This Row],[Subscription Status]]="No",0))</f>
        <v>1</v>
      </c>
    </row>
    <row r="1037" spans="1:21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  <c r="S1037" t="str">
        <f>IF(Table1[[#This Row],[Age]]&lt;=25,"Young",IF(Table1[[#This Row],[Age]]&lt;=50,"Adult","Senior"))</f>
        <v>Senior</v>
      </c>
      <c r="T1037" s="1">
        <f>Table1[[#This Row],[Purchase Amount (USD)]]</f>
        <v>89</v>
      </c>
      <c r="U1037">
        <f>IF(Table1[[#This Row],[Subscription Status]]="Yes",1,IF(Table1[[#This Row],[Subscription Status]]="No",0))</f>
        <v>1</v>
      </c>
    </row>
    <row r="1038" spans="1:21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  <c r="S1038" t="str">
        <f>IF(Table1[[#This Row],[Age]]&lt;=25,"Young",IF(Table1[[#This Row],[Age]]&lt;=50,"Adult","Senior"))</f>
        <v>Senior</v>
      </c>
      <c r="T1038" s="1">
        <f>Table1[[#This Row],[Purchase Amount (USD)]]</f>
        <v>47</v>
      </c>
      <c r="U1038">
        <f>IF(Table1[[#This Row],[Subscription Status]]="Yes",1,IF(Table1[[#This Row],[Subscription Status]]="No",0))</f>
        <v>1</v>
      </c>
    </row>
    <row r="1039" spans="1:21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  <c r="S1039" t="str">
        <f>IF(Table1[[#This Row],[Age]]&lt;=25,"Young",IF(Table1[[#This Row],[Age]]&lt;=50,"Adult","Senior"))</f>
        <v>Senior</v>
      </c>
      <c r="T1039" s="1">
        <f>Table1[[#This Row],[Purchase Amount (USD)]]</f>
        <v>25</v>
      </c>
      <c r="U1039">
        <f>IF(Table1[[#This Row],[Subscription Status]]="Yes",1,IF(Table1[[#This Row],[Subscription Status]]="No",0))</f>
        <v>1</v>
      </c>
    </row>
    <row r="1040" spans="1:21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  <c r="S1040" t="str">
        <f>IF(Table1[[#This Row],[Age]]&lt;=25,"Young",IF(Table1[[#This Row],[Age]]&lt;=50,"Adult","Senior"))</f>
        <v>Adult</v>
      </c>
      <c r="T1040" s="1">
        <f>Table1[[#This Row],[Purchase Amount (USD)]]</f>
        <v>74</v>
      </c>
      <c r="U1040">
        <f>IF(Table1[[#This Row],[Subscription Status]]="Yes",1,IF(Table1[[#This Row],[Subscription Status]]="No",0))</f>
        <v>1</v>
      </c>
    </row>
    <row r="1041" spans="1:21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  <c r="S1041" t="str">
        <f>IF(Table1[[#This Row],[Age]]&lt;=25,"Young",IF(Table1[[#This Row],[Age]]&lt;=50,"Adult","Senior"))</f>
        <v>Adult</v>
      </c>
      <c r="T1041" s="1">
        <f>Table1[[#This Row],[Purchase Amount (USD)]]</f>
        <v>46</v>
      </c>
      <c r="U1041">
        <f>IF(Table1[[#This Row],[Subscription Status]]="Yes",1,IF(Table1[[#This Row],[Subscription Status]]="No",0))</f>
        <v>1</v>
      </c>
    </row>
    <row r="1042" spans="1:21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  <c r="S1042" t="str">
        <f>IF(Table1[[#This Row],[Age]]&lt;=25,"Young",IF(Table1[[#This Row],[Age]]&lt;=50,"Adult","Senior"))</f>
        <v>Senior</v>
      </c>
      <c r="T1042" s="1">
        <f>Table1[[#This Row],[Purchase Amount (USD)]]</f>
        <v>22</v>
      </c>
      <c r="U1042">
        <f>IF(Table1[[#This Row],[Subscription Status]]="Yes",1,IF(Table1[[#This Row],[Subscription Status]]="No",0))</f>
        <v>1</v>
      </c>
    </row>
    <row r="1043" spans="1:21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  <c r="S1043" t="str">
        <f>IF(Table1[[#This Row],[Age]]&lt;=25,"Young",IF(Table1[[#This Row],[Age]]&lt;=50,"Adult","Senior"))</f>
        <v>Adult</v>
      </c>
      <c r="T1043" s="1">
        <f>Table1[[#This Row],[Purchase Amount (USD)]]</f>
        <v>25</v>
      </c>
      <c r="U1043">
        <f>IF(Table1[[#This Row],[Subscription Status]]="Yes",1,IF(Table1[[#This Row],[Subscription Status]]="No",0))</f>
        <v>1</v>
      </c>
    </row>
    <row r="1044" spans="1:21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  <c r="S1044" t="str">
        <f>IF(Table1[[#This Row],[Age]]&lt;=25,"Young",IF(Table1[[#This Row],[Age]]&lt;=50,"Adult","Senior"))</f>
        <v>Senior</v>
      </c>
      <c r="T1044" s="1">
        <f>Table1[[#This Row],[Purchase Amount (USD)]]</f>
        <v>80</v>
      </c>
      <c r="U1044">
        <f>IF(Table1[[#This Row],[Subscription Status]]="Yes",1,IF(Table1[[#This Row],[Subscription Status]]="No",0))</f>
        <v>1</v>
      </c>
    </row>
    <row r="1045" spans="1:21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  <c r="S1045" t="str">
        <f>IF(Table1[[#This Row],[Age]]&lt;=25,"Young",IF(Table1[[#This Row],[Age]]&lt;=50,"Adult","Senior"))</f>
        <v>Adult</v>
      </c>
      <c r="T1045" s="1">
        <f>Table1[[#This Row],[Purchase Amount (USD)]]</f>
        <v>76</v>
      </c>
      <c r="U1045">
        <f>IF(Table1[[#This Row],[Subscription Status]]="Yes",1,IF(Table1[[#This Row],[Subscription Status]]="No",0))</f>
        <v>1</v>
      </c>
    </row>
    <row r="1046" spans="1:21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  <c r="S1046" t="str">
        <f>IF(Table1[[#This Row],[Age]]&lt;=25,"Young",IF(Table1[[#This Row],[Age]]&lt;=50,"Adult","Senior"))</f>
        <v>Adult</v>
      </c>
      <c r="T1046" s="1">
        <f>Table1[[#This Row],[Purchase Amount (USD)]]</f>
        <v>30</v>
      </c>
      <c r="U1046">
        <f>IF(Table1[[#This Row],[Subscription Status]]="Yes",1,IF(Table1[[#This Row],[Subscription Status]]="No",0))</f>
        <v>1</v>
      </c>
    </row>
    <row r="1047" spans="1:21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  <c r="S1047" t="str">
        <f>IF(Table1[[#This Row],[Age]]&lt;=25,"Young",IF(Table1[[#This Row],[Age]]&lt;=50,"Adult","Senior"))</f>
        <v>Senior</v>
      </c>
      <c r="T1047" s="1">
        <f>Table1[[#This Row],[Purchase Amount (USD)]]</f>
        <v>79</v>
      </c>
      <c r="U1047">
        <f>IF(Table1[[#This Row],[Subscription Status]]="Yes",1,IF(Table1[[#This Row],[Subscription Status]]="No",0))</f>
        <v>1</v>
      </c>
    </row>
    <row r="1048" spans="1:21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  <c r="S1048" t="str">
        <f>IF(Table1[[#This Row],[Age]]&lt;=25,"Young",IF(Table1[[#This Row],[Age]]&lt;=50,"Adult","Senior"))</f>
        <v>Adult</v>
      </c>
      <c r="T1048" s="1">
        <f>Table1[[#This Row],[Purchase Amount (USD)]]</f>
        <v>22</v>
      </c>
      <c r="U1048">
        <f>IF(Table1[[#This Row],[Subscription Status]]="Yes",1,IF(Table1[[#This Row],[Subscription Status]]="No",0))</f>
        <v>1</v>
      </c>
    </row>
    <row r="1049" spans="1:21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  <c r="S1049" t="str">
        <f>IF(Table1[[#This Row],[Age]]&lt;=25,"Young",IF(Table1[[#This Row],[Age]]&lt;=50,"Adult","Senior"))</f>
        <v>Adult</v>
      </c>
      <c r="T1049" s="1">
        <f>Table1[[#This Row],[Purchase Amount (USD)]]</f>
        <v>36</v>
      </c>
      <c r="U1049">
        <f>IF(Table1[[#This Row],[Subscription Status]]="Yes",1,IF(Table1[[#This Row],[Subscription Status]]="No",0))</f>
        <v>1</v>
      </c>
    </row>
    <row r="1050" spans="1:21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  <c r="S1050" t="str">
        <f>IF(Table1[[#This Row],[Age]]&lt;=25,"Young",IF(Table1[[#This Row],[Age]]&lt;=50,"Adult","Senior"))</f>
        <v>Adult</v>
      </c>
      <c r="T1050" s="1">
        <f>Table1[[#This Row],[Purchase Amount (USD)]]</f>
        <v>77</v>
      </c>
      <c r="U1050">
        <f>IF(Table1[[#This Row],[Subscription Status]]="Yes",1,IF(Table1[[#This Row],[Subscription Status]]="No",0))</f>
        <v>1</v>
      </c>
    </row>
    <row r="1051" spans="1:21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  <c r="S1051" t="str">
        <f>IF(Table1[[#This Row],[Age]]&lt;=25,"Young",IF(Table1[[#This Row],[Age]]&lt;=50,"Adult","Senior"))</f>
        <v>Adult</v>
      </c>
      <c r="T1051" s="1">
        <f>Table1[[#This Row],[Purchase Amount (USD)]]</f>
        <v>33</v>
      </c>
      <c r="U1051">
        <f>IF(Table1[[#This Row],[Subscription Status]]="Yes",1,IF(Table1[[#This Row],[Subscription Status]]="No",0))</f>
        <v>1</v>
      </c>
    </row>
    <row r="1052" spans="1:21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  <c r="S1052" t="str">
        <f>IF(Table1[[#This Row],[Age]]&lt;=25,"Young",IF(Table1[[#This Row],[Age]]&lt;=50,"Adult","Senior"))</f>
        <v>Adult</v>
      </c>
      <c r="T1052" s="1">
        <f>Table1[[#This Row],[Purchase Amount (USD)]]</f>
        <v>64</v>
      </c>
      <c r="U1052">
        <f>IF(Table1[[#This Row],[Subscription Status]]="Yes",1,IF(Table1[[#This Row],[Subscription Status]]="No",0))</f>
        <v>1</v>
      </c>
    </row>
    <row r="1053" spans="1:21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  <c r="S1053" t="str">
        <f>IF(Table1[[#This Row],[Age]]&lt;=25,"Young",IF(Table1[[#This Row],[Age]]&lt;=50,"Adult","Senior"))</f>
        <v>Adult</v>
      </c>
      <c r="T1053" s="1">
        <f>Table1[[#This Row],[Purchase Amount (USD)]]</f>
        <v>53</v>
      </c>
      <c r="U1053">
        <f>IF(Table1[[#This Row],[Subscription Status]]="Yes",1,IF(Table1[[#This Row],[Subscription Status]]="No",0))</f>
        <v>1</v>
      </c>
    </row>
    <row r="1054" spans="1:21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  <c r="S1054" t="str">
        <f>IF(Table1[[#This Row],[Age]]&lt;=25,"Young",IF(Table1[[#This Row],[Age]]&lt;=50,"Adult","Senior"))</f>
        <v>Senior</v>
      </c>
      <c r="T1054" s="1">
        <f>Table1[[#This Row],[Purchase Amount (USD)]]</f>
        <v>36</v>
      </c>
      <c r="U1054">
        <f>IF(Table1[[#This Row],[Subscription Status]]="Yes",1,IF(Table1[[#This Row],[Subscription Status]]="No",0))</f>
        <v>1</v>
      </c>
    </row>
    <row r="1055" spans="1:21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  <c r="S1055" t="str">
        <f>IF(Table1[[#This Row],[Age]]&lt;=25,"Young",IF(Table1[[#This Row],[Age]]&lt;=50,"Adult","Senior"))</f>
        <v>Senior</v>
      </c>
      <c r="T1055" s="1">
        <f>Table1[[#This Row],[Purchase Amount (USD)]]</f>
        <v>70</v>
      </c>
      <c r="U1055">
        <f>IF(Table1[[#This Row],[Subscription Status]]="Yes",1,IF(Table1[[#This Row],[Subscription Status]]="No",0))</f>
        <v>0</v>
      </c>
    </row>
    <row r="1056" spans="1:21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  <c r="S1056" t="str">
        <f>IF(Table1[[#This Row],[Age]]&lt;=25,"Young",IF(Table1[[#This Row],[Age]]&lt;=50,"Adult","Senior"))</f>
        <v>Young</v>
      </c>
      <c r="T1056" s="1">
        <f>Table1[[#This Row],[Purchase Amount (USD)]]</f>
        <v>96</v>
      </c>
      <c r="U1056">
        <f>IF(Table1[[#This Row],[Subscription Status]]="Yes",1,IF(Table1[[#This Row],[Subscription Status]]="No",0))</f>
        <v>0</v>
      </c>
    </row>
    <row r="1057" spans="1:21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  <c r="S1057" t="str">
        <f>IF(Table1[[#This Row],[Age]]&lt;=25,"Young",IF(Table1[[#This Row],[Age]]&lt;=50,"Adult","Senior"))</f>
        <v>Senior</v>
      </c>
      <c r="T1057" s="1">
        <f>Table1[[#This Row],[Purchase Amount (USD)]]</f>
        <v>27</v>
      </c>
      <c r="U1057">
        <f>IF(Table1[[#This Row],[Subscription Status]]="Yes",1,IF(Table1[[#This Row],[Subscription Status]]="No",0))</f>
        <v>0</v>
      </c>
    </row>
    <row r="1058" spans="1:21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  <c r="S1058" t="str">
        <f>IF(Table1[[#This Row],[Age]]&lt;=25,"Young",IF(Table1[[#This Row],[Age]]&lt;=50,"Adult","Senior"))</f>
        <v>Young</v>
      </c>
      <c r="T1058" s="1">
        <f>Table1[[#This Row],[Purchase Amount (USD)]]</f>
        <v>64</v>
      </c>
      <c r="U1058">
        <f>IF(Table1[[#This Row],[Subscription Status]]="Yes",1,IF(Table1[[#This Row],[Subscription Status]]="No",0))</f>
        <v>0</v>
      </c>
    </row>
    <row r="1059" spans="1:21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  <c r="S1059" t="str">
        <f>IF(Table1[[#This Row],[Age]]&lt;=25,"Young",IF(Table1[[#This Row],[Age]]&lt;=50,"Adult","Senior"))</f>
        <v>Senior</v>
      </c>
      <c r="T1059" s="1">
        <f>Table1[[#This Row],[Purchase Amount (USD)]]</f>
        <v>23</v>
      </c>
      <c r="U1059">
        <f>IF(Table1[[#This Row],[Subscription Status]]="Yes",1,IF(Table1[[#This Row],[Subscription Status]]="No",0))</f>
        <v>0</v>
      </c>
    </row>
    <row r="1060" spans="1:21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  <c r="S1060" t="str">
        <f>IF(Table1[[#This Row],[Age]]&lt;=25,"Young",IF(Table1[[#This Row],[Age]]&lt;=50,"Adult","Senior"))</f>
        <v>Adult</v>
      </c>
      <c r="T1060" s="1">
        <f>Table1[[#This Row],[Purchase Amount (USD)]]</f>
        <v>33</v>
      </c>
      <c r="U1060">
        <f>IF(Table1[[#This Row],[Subscription Status]]="Yes",1,IF(Table1[[#This Row],[Subscription Status]]="No",0))</f>
        <v>0</v>
      </c>
    </row>
    <row r="1061" spans="1:21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  <c r="S1061" t="str">
        <f>IF(Table1[[#This Row],[Age]]&lt;=25,"Young",IF(Table1[[#This Row],[Age]]&lt;=50,"Adult","Senior"))</f>
        <v>Young</v>
      </c>
      <c r="T1061" s="1">
        <f>Table1[[#This Row],[Purchase Amount (USD)]]</f>
        <v>34</v>
      </c>
      <c r="U1061">
        <f>IF(Table1[[#This Row],[Subscription Status]]="Yes",1,IF(Table1[[#This Row],[Subscription Status]]="No",0))</f>
        <v>0</v>
      </c>
    </row>
    <row r="1062" spans="1:21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  <c r="S1062" t="str">
        <f>IF(Table1[[#This Row],[Age]]&lt;=25,"Young",IF(Table1[[#This Row],[Age]]&lt;=50,"Adult","Senior"))</f>
        <v>Adult</v>
      </c>
      <c r="T1062" s="1">
        <f>Table1[[#This Row],[Purchase Amount (USD)]]</f>
        <v>35</v>
      </c>
      <c r="U1062">
        <f>IF(Table1[[#This Row],[Subscription Status]]="Yes",1,IF(Table1[[#This Row],[Subscription Status]]="No",0))</f>
        <v>0</v>
      </c>
    </row>
    <row r="1063" spans="1:21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  <c r="S1063" t="str">
        <f>IF(Table1[[#This Row],[Age]]&lt;=25,"Young",IF(Table1[[#This Row],[Age]]&lt;=50,"Adult","Senior"))</f>
        <v>Adult</v>
      </c>
      <c r="T1063" s="1">
        <f>Table1[[#This Row],[Purchase Amount (USD)]]</f>
        <v>62</v>
      </c>
      <c r="U1063">
        <f>IF(Table1[[#This Row],[Subscription Status]]="Yes",1,IF(Table1[[#This Row],[Subscription Status]]="No",0))</f>
        <v>0</v>
      </c>
    </row>
    <row r="1064" spans="1:21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  <c r="S1064" t="str">
        <f>IF(Table1[[#This Row],[Age]]&lt;=25,"Young",IF(Table1[[#This Row],[Age]]&lt;=50,"Adult","Senior"))</f>
        <v>Senior</v>
      </c>
      <c r="T1064" s="1">
        <f>Table1[[#This Row],[Purchase Amount (USD)]]</f>
        <v>75</v>
      </c>
      <c r="U1064">
        <f>IF(Table1[[#This Row],[Subscription Status]]="Yes",1,IF(Table1[[#This Row],[Subscription Status]]="No",0))</f>
        <v>0</v>
      </c>
    </row>
    <row r="1065" spans="1:21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  <c r="S1065" t="str">
        <f>IF(Table1[[#This Row],[Age]]&lt;=25,"Young",IF(Table1[[#This Row],[Age]]&lt;=50,"Adult","Senior"))</f>
        <v>Senior</v>
      </c>
      <c r="T1065" s="1">
        <f>Table1[[#This Row],[Purchase Amount (USD)]]</f>
        <v>29</v>
      </c>
      <c r="U1065">
        <f>IF(Table1[[#This Row],[Subscription Status]]="Yes",1,IF(Table1[[#This Row],[Subscription Status]]="No",0))</f>
        <v>0</v>
      </c>
    </row>
    <row r="1066" spans="1:21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  <c r="S1066" t="str">
        <f>IF(Table1[[#This Row],[Age]]&lt;=25,"Young",IF(Table1[[#This Row],[Age]]&lt;=50,"Adult","Senior"))</f>
        <v>Adult</v>
      </c>
      <c r="T1066" s="1">
        <f>Table1[[#This Row],[Purchase Amount (USD)]]</f>
        <v>28</v>
      </c>
      <c r="U1066">
        <f>IF(Table1[[#This Row],[Subscription Status]]="Yes",1,IF(Table1[[#This Row],[Subscription Status]]="No",0))</f>
        <v>0</v>
      </c>
    </row>
    <row r="1067" spans="1:21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  <c r="S1067" t="str">
        <f>IF(Table1[[#This Row],[Age]]&lt;=25,"Young",IF(Table1[[#This Row],[Age]]&lt;=50,"Adult","Senior"))</f>
        <v>Senior</v>
      </c>
      <c r="T1067" s="1">
        <f>Table1[[#This Row],[Purchase Amount (USD)]]</f>
        <v>20</v>
      </c>
      <c r="U1067">
        <f>IF(Table1[[#This Row],[Subscription Status]]="Yes",1,IF(Table1[[#This Row],[Subscription Status]]="No",0))</f>
        <v>0</v>
      </c>
    </row>
    <row r="1068" spans="1:21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  <c r="S1068" t="str">
        <f>IF(Table1[[#This Row],[Age]]&lt;=25,"Young",IF(Table1[[#This Row],[Age]]&lt;=50,"Adult","Senior"))</f>
        <v>Adult</v>
      </c>
      <c r="T1068" s="1">
        <f>Table1[[#This Row],[Purchase Amount (USD)]]</f>
        <v>96</v>
      </c>
      <c r="U1068">
        <f>IF(Table1[[#This Row],[Subscription Status]]="Yes",1,IF(Table1[[#This Row],[Subscription Status]]="No",0))</f>
        <v>0</v>
      </c>
    </row>
    <row r="1069" spans="1:21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  <c r="S1069" t="str">
        <f>IF(Table1[[#This Row],[Age]]&lt;=25,"Young",IF(Table1[[#This Row],[Age]]&lt;=50,"Adult","Senior"))</f>
        <v>Young</v>
      </c>
      <c r="T1069" s="1">
        <f>Table1[[#This Row],[Purchase Amount (USD)]]</f>
        <v>43</v>
      </c>
      <c r="U1069">
        <f>IF(Table1[[#This Row],[Subscription Status]]="Yes",1,IF(Table1[[#This Row],[Subscription Status]]="No",0))</f>
        <v>0</v>
      </c>
    </row>
    <row r="1070" spans="1:21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  <c r="S1070" t="str">
        <f>IF(Table1[[#This Row],[Age]]&lt;=25,"Young",IF(Table1[[#This Row],[Age]]&lt;=50,"Adult","Senior"))</f>
        <v>Senior</v>
      </c>
      <c r="T1070" s="1">
        <f>Table1[[#This Row],[Purchase Amount (USD)]]</f>
        <v>94</v>
      </c>
      <c r="U1070">
        <f>IF(Table1[[#This Row],[Subscription Status]]="Yes",1,IF(Table1[[#This Row],[Subscription Status]]="No",0))</f>
        <v>0</v>
      </c>
    </row>
    <row r="1071" spans="1:21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  <c r="S1071" t="str">
        <f>IF(Table1[[#This Row],[Age]]&lt;=25,"Young",IF(Table1[[#This Row],[Age]]&lt;=50,"Adult","Senior"))</f>
        <v>Adult</v>
      </c>
      <c r="T1071" s="1">
        <f>Table1[[#This Row],[Purchase Amount (USD)]]</f>
        <v>81</v>
      </c>
      <c r="U1071">
        <f>IF(Table1[[#This Row],[Subscription Status]]="Yes",1,IF(Table1[[#This Row],[Subscription Status]]="No",0))</f>
        <v>0</v>
      </c>
    </row>
    <row r="1072" spans="1:21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  <c r="S1072" t="str">
        <f>IF(Table1[[#This Row],[Age]]&lt;=25,"Young",IF(Table1[[#This Row],[Age]]&lt;=50,"Adult","Senior"))</f>
        <v>Adult</v>
      </c>
      <c r="T1072" s="1">
        <f>Table1[[#This Row],[Purchase Amount (USD)]]</f>
        <v>75</v>
      </c>
      <c r="U1072">
        <f>IF(Table1[[#This Row],[Subscription Status]]="Yes",1,IF(Table1[[#This Row],[Subscription Status]]="No",0))</f>
        <v>0</v>
      </c>
    </row>
    <row r="1073" spans="1:21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  <c r="S1073" t="str">
        <f>IF(Table1[[#This Row],[Age]]&lt;=25,"Young",IF(Table1[[#This Row],[Age]]&lt;=50,"Adult","Senior"))</f>
        <v>Senior</v>
      </c>
      <c r="T1073" s="1">
        <f>Table1[[#This Row],[Purchase Amount (USD)]]</f>
        <v>81</v>
      </c>
      <c r="U1073">
        <f>IF(Table1[[#This Row],[Subscription Status]]="Yes",1,IF(Table1[[#This Row],[Subscription Status]]="No",0))</f>
        <v>0</v>
      </c>
    </row>
    <row r="1074" spans="1:21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  <c r="S1074" t="str">
        <f>IF(Table1[[#This Row],[Age]]&lt;=25,"Young",IF(Table1[[#This Row],[Age]]&lt;=50,"Adult","Senior"))</f>
        <v>Adult</v>
      </c>
      <c r="T1074" s="1">
        <f>Table1[[#This Row],[Purchase Amount (USD)]]</f>
        <v>92</v>
      </c>
      <c r="U1074">
        <f>IF(Table1[[#This Row],[Subscription Status]]="Yes",1,IF(Table1[[#This Row],[Subscription Status]]="No",0))</f>
        <v>0</v>
      </c>
    </row>
    <row r="1075" spans="1:21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  <c r="S1075" t="str">
        <f>IF(Table1[[#This Row],[Age]]&lt;=25,"Young",IF(Table1[[#This Row],[Age]]&lt;=50,"Adult","Senior"))</f>
        <v>Young</v>
      </c>
      <c r="T1075" s="1">
        <f>Table1[[#This Row],[Purchase Amount (USD)]]</f>
        <v>96</v>
      </c>
      <c r="U1075">
        <f>IF(Table1[[#This Row],[Subscription Status]]="Yes",1,IF(Table1[[#This Row],[Subscription Status]]="No",0))</f>
        <v>0</v>
      </c>
    </row>
    <row r="1076" spans="1:21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  <c r="S1076" t="str">
        <f>IF(Table1[[#This Row],[Age]]&lt;=25,"Young",IF(Table1[[#This Row],[Age]]&lt;=50,"Adult","Senior"))</f>
        <v>Adult</v>
      </c>
      <c r="T1076" s="1">
        <f>Table1[[#This Row],[Purchase Amount (USD)]]</f>
        <v>71</v>
      </c>
      <c r="U1076">
        <f>IF(Table1[[#This Row],[Subscription Status]]="Yes",1,IF(Table1[[#This Row],[Subscription Status]]="No",0))</f>
        <v>0</v>
      </c>
    </row>
    <row r="1077" spans="1:21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  <c r="S1077" t="str">
        <f>IF(Table1[[#This Row],[Age]]&lt;=25,"Young",IF(Table1[[#This Row],[Age]]&lt;=50,"Adult","Senior"))</f>
        <v>Senior</v>
      </c>
      <c r="T1077" s="1">
        <f>Table1[[#This Row],[Purchase Amount (USD)]]</f>
        <v>50</v>
      </c>
      <c r="U1077">
        <f>IF(Table1[[#This Row],[Subscription Status]]="Yes",1,IF(Table1[[#This Row],[Subscription Status]]="No",0))</f>
        <v>0</v>
      </c>
    </row>
    <row r="1078" spans="1:21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  <c r="S1078" t="str">
        <f>IF(Table1[[#This Row],[Age]]&lt;=25,"Young",IF(Table1[[#This Row],[Age]]&lt;=50,"Adult","Senior"))</f>
        <v>Adult</v>
      </c>
      <c r="T1078" s="1">
        <f>Table1[[#This Row],[Purchase Amount (USD)]]</f>
        <v>72</v>
      </c>
      <c r="U1078">
        <f>IF(Table1[[#This Row],[Subscription Status]]="Yes",1,IF(Table1[[#This Row],[Subscription Status]]="No",0))</f>
        <v>0</v>
      </c>
    </row>
    <row r="1079" spans="1:21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  <c r="S1079" t="str">
        <f>IF(Table1[[#This Row],[Age]]&lt;=25,"Young",IF(Table1[[#This Row],[Age]]&lt;=50,"Adult","Senior"))</f>
        <v>Senior</v>
      </c>
      <c r="T1079" s="1">
        <f>Table1[[#This Row],[Purchase Amount (USD)]]</f>
        <v>28</v>
      </c>
      <c r="U1079">
        <f>IF(Table1[[#This Row],[Subscription Status]]="Yes",1,IF(Table1[[#This Row],[Subscription Status]]="No",0))</f>
        <v>0</v>
      </c>
    </row>
    <row r="1080" spans="1:21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  <c r="S1080" t="str">
        <f>IF(Table1[[#This Row],[Age]]&lt;=25,"Young",IF(Table1[[#This Row],[Age]]&lt;=50,"Adult","Senior"))</f>
        <v>Adult</v>
      </c>
      <c r="T1080" s="1">
        <f>Table1[[#This Row],[Purchase Amount (USD)]]</f>
        <v>59</v>
      </c>
      <c r="U1080">
        <f>IF(Table1[[#This Row],[Subscription Status]]="Yes",1,IF(Table1[[#This Row],[Subscription Status]]="No",0))</f>
        <v>0</v>
      </c>
    </row>
    <row r="1081" spans="1:21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  <c r="S1081" t="str">
        <f>IF(Table1[[#This Row],[Age]]&lt;=25,"Young",IF(Table1[[#This Row],[Age]]&lt;=50,"Adult","Senior"))</f>
        <v>Young</v>
      </c>
      <c r="T1081" s="1">
        <f>Table1[[#This Row],[Purchase Amount (USD)]]</f>
        <v>33</v>
      </c>
      <c r="U1081">
        <f>IF(Table1[[#This Row],[Subscription Status]]="Yes",1,IF(Table1[[#This Row],[Subscription Status]]="No",0))</f>
        <v>0</v>
      </c>
    </row>
    <row r="1082" spans="1:21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  <c r="S1082" t="str">
        <f>IF(Table1[[#This Row],[Age]]&lt;=25,"Young",IF(Table1[[#This Row],[Age]]&lt;=50,"Adult","Senior"))</f>
        <v>Senior</v>
      </c>
      <c r="T1082" s="1">
        <f>Table1[[#This Row],[Purchase Amount (USD)]]</f>
        <v>59</v>
      </c>
      <c r="U1082">
        <f>IF(Table1[[#This Row],[Subscription Status]]="Yes",1,IF(Table1[[#This Row],[Subscription Status]]="No",0))</f>
        <v>0</v>
      </c>
    </row>
    <row r="1083" spans="1:21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  <c r="S1083" t="str">
        <f>IF(Table1[[#This Row],[Age]]&lt;=25,"Young",IF(Table1[[#This Row],[Age]]&lt;=50,"Adult","Senior"))</f>
        <v>Senior</v>
      </c>
      <c r="T1083" s="1">
        <f>Table1[[#This Row],[Purchase Amount (USD)]]</f>
        <v>30</v>
      </c>
      <c r="U1083">
        <f>IF(Table1[[#This Row],[Subscription Status]]="Yes",1,IF(Table1[[#This Row],[Subscription Status]]="No",0))</f>
        <v>0</v>
      </c>
    </row>
    <row r="1084" spans="1:21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  <c r="S1084" t="str">
        <f>IF(Table1[[#This Row],[Age]]&lt;=25,"Young",IF(Table1[[#This Row],[Age]]&lt;=50,"Adult","Senior"))</f>
        <v>Senior</v>
      </c>
      <c r="T1084" s="1">
        <f>Table1[[#This Row],[Purchase Amount (USD)]]</f>
        <v>85</v>
      </c>
      <c r="U1084">
        <f>IF(Table1[[#This Row],[Subscription Status]]="Yes",1,IF(Table1[[#This Row],[Subscription Status]]="No",0))</f>
        <v>0</v>
      </c>
    </row>
    <row r="1085" spans="1:21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  <c r="S1085" t="str">
        <f>IF(Table1[[#This Row],[Age]]&lt;=25,"Young",IF(Table1[[#This Row],[Age]]&lt;=50,"Adult","Senior"))</f>
        <v>Adult</v>
      </c>
      <c r="T1085" s="1">
        <f>Table1[[#This Row],[Purchase Amount (USD)]]</f>
        <v>97</v>
      </c>
      <c r="U1085">
        <f>IF(Table1[[#This Row],[Subscription Status]]="Yes",1,IF(Table1[[#This Row],[Subscription Status]]="No",0))</f>
        <v>0</v>
      </c>
    </row>
    <row r="1086" spans="1:21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  <c r="S1086" t="str">
        <f>IF(Table1[[#This Row],[Age]]&lt;=25,"Young",IF(Table1[[#This Row],[Age]]&lt;=50,"Adult","Senior"))</f>
        <v>Adult</v>
      </c>
      <c r="T1086" s="1">
        <f>Table1[[#This Row],[Purchase Amount (USD)]]</f>
        <v>36</v>
      </c>
      <c r="U1086">
        <f>IF(Table1[[#This Row],[Subscription Status]]="Yes",1,IF(Table1[[#This Row],[Subscription Status]]="No",0))</f>
        <v>0</v>
      </c>
    </row>
    <row r="1087" spans="1:21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  <c r="S1087" t="str">
        <f>IF(Table1[[#This Row],[Age]]&lt;=25,"Young",IF(Table1[[#This Row],[Age]]&lt;=50,"Adult","Senior"))</f>
        <v>Young</v>
      </c>
      <c r="T1087" s="1">
        <f>Table1[[#This Row],[Purchase Amount (USD)]]</f>
        <v>85</v>
      </c>
      <c r="U1087">
        <f>IF(Table1[[#This Row],[Subscription Status]]="Yes",1,IF(Table1[[#This Row],[Subscription Status]]="No",0))</f>
        <v>0</v>
      </c>
    </row>
    <row r="1088" spans="1:21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  <c r="S1088" t="str">
        <f>IF(Table1[[#This Row],[Age]]&lt;=25,"Young",IF(Table1[[#This Row],[Age]]&lt;=50,"Adult","Senior"))</f>
        <v>Senior</v>
      </c>
      <c r="T1088" s="1">
        <f>Table1[[#This Row],[Purchase Amount (USD)]]</f>
        <v>62</v>
      </c>
      <c r="U1088">
        <f>IF(Table1[[#This Row],[Subscription Status]]="Yes",1,IF(Table1[[#This Row],[Subscription Status]]="No",0))</f>
        <v>0</v>
      </c>
    </row>
    <row r="1089" spans="1:21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  <c r="S1089" t="str">
        <f>IF(Table1[[#This Row],[Age]]&lt;=25,"Young",IF(Table1[[#This Row],[Age]]&lt;=50,"Adult","Senior"))</f>
        <v>Adult</v>
      </c>
      <c r="T1089" s="1">
        <f>Table1[[#This Row],[Purchase Amount (USD)]]</f>
        <v>71</v>
      </c>
      <c r="U1089">
        <f>IF(Table1[[#This Row],[Subscription Status]]="Yes",1,IF(Table1[[#This Row],[Subscription Status]]="No",0))</f>
        <v>0</v>
      </c>
    </row>
    <row r="1090" spans="1:21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  <c r="S1090" t="str">
        <f>IF(Table1[[#This Row],[Age]]&lt;=25,"Young",IF(Table1[[#This Row],[Age]]&lt;=50,"Adult","Senior"))</f>
        <v>Adult</v>
      </c>
      <c r="T1090" s="1">
        <f>Table1[[#This Row],[Purchase Amount (USD)]]</f>
        <v>21</v>
      </c>
      <c r="U1090">
        <f>IF(Table1[[#This Row],[Subscription Status]]="Yes",1,IF(Table1[[#This Row],[Subscription Status]]="No",0))</f>
        <v>0</v>
      </c>
    </row>
    <row r="1091" spans="1:21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  <c r="S1091" t="str">
        <f>IF(Table1[[#This Row],[Age]]&lt;=25,"Young",IF(Table1[[#This Row],[Age]]&lt;=50,"Adult","Senior"))</f>
        <v>Adult</v>
      </c>
      <c r="T1091" s="1">
        <f>Table1[[#This Row],[Purchase Amount (USD)]]</f>
        <v>61</v>
      </c>
      <c r="U1091">
        <f>IF(Table1[[#This Row],[Subscription Status]]="Yes",1,IF(Table1[[#This Row],[Subscription Status]]="No",0))</f>
        <v>0</v>
      </c>
    </row>
    <row r="1092" spans="1:21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  <c r="S1092" t="str">
        <f>IF(Table1[[#This Row],[Age]]&lt;=25,"Young",IF(Table1[[#This Row],[Age]]&lt;=50,"Adult","Senior"))</f>
        <v>Adult</v>
      </c>
      <c r="T1092" s="1">
        <f>Table1[[#This Row],[Purchase Amount (USD)]]</f>
        <v>58</v>
      </c>
      <c r="U1092">
        <f>IF(Table1[[#This Row],[Subscription Status]]="Yes",1,IF(Table1[[#This Row],[Subscription Status]]="No",0))</f>
        <v>0</v>
      </c>
    </row>
    <row r="1093" spans="1:21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  <c r="S1093" t="str">
        <f>IF(Table1[[#This Row],[Age]]&lt;=25,"Young",IF(Table1[[#This Row],[Age]]&lt;=50,"Adult","Senior"))</f>
        <v>Adult</v>
      </c>
      <c r="T1093" s="1">
        <f>Table1[[#This Row],[Purchase Amount (USD)]]</f>
        <v>80</v>
      </c>
      <c r="U1093">
        <f>IF(Table1[[#This Row],[Subscription Status]]="Yes",1,IF(Table1[[#This Row],[Subscription Status]]="No",0))</f>
        <v>0</v>
      </c>
    </row>
    <row r="1094" spans="1:21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  <c r="S1094" t="str">
        <f>IF(Table1[[#This Row],[Age]]&lt;=25,"Young",IF(Table1[[#This Row],[Age]]&lt;=50,"Adult","Senior"))</f>
        <v>Senior</v>
      </c>
      <c r="T1094" s="1">
        <f>Table1[[#This Row],[Purchase Amount (USD)]]</f>
        <v>50</v>
      </c>
      <c r="U1094">
        <f>IF(Table1[[#This Row],[Subscription Status]]="Yes",1,IF(Table1[[#This Row],[Subscription Status]]="No",0))</f>
        <v>0</v>
      </c>
    </row>
    <row r="1095" spans="1:21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  <c r="S1095" t="str">
        <f>IF(Table1[[#This Row],[Age]]&lt;=25,"Young",IF(Table1[[#This Row],[Age]]&lt;=50,"Adult","Senior"))</f>
        <v>Senior</v>
      </c>
      <c r="T1095" s="1">
        <f>Table1[[#This Row],[Purchase Amount (USD)]]</f>
        <v>48</v>
      </c>
      <c r="U1095">
        <f>IF(Table1[[#This Row],[Subscription Status]]="Yes",1,IF(Table1[[#This Row],[Subscription Status]]="No",0))</f>
        <v>0</v>
      </c>
    </row>
    <row r="1096" spans="1:21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  <c r="S1096" t="str">
        <f>IF(Table1[[#This Row],[Age]]&lt;=25,"Young",IF(Table1[[#This Row],[Age]]&lt;=50,"Adult","Senior"))</f>
        <v>Young</v>
      </c>
      <c r="T1096" s="1">
        <f>Table1[[#This Row],[Purchase Amount (USD)]]</f>
        <v>40</v>
      </c>
      <c r="U1096">
        <f>IF(Table1[[#This Row],[Subscription Status]]="Yes",1,IF(Table1[[#This Row],[Subscription Status]]="No",0))</f>
        <v>0</v>
      </c>
    </row>
    <row r="1097" spans="1:21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  <c r="S1097" t="str">
        <f>IF(Table1[[#This Row],[Age]]&lt;=25,"Young",IF(Table1[[#This Row],[Age]]&lt;=50,"Adult","Senior"))</f>
        <v>Young</v>
      </c>
      <c r="T1097" s="1">
        <f>Table1[[#This Row],[Purchase Amount (USD)]]</f>
        <v>34</v>
      </c>
      <c r="U1097">
        <f>IF(Table1[[#This Row],[Subscription Status]]="Yes",1,IF(Table1[[#This Row],[Subscription Status]]="No",0))</f>
        <v>0</v>
      </c>
    </row>
    <row r="1098" spans="1:21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  <c r="S1098" t="str">
        <f>IF(Table1[[#This Row],[Age]]&lt;=25,"Young",IF(Table1[[#This Row],[Age]]&lt;=50,"Adult","Senior"))</f>
        <v>Senior</v>
      </c>
      <c r="T1098" s="1">
        <f>Table1[[#This Row],[Purchase Amount (USD)]]</f>
        <v>46</v>
      </c>
      <c r="U1098">
        <f>IF(Table1[[#This Row],[Subscription Status]]="Yes",1,IF(Table1[[#This Row],[Subscription Status]]="No",0))</f>
        <v>0</v>
      </c>
    </row>
    <row r="1099" spans="1:21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  <c r="S1099" t="str">
        <f>IF(Table1[[#This Row],[Age]]&lt;=25,"Young",IF(Table1[[#This Row],[Age]]&lt;=50,"Adult","Senior"))</f>
        <v>Senior</v>
      </c>
      <c r="T1099" s="1">
        <f>Table1[[#This Row],[Purchase Amount (USD)]]</f>
        <v>27</v>
      </c>
      <c r="U1099">
        <f>IF(Table1[[#This Row],[Subscription Status]]="Yes",1,IF(Table1[[#This Row],[Subscription Status]]="No",0))</f>
        <v>0</v>
      </c>
    </row>
    <row r="1100" spans="1:21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  <c r="S1100" t="str">
        <f>IF(Table1[[#This Row],[Age]]&lt;=25,"Young",IF(Table1[[#This Row],[Age]]&lt;=50,"Adult","Senior"))</f>
        <v>Adult</v>
      </c>
      <c r="T1100" s="1">
        <f>Table1[[#This Row],[Purchase Amount (USD)]]</f>
        <v>98</v>
      </c>
      <c r="U1100">
        <f>IF(Table1[[#This Row],[Subscription Status]]="Yes",1,IF(Table1[[#This Row],[Subscription Status]]="No",0))</f>
        <v>0</v>
      </c>
    </row>
    <row r="1101" spans="1:21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  <c r="S1101" t="str">
        <f>IF(Table1[[#This Row],[Age]]&lt;=25,"Young",IF(Table1[[#This Row],[Age]]&lt;=50,"Adult","Senior"))</f>
        <v>Young</v>
      </c>
      <c r="T1101" s="1">
        <f>Table1[[#This Row],[Purchase Amount (USD)]]</f>
        <v>73</v>
      </c>
      <c r="U1101">
        <f>IF(Table1[[#This Row],[Subscription Status]]="Yes",1,IF(Table1[[#This Row],[Subscription Status]]="No",0))</f>
        <v>0</v>
      </c>
    </row>
    <row r="1102" spans="1:21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  <c r="S1102" t="str">
        <f>IF(Table1[[#This Row],[Age]]&lt;=25,"Young",IF(Table1[[#This Row],[Age]]&lt;=50,"Adult","Senior"))</f>
        <v>Adult</v>
      </c>
      <c r="T1102" s="1">
        <f>Table1[[#This Row],[Purchase Amount (USD)]]</f>
        <v>28</v>
      </c>
      <c r="U1102">
        <f>IF(Table1[[#This Row],[Subscription Status]]="Yes",1,IF(Table1[[#This Row],[Subscription Status]]="No",0))</f>
        <v>0</v>
      </c>
    </row>
    <row r="1103" spans="1:21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  <c r="S1103" t="str">
        <f>IF(Table1[[#This Row],[Age]]&lt;=25,"Young",IF(Table1[[#This Row],[Age]]&lt;=50,"Adult","Senior"))</f>
        <v>Adult</v>
      </c>
      <c r="T1103" s="1">
        <f>Table1[[#This Row],[Purchase Amount (USD)]]</f>
        <v>76</v>
      </c>
      <c r="U1103">
        <f>IF(Table1[[#This Row],[Subscription Status]]="Yes",1,IF(Table1[[#This Row],[Subscription Status]]="No",0))</f>
        <v>0</v>
      </c>
    </row>
    <row r="1104" spans="1:21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  <c r="S1104" t="str">
        <f>IF(Table1[[#This Row],[Age]]&lt;=25,"Young",IF(Table1[[#This Row],[Age]]&lt;=50,"Adult","Senior"))</f>
        <v>Senior</v>
      </c>
      <c r="T1104" s="1">
        <f>Table1[[#This Row],[Purchase Amount (USD)]]</f>
        <v>83</v>
      </c>
      <c r="U1104">
        <f>IF(Table1[[#This Row],[Subscription Status]]="Yes",1,IF(Table1[[#This Row],[Subscription Status]]="No",0))</f>
        <v>0</v>
      </c>
    </row>
    <row r="1105" spans="1:21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  <c r="S1105" t="str">
        <f>IF(Table1[[#This Row],[Age]]&lt;=25,"Young",IF(Table1[[#This Row],[Age]]&lt;=50,"Adult","Senior"))</f>
        <v>Adult</v>
      </c>
      <c r="T1105" s="1">
        <f>Table1[[#This Row],[Purchase Amount (USD)]]</f>
        <v>23</v>
      </c>
      <c r="U1105">
        <f>IF(Table1[[#This Row],[Subscription Status]]="Yes",1,IF(Table1[[#This Row],[Subscription Status]]="No",0))</f>
        <v>0</v>
      </c>
    </row>
    <row r="1106" spans="1:21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  <c r="S1106" t="str">
        <f>IF(Table1[[#This Row],[Age]]&lt;=25,"Young",IF(Table1[[#This Row],[Age]]&lt;=50,"Adult","Senior"))</f>
        <v>Adult</v>
      </c>
      <c r="T1106" s="1">
        <f>Table1[[#This Row],[Purchase Amount (USD)]]</f>
        <v>28</v>
      </c>
      <c r="U1106">
        <f>IF(Table1[[#This Row],[Subscription Status]]="Yes",1,IF(Table1[[#This Row],[Subscription Status]]="No",0))</f>
        <v>0</v>
      </c>
    </row>
    <row r="1107" spans="1:21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  <c r="S1107" t="str">
        <f>IF(Table1[[#This Row],[Age]]&lt;=25,"Young",IF(Table1[[#This Row],[Age]]&lt;=50,"Adult","Senior"))</f>
        <v>Adult</v>
      </c>
      <c r="T1107" s="1">
        <f>Table1[[#This Row],[Purchase Amount (USD)]]</f>
        <v>83</v>
      </c>
      <c r="U1107">
        <f>IF(Table1[[#This Row],[Subscription Status]]="Yes",1,IF(Table1[[#This Row],[Subscription Status]]="No",0))</f>
        <v>0</v>
      </c>
    </row>
    <row r="1108" spans="1:21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  <c r="S1108" t="str">
        <f>IF(Table1[[#This Row],[Age]]&lt;=25,"Young",IF(Table1[[#This Row],[Age]]&lt;=50,"Adult","Senior"))</f>
        <v>Senior</v>
      </c>
      <c r="T1108" s="1">
        <f>Table1[[#This Row],[Purchase Amount (USD)]]</f>
        <v>96</v>
      </c>
      <c r="U1108">
        <f>IF(Table1[[#This Row],[Subscription Status]]="Yes",1,IF(Table1[[#This Row],[Subscription Status]]="No",0))</f>
        <v>0</v>
      </c>
    </row>
    <row r="1109" spans="1:21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  <c r="S1109" t="str">
        <f>IF(Table1[[#This Row],[Age]]&lt;=25,"Young",IF(Table1[[#This Row],[Age]]&lt;=50,"Adult","Senior"))</f>
        <v>Senior</v>
      </c>
      <c r="T1109" s="1">
        <f>Table1[[#This Row],[Purchase Amount (USD)]]</f>
        <v>62</v>
      </c>
      <c r="U1109">
        <f>IF(Table1[[#This Row],[Subscription Status]]="Yes",1,IF(Table1[[#This Row],[Subscription Status]]="No",0))</f>
        <v>0</v>
      </c>
    </row>
    <row r="1110" spans="1:21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  <c r="S1110" t="str">
        <f>IF(Table1[[#This Row],[Age]]&lt;=25,"Young",IF(Table1[[#This Row],[Age]]&lt;=50,"Adult","Senior"))</f>
        <v>Adult</v>
      </c>
      <c r="T1110" s="1">
        <f>Table1[[#This Row],[Purchase Amount (USD)]]</f>
        <v>25</v>
      </c>
      <c r="U1110">
        <f>IF(Table1[[#This Row],[Subscription Status]]="Yes",1,IF(Table1[[#This Row],[Subscription Status]]="No",0))</f>
        <v>0</v>
      </c>
    </row>
    <row r="1111" spans="1:21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  <c r="S1111" t="str">
        <f>IF(Table1[[#This Row],[Age]]&lt;=25,"Young",IF(Table1[[#This Row],[Age]]&lt;=50,"Adult","Senior"))</f>
        <v>Senior</v>
      </c>
      <c r="T1111" s="1">
        <f>Table1[[#This Row],[Purchase Amount (USD)]]</f>
        <v>97</v>
      </c>
      <c r="U1111">
        <f>IF(Table1[[#This Row],[Subscription Status]]="Yes",1,IF(Table1[[#This Row],[Subscription Status]]="No",0))</f>
        <v>0</v>
      </c>
    </row>
    <row r="1112" spans="1:21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  <c r="S1112" t="str">
        <f>IF(Table1[[#This Row],[Age]]&lt;=25,"Young",IF(Table1[[#This Row],[Age]]&lt;=50,"Adult","Senior"))</f>
        <v>Adult</v>
      </c>
      <c r="T1112" s="1">
        <f>Table1[[#This Row],[Purchase Amount (USD)]]</f>
        <v>61</v>
      </c>
      <c r="U1112">
        <f>IF(Table1[[#This Row],[Subscription Status]]="Yes",1,IF(Table1[[#This Row],[Subscription Status]]="No",0))</f>
        <v>0</v>
      </c>
    </row>
    <row r="1113" spans="1:21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  <c r="S1113" t="str">
        <f>IF(Table1[[#This Row],[Age]]&lt;=25,"Young",IF(Table1[[#This Row],[Age]]&lt;=50,"Adult","Senior"))</f>
        <v>Young</v>
      </c>
      <c r="T1113" s="1">
        <f>Table1[[#This Row],[Purchase Amount (USD)]]</f>
        <v>66</v>
      </c>
      <c r="U1113">
        <f>IF(Table1[[#This Row],[Subscription Status]]="Yes",1,IF(Table1[[#This Row],[Subscription Status]]="No",0))</f>
        <v>0</v>
      </c>
    </row>
    <row r="1114" spans="1:21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  <c r="S1114" t="str">
        <f>IF(Table1[[#This Row],[Age]]&lt;=25,"Young",IF(Table1[[#This Row],[Age]]&lt;=50,"Adult","Senior"))</f>
        <v>Senior</v>
      </c>
      <c r="T1114" s="1">
        <f>Table1[[#This Row],[Purchase Amount (USD)]]</f>
        <v>67</v>
      </c>
      <c r="U1114">
        <f>IF(Table1[[#This Row],[Subscription Status]]="Yes",1,IF(Table1[[#This Row],[Subscription Status]]="No",0))</f>
        <v>0</v>
      </c>
    </row>
    <row r="1115" spans="1:21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  <c r="S1115" t="str">
        <f>IF(Table1[[#This Row],[Age]]&lt;=25,"Young",IF(Table1[[#This Row],[Age]]&lt;=50,"Adult","Senior"))</f>
        <v>Adult</v>
      </c>
      <c r="T1115" s="1">
        <f>Table1[[#This Row],[Purchase Amount (USD)]]</f>
        <v>80</v>
      </c>
      <c r="U1115">
        <f>IF(Table1[[#This Row],[Subscription Status]]="Yes",1,IF(Table1[[#This Row],[Subscription Status]]="No",0))</f>
        <v>0</v>
      </c>
    </row>
    <row r="1116" spans="1:21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  <c r="S1116" t="str">
        <f>IF(Table1[[#This Row],[Age]]&lt;=25,"Young",IF(Table1[[#This Row],[Age]]&lt;=50,"Adult","Senior"))</f>
        <v>Senior</v>
      </c>
      <c r="T1116" s="1">
        <f>Table1[[#This Row],[Purchase Amount (USD)]]</f>
        <v>25</v>
      </c>
      <c r="U1116">
        <f>IF(Table1[[#This Row],[Subscription Status]]="Yes",1,IF(Table1[[#This Row],[Subscription Status]]="No",0))</f>
        <v>0</v>
      </c>
    </row>
    <row r="1117" spans="1:21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  <c r="S1117" t="str">
        <f>IF(Table1[[#This Row],[Age]]&lt;=25,"Young",IF(Table1[[#This Row],[Age]]&lt;=50,"Adult","Senior"))</f>
        <v>Adult</v>
      </c>
      <c r="T1117" s="1">
        <f>Table1[[#This Row],[Purchase Amount (USD)]]</f>
        <v>58</v>
      </c>
      <c r="U1117">
        <f>IF(Table1[[#This Row],[Subscription Status]]="Yes",1,IF(Table1[[#This Row],[Subscription Status]]="No",0))</f>
        <v>0</v>
      </c>
    </row>
    <row r="1118" spans="1:21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  <c r="S1118" t="str">
        <f>IF(Table1[[#This Row],[Age]]&lt;=25,"Young",IF(Table1[[#This Row],[Age]]&lt;=50,"Adult","Senior"))</f>
        <v>Senior</v>
      </c>
      <c r="T1118" s="1">
        <f>Table1[[#This Row],[Purchase Amount (USD)]]</f>
        <v>96</v>
      </c>
      <c r="U1118">
        <f>IF(Table1[[#This Row],[Subscription Status]]="Yes",1,IF(Table1[[#This Row],[Subscription Status]]="No",0))</f>
        <v>0</v>
      </c>
    </row>
    <row r="1119" spans="1:21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  <c r="S1119" t="str">
        <f>IF(Table1[[#This Row],[Age]]&lt;=25,"Young",IF(Table1[[#This Row],[Age]]&lt;=50,"Adult","Senior"))</f>
        <v>Young</v>
      </c>
      <c r="T1119" s="1">
        <f>Table1[[#This Row],[Purchase Amount (USD)]]</f>
        <v>77</v>
      </c>
      <c r="U1119">
        <f>IF(Table1[[#This Row],[Subscription Status]]="Yes",1,IF(Table1[[#This Row],[Subscription Status]]="No",0))</f>
        <v>0</v>
      </c>
    </row>
    <row r="1120" spans="1:21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  <c r="S1120" t="str">
        <f>IF(Table1[[#This Row],[Age]]&lt;=25,"Young",IF(Table1[[#This Row],[Age]]&lt;=50,"Adult","Senior"))</f>
        <v>Adult</v>
      </c>
      <c r="T1120" s="1">
        <f>Table1[[#This Row],[Purchase Amount (USD)]]</f>
        <v>65</v>
      </c>
      <c r="U1120">
        <f>IF(Table1[[#This Row],[Subscription Status]]="Yes",1,IF(Table1[[#This Row],[Subscription Status]]="No",0))</f>
        <v>0</v>
      </c>
    </row>
    <row r="1121" spans="1:21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  <c r="S1121" t="str">
        <f>IF(Table1[[#This Row],[Age]]&lt;=25,"Young",IF(Table1[[#This Row],[Age]]&lt;=50,"Adult","Senior"))</f>
        <v>Adult</v>
      </c>
      <c r="T1121" s="1">
        <f>Table1[[#This Row],[Purchase Amount (USD)]]</f>
        <v>36</v>
      </c>
      <c r="U1121">
        <f>IF(Table1[[#This Row],[Subscription Status]]="Yes",1,IF(Table1[[#This Row],[Subscription Status]]="No",0))</f>
        <v>0</v>
      </c>
    </row>
    <row r="1122" spans="1:21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  <c r="S1122" t="str">
        <f>IF(Table1[[#This Row],[Age]]&lt;=25,"Young",IF(Table1[[#This Row],[Age]]&lt;=50,"Adult","Senior"))</f>
        <v>Young</v>
      </c>
      <c r="T1122" s="1">
        <f>Table1[[#This Row],[Purchase Amount (USD)]]</f>
        <v>84</v>
      </c>
      <c r="U1122">
        <f>IF(Table1[[#This Row],[Subscription Status]]="Yes",1,IF(Table1[[#This Row],[Subscription Status]]="No",0))</f>
        <v>0</v>
      </c>
    </row>
    <row r="1123" spans="1:21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  <c r="S1123" t="str">
        <f>IF(Table1[[#This Row],[Age]]&lt;=25,"Young",IF(Table1[[#This Row],[Age]]&lt;=50,"Adult","Senior"))</f>
        <v>Senior</v>
      </c>
      <c r="T1123" s="1">
        <f>Table1[[#This Row],[Purchase Amount (USD)]]</f>
        <v>58</v>
      </c>
      <c r="U1123">
        <f>IF(Table1[[#This Row],[Subscription Status]]="Yes",1,IF(Table1[[#This Row],[Subscription Status]]="No",0))</f>
        <v>0</v>
      </c>
    </row>
    <row r="1124" spans="1:21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  <c r="S1124" t="str">
        <f>IF(Table1[[#This Row],[Age]]&lt;=25,"Young",IF(Table1[[#This Row],[Age]]&lt;=50,"Adult","Senior"))</f>
        <v>Senior</v>
      </c>
      <c r="T1124" s="1">
        <f>Table1[[#This Row],[Purchase Amount (USD)]]</f>
        <v>62</v>
      </c>
      <c r="U1124">
        <f>IF(Table1[[#This Row],[Subscription Status]]="Yes",1,IF(Table1[[#This Row],[Subscription Status]]="No",0))</f>
        <v>0</v>
      </c>
    </row>
    <row r="1125" spans="1:21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  <c r="S1125" t="str">
        <f>IF(Table1[[#This Row],[Age]]&lt;=25,"Young",IF(Table1[[#This Row],[Age]]&lt;=50,"Adult","Senior"))</f>
        <v>Adult</v>
      </c>
      <c r="T1125" s="1">
        <f>Table1[[#This Row],[Purchase Amount (USD)]]</f>
        <v>67</v>
      </c>
      <c r="U1125">
        <f>IF(Table1[[#This Row],[Subscription Status]]="Yes",1,IF(Table1[[#This Row],[Subscription Status]]="No",0))</f>
        <v>0</v>
      </c>
    </row>
    <row r="1126" spans="1:21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  <c r="S1126" t="str">
        <f>IF(Table1[[#This Row],[Age]]&lt;=25,"Young",IF(Table1[[#This Row],[Age]]&lt;=50,"Adult","Senior"))</f>
        <v>Adult</v>
      </c>
      <c r="T1126" s="1">
        <f>Table1[[#This Row],[Purchase Amount (USD)]]</f>
        <v>20</v>
      </c>
      <c r="U1126">
        <f>IF(Table1[[#This Row],[Subscription Status]]="Yes",1,IF(Table1[[#This Row],[Subscription Status]]="No",0))</f>
        <v>0</v>
      </c>
    </row>
    <row r="1127" spans="1:21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  <c r="S1127" t="str">
        <f>IF(Table1[[#This Row],[Age]]&lt;=25,"Young",IF(Table1[[#This Row],[Age]]&lt;=50,"Adult","Senior"))</f>
        <v>Adult</v>
      </c>
      <c r="T1127" s="1">
        <f>Table1[[#This Row],[Purchase Amount (USD)]]</f>
        <v>90</v>
      </c>
      <c r="U1127">
        <f>IF(Table1[[#This Row],[Subscription Status]]="Yes",1,IF(Table1[[#This Row],[Subscription Status]]="No",0))</f>
        <v>0</v>
      </c>
    </row>
    <row r="1128" spans="1:21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  <c r="S1128" t="str">
        <f>IF(Table1[[#This Row],[Age]]&lt;=25,"Young",IF(Table1[[#This Row],[Age]]&lt;=50,"Adult","Senior"))</f>
        <v>Young</v>
      </c>
      <c r="T1128" s="1">
        <f>Table1[[#This Row],[Purchase Amount (USD)]]</f>
        <v>58</v>
      </c>
      <c r="U1128">
        <f>IF(Table1[[#This Row],[Subscription Status]]="Yes",1,IF(Table1[[#This Row],[Subscription Status]]="No",0))</f>
        <v>0</v>
      </c>
    </row>
    <row r="1129" spans="1:21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  <c r="S1129" t="str">
        <f>IF(Table1[[#This Row],[Age]]&lt;=25,"Young",IF(Table1[[#This Row],[Age]]&lt;=50,"Adult","Senior"))</f>
        <v>Adult</v>
      </c>
      <c r="T1129" s="1">
        <f>Table1[[#This Row],[Purchase Amount (USD)]]</f>
        <v>53</v>
      </c>
      <c r="U1129">
        <f>IF(Table1[[#This Row],[Subscription Status]]="Yes",1,IF(Table1[[#This Row],[Subscription Status]]="No",0))</f>
        <v>0</v>
      </c>
    </row>
    <row r="1130" spans="1:21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  <c r="S1130" t="str">
        <f>IF(Table1[[#This Row],[Age]]&lt;=25,"Young",IF(Table1[[#This Row],[Age]]&lt;=50,"Adult","Senior"))</f>
        <v>Senior</v>
      </c>
      <c r="T1130" s="1">
        <f>Table1[[#This Row],[Purchase Amount (USD)]]</f>
        <v>30</v>
      </c>
      <c r="U1130">
        <f>IF(Table1[[#This Row],[Subscription Status]]="Yes",1,IF(Table1[[#This Row],[Subscription Status]]="No",0))</f>
        <v>0</v>
      </c>
    </row>
    <row r="1131" spans="1:21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  <c r="S1131" t="str">
        <f>IF(Table1[[#This Row],[Age]]&lt;=25,"Young",IF(Table1[[#This Row],[Age]]&lt;=50,"Adult","Senior"))</f>
        <v>Adult</v>
      </c>
      <c r="T1131" s="1">
        <f>Table1[[#This Row],[Purchase Amount (USD)]]</f>
        <v>65</v>
      </c>
      <c r="U1131">
        <f>IF(Table1[[#This Row],[Subscription Status]]="Yes",1,IF(Table1[[#This Row],[Subscription Status]]="No",0))</f>
        <v>0</v>
      </c>
    </row>
    <row r="1132" spans="1:21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  <c r="S1132" t="str">
        <f>IF(Table1[[#This Row],[Age]]&lt;=25,"Young",IF(Table1[[#This Row],[Age]]&lt;=50,"Adult","Senior"))</f>
        <v>Senior</v>
      </c>
      <c r="T1132" s="1">
        <f>Table1[[#This Row],[Purchase Amount (USD)]]</f>
        <v>41</v>
      </c>
      <c r="U1132">
        <f>IF(Table1[[#This Row],[Subscription Status]]="Yes",1,IF(Table1[[#This Row],[Subscription Status]]="No",0))</f>
        <v>0</v>
      </c>
    </row>
    <row r="1133" spans="1:21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  <c r="S1133" t="str">
        <f>IF(Table1[[#This Row],[Age]]&lt;=25,"Young",IF(Table1[[#This Row],[Age]]&lt;=50,"Adult","Senior"))</f>
        <v>Senior</v>
      </c>
      <c r="T1133" s="1">
        <f>Table1[[#This Row],[Purchase Amount (USD)]]</f>
        <v>73</v>
      </c>
      <c r="U1133">
        <f>IF(Table1[[#This Row],[Subscription Status]]="Yes",1,IF(Table1[[#This Row],[Subscription Status]]="No",0))</f>
        <v>0</v>
      </c>
    </row>
    <row r="1134" spans="1:21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  <c r="S1134" t="str">
        <f>IF(Table1[[#This Row],[Age]]&lt;=25,"Young",IF(Table1[[#This Row],[Age]]&lt;=50,"Adult","Senior"))</f>
        <v>Adult</v>
      </c>
      <c r="T1134" s="1">
        <f>Table1[[#This Row],[Purchase Amount (USD)]]</f>
        <v>98</v>
      </c>
      <c r="U1134">
        <f>IF(Table1[[#This Row],[Subscription Status]]="Yes",1,IF(Table1[[#This Row],[Subscription Status]]="No",0))</f>
        <v>0</v>
      </c>
    </row>
    <row r="1135" spans="1:21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  <c r="S1135" t="str">
        <f>IF(Table1[[#This Row],[Age]]&lt;=25,"Young",IF(Table1[[#This Row],[Age]]&lt;=50,"Adult","Senior"))</f>
        <v>Adult</v>
      </c>
      <c r="T1135" s="1">
        <f>Table1[[#This Row],[Purchase Amount (USD)]]</f>
        <v>36</v>
      </c>
      <c r="U1135">
        <f>IF(Table1[[#This Row],[Subscription Status]]="Yes",1,IF(Table1[[#This Row],[Subscription Status]]="No",0))</f>
        <v>0</v>
      </c>
    </row>
    <row r="1136" spans="1:21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  <c r="S1136" t="str">
        <f>IF(Table1[[#This Row],[Age]]&lt;=25,"Young",IF(Table1[[#This Row],[Age]]&lt;=50,"Adult","Senior"))</f>
        <v>Senior</v>
      </c>
      <c r="T1136" s="1">
        <f>Table1[[#This Row],[Purchase Amount (USD)]]</f>
        <v>81</v>
      </c>
      <c r="U1136">
        <f>IF(Table1[[#This Row],[Subscription Status]]="Yes",1,IF(Table1[[#This Row],[Subscription Status]]="No",0))</f>
        <v>0</v>
      </c>
    </row>
    <row r="1137" spans="1:21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  <c r="S1137" t="str">
        <f>IF(Table1[[#This Row],[Age]]&lt;=25,"Young",IF(Table1[[#This Row],[Age]]&lt;=50,"Adult","Senior"))</f>
        <v>Senior</v>
      </c>
      <c r="T1137" s="1">
        <f>Table1[[#This Row],[Purchase Amount (USD)]]</f>
        <v>90</v>
      </c>
      <c r="U1137">
        <f>IF(Table1[[#This Row],[Subscription Status]]="Yes",1,IF(Table1[[#This Row],[Subscription Status]]="No",0))</f>
        <v>0</v>
      </c>
    </row>
    <row r="1138" spans="1:21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  <c r="S1138" t="str">
        <f>IF(Table1[[#This Row],[Age]]&lt;=25,"Young",IF(Table1[[#This Row],[Age]]&lt;=50,"Adult","Senior"))</f>
        <v>Young</v>
      </c>
      <c r="T1138" s="1">
        <f>Table1[[#This Row],[Purchase Amount (USD)]]</f>
        <v>83</v>
      </c>
      <c r="U1138">
        <f>IF(Table1[[#This Row],[Subscription Status]]="Yes",1,IF(Table1[[#This Row],[Subscription Status]]="No",0))</f>
        <v>0</v>
      </c>
    </row>
    <row r="1139" spans="1:21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  <c r="S1139" t="str">
        <f>IF(Table1[[#This Row],[Age]]&lt;=25,"Young",IF(Table1[[#This Row],[Age]]&lt;=50,"Adult","Senior"))</f>
        <v>Adult</v>
      </c>
      <c r="T1139" s="1">
        <f>Table1[[#This Row],[Purchase Amount (USD)]]</f>
        <v>91</v>
      </c>
      <c r="U1139">
        <f>IF(Table1[[#This Row],[Subscription Status]]="Yes",1,IF(Table1[[#This Row],[Subscription Status]]="No",0))</f>
        <v>0</v>
      </c>
    </row>
    <row r="1140" spans="1:21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  <c r="S1140" t="str">
        <f>IF(Table1[[#This Row],[Age]]&lt;=25,"Young",IF(Table1[[#This Row],[Age]]&lt;=50,"Adult","Senior"))</f>
        <v>Young</v>
      </c>
      <c r="T1140" s="1">
        <f>Table1[[#This Row],[Purchase Amount (USD)]]</f>
        <v>36</v>
      </c>
      <c r="U1140">
        <f>IF(Table1[[#This Row],[Subscription Status]]="Yes",1,IF(Table1[[#This Row],[Subscription Status]]="No",0))</f>
        <v>0</v>
      </c>
    </row>
    <row r="1141" spans="1:21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  <c r="S1141" t="str">
        <f>IF(Table1[[#This Row],[Age]]&lt;=25,"Young",IF(Table1[[#This Row],[Age]]&lt;=50,"Adult","Senior"))</f>
        <v>Senior</v>
      </c>
      <c r="T1141" s="1">
        <f>Table1[[#This Row],[Purchase Amount (USD)]]</f>
        <v>53</v>
      </c>
      <c r="U1141">
        <f>IF(Table1[[#This Row],[Subscription Status]]="Yes",1,IF(Table1[[#This Row],[Subscription Status]]="No",0))</f>
        <v>0</v>
      </c>
    </row>
    <row r="1142" spans="1:21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  <c r="S1142" t="str">
        <f>IF(Table1[[#This Row],[Age]]&lt;=25,"Young",IF(Table1[[#This Row],[Age]]&lt;=50,"Adult","Senior"))</f>
        <v>Adult</v>
      </c>
      <c r="T1142" s="1">
        <f>Table1[[#This Row],[Purchase Amount (USD)]]</f>
        <v>39</v>
      </c>
      <c r="U1142">
        <f>IF(Table1[[#This Row],[Subscription Status]]="Yes",1,IF(Table1[[#This Row],[Subscription Status]]="No",0))</f>
        <v>0</v>
      </c>
    </row>
    <row r="1143" spans="1:21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  <c r="S1143" t="str">
        <f>IF(Table1[[#This Row],[Age]]&lt;=25,"Young",IF(Table1[[#This Row],[Age]]&lt;=50,"Adult","Senior"))</f>
        <v>Adult</v>
      </c>
      <c r="T1143" s="1">
        <f>Table1[[#This Row],[Purchase Amount (USD)]]</f>
        <v>33</v>
      </c>
      <c r="U1143">
        <f>IF(Table1[[#This Row],[Subscription Status]]="Yes",1,IF(Table1[[#This Row],[Subscription Status]]="No",0))</f>
        <v>0</v>
      </c>
    </row>
    <row r="1144" spans="1:21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  <c r="S1144" t="str">
        <f>IF(Table1[[#This Row],[Age]]&lt;=25,"Young",IF(Table1[[#This Row],[Age]]&lt;=50,"Adult","Senior"))</f>
        <v>Senior</v>
      </c>
      <c r="T1144" s="1">
        <f>Table1[[#This Row],[Purchase Amount (USD)]]</f>
        <v>76</v>
      </c>
      <c r="U1144">
        <f>IF(Table1[[#This Row],[Subscription Status]]="Yes",1,IF(Table1[[#This Row],[Subscription Status]]="No",0))</f>
        <v>0</v>
      </c>
    </row>
    <row r="1145" spans="1:21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  <c r="S1145" t="str">
        <f>IF(Table1[[#This Row],[Age]]&lt;=25,"Young",IF(Table1[[#This Row],[Age]]&lt;=50,"Adult","Senior"))</f>
        <v>Senior</v>
      </c>
      <c r="T1145" s="1">
        <f>Table1[[#This Row],[Purchase Amount (USD)]]</f>
        <v>23</v>
      </c>
      <c r="U1145">
        <f>IF(Table1[[#This Row],[Subscription Status]]="Yes",1,IF(Table1[[#This Row],[Subscription Status]]="No",0))</f>
        <v>0</v>
      </c>
    </row>
    <row r="1146" spans="1:21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  <c r="S1146" t="str">
        <f>IF(Table1[[#This Row],[Age]]&lt;=25,"Young",IF(Table1[[#This Row],[Age]]&lt;=50,"Adult","Senior"))</f>
        <v>Adult</v>
      </c>
      <c r="T1146" s="1">
        <f>Table1[[#This Row],[Purchase Amount (USD)]]</f>
        <v>54</v>
      </c>
      <c r="U1146">
        <f>IF(Table1[[#This Row],[Subscription Status]]="Yes",1,IF(Table1[[#This Row],[Subscription Status]]="No",0))</f>
        <v>0</v>
      </c>
    </row>
    <row r="1147" spans="1:21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  <c r="S1147" t="str">
        <f>IF(Table1[[#This Row],[Age]]&lt;=25,"Young",IF(Table1[[#This Row],[Age]]&lt;=50,"Adult","Senior"))</f>
        <v>Adult</v>
      </c>
      <c r="T1147" s="1">
        <f>Table1[[#This Row],[Purchase Amount (USD)]]</f>
        <v>89</v>
      </c>
      <c r="U1147">
        <f>IF(Table1[[#This Row],[Subscription Status]]="Yes",1,IF(Table1[[#This Row],[Subscription Status]]="No",0))</f>
        <v>0</v>
      </c>
    </row>
    <row r="1148" spans="1:21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  <c r="S1148" t="str">
        <f>IF(Table1[[#This Row],[Age]]&lt;=25,"Young",IF(Table1[[#This Row],[Age]]&lt;=50,"Adult","Senior"))</f>
        <v>Adult</v>
      </c>
      <c r="T1148" s="1">
        <f>Table1[[#This Row],[Purchase Amount (USD)]]</f>
        <v>38</v>
      </c>
      <c r="U1148">
        <f>IF(Table1[[#This Row],[Subscription Status]]="Yes",1,IF(Table1[[#This Row],[Subscription Status]]="No",0))</f>
        <v>0</v>
      </c>
    </row>
    <row r="1149" spans="1:21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  <c r="S1149" t="str">
        <f>IF(Table1[[#This Row],[Age]]&lt;=25,"Young",IF(Table1[[#This Row],[Age]]&lt;=50,"Adult","Senior"))</f>
        <v>Senior</v>
      </c>
      <c r="T1149" s="1">
        <f>Table1[[#This Row],[Purchase Amount (USD)]]</f>
        <v>36</v>
      </c>
      <c r="U1149">
        <f>IF(Table1[[#This Row],[Subscription Status]]="Yes",1,IF(Table1[[#This Row],[Subscription Status]]="No",0))</f>
        <v>0</v>
      </c>
    </row>
    <row r="1150" spans="1:21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  <c r="S1150" t="str">
        <f>IF(Table1[[#This Row],[Age]]&lt;=25,"Young",IF(Table1[[#This Row],[Age]]&lt;=50,"Adult","Senior"))</f>
        <v>Adult</v>
      </c>
      <c r="T1150" s="1">
        <f>Table1[[#This Row],[Purchase Amount (USD)]]</f>
        <v>66</v>
      </c>
      <c r="U1150">
        <f>IF(Table1[[#This Row],[Subscription Status]]="Yes",1,IF(Table1[[#This Row],[Subscription Status]]="No",0))</f>
        <v>0</v>
      </c>
    </row>
    <row r="1151" spans="1:21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  <c r="S1151" t="str">
        <f>IF(Table1[[#This Row],[Age]]&lt;=25,"Young",IF(Table1[[#This Row],[Age]]&lt;=50,"Adult","Senior"))</f>
        <v>Young</v>
      </c>
      <c r="T1151" s="1">
        <f>Table1[[#This Row],[Purchase Amount (USD)]]</f>
        <v>42</v>
      </c>
      <c r="U1151">
        <f>IF(Table1[[#This Row],[Subscription Status]]="Yes",1,IF(Table1[[#This Row],[Subscription Status]]="No",0))</f>
        <v>0</v>
      </c>
    </row>
    <row r="1152" spans="1:21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  <c r="S1152" t="str">
        <f>IF(Table1[[#This Row],[Age]]&lt;=25,"Young",IF(Table1[[#This Row],[Age]]&lt;=50,"Adult","Senior"))</f>
        <v>Adult</v>
      </c>
      <c r="T1152" s="1">
        <f>Table1[[#This Row],[Purchase Amount (USD)]]</f>
        <v>36</v>
      </c>
      <c r="U1152">
        <f>IF(Table1[[#This Row],[Subscription Status]]="Yes",1,IF(Table1[[#This Row],[Subscription Status]]="No",0))</f>
        <v>0</v>
      </c>
    </row>
    <row r="1153" spans="1:21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  <c r="S1153" t="str">
        <f>IF(Table1[[#This Row],[Age]]&lt;=25,"Young",IF(Table1[[#This Row],[Age]]&lt;=50,"Adult","Senior"))</f>
        <v>Adult</v>
      </c>
      <c r="T1153" s="1">
        <f>Table1[[#This Row],[Purchase Amount (USD)]]</f>
        <v>86</v>
      </c>
      <c r="U1153">
        <f>IF(Table1[[#This Row],[Subscription Status]]="Yes",1,IF(Table1[[#This Row],[Subscription Status]]="No",0))</f>
        <v>0</v>
      </c>
    </row>
    <row r="1154" spans="1:21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  <c r="S1154" t="str">
        <f>IF(Table1[[#This Row],[Age]]&lt;=25,"Young",IF(Table1[[#This Row],[Age]]&lt;=50,"Adult","Senior"))</f>
        <v>Senior</v>
      </c>
      <c r="T1154" s="1">
        <f>Table1[[#This Row],[Purchase Amount (USD)]]</f>
        <v>49</v>
      </c>
      <c r="U1154">
        <f>IF(Table1[[#This Row],[Subscription Status]]="Yes",1,IF(Table1[[#This Row],[Subscription Status]]="No",0))</f>
        <v>0</v>
      </c>
    </row>
    <row r="1155" spans="1:21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  <c r="S1155" t="str">
        <f>IF(Table1[[#This Row],[Age]]&lt;=25,"Young",IF(Table1[[#This Row],[Age]]&lt;=50,"Adult","Senior"))</f>
        <v>Adult</v>
      </c>
      <c r="T1155" s="1">
        <f>Table1[[#This Row],[Purchase Amount (USD)]]</f>
        <v>41</v>
      </c>
      <c r="U1155">
        <f>IF(Table1[[#This Row],[Subscription Status]]="Yes",1,IF(Table1[[#This Row],[Subscription Status]]="No",0))</f>
        <v>0</v>
      </c>
    </row>
    <row r="1156" spans="1:21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  <c r="S1156" t="str">
        <f>IF(Table1[[#This Row],[Age]]&lt;=25,"Young",IF(Table1[[#This Row],[Age]]&lt;=50,"Adult","Senior"))</f>
        <v>Adult</v>
      </c>
      <c r="T1156" s="1">
        <f>Table1[[#This Row],[Purchase Amount (USD)]]</f>
        <v>82</v>
      </c>
      <c r="U1156">
        <f>IF(Table1[[#This Row],[Subscription Status]]="Yes",1,IF(Table1[[#This Row],[Subscription Status]]="No",0))</f>
        <v>0</v>
      </c>
    </row>
    <row r="1157" spans="1:21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  <c r="S1157" t="str">
        <f>IF(Table1[[#This Row],[Age]]&lt;=25,"Young",IF(Table1[[#This Row],[Age]]&lt;=50,"Adult","Senior"))</f>
        <v>Senior</v>
      </c>
      <c r="T1157" s="1">
        <f>Table1[[#This Row],[Purchase Amount (USD)]]</f>
        <v>53</v>
      </c>
      <c r="U1157">
        <f>IF(Table1[[#This Row],[Subscription Status]]="Yes",1,IF(Table1[[#This Row],[Subscription Status]]="No",0))</f>
        <v>0</v>
      </c>
    </row>
    <row r="1158" spans="1:21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  <c r="S1158" t="str">
        <f>IF(Table1[[#This Row],[Age]]&lt;=25,"Young",IF(Table1[[#This Row],[Age]]&lt;=50,"Adult","Senior"))</f>
        <v>Young</v>
      </c>
      <c r="T1158" s="1">
        <f>Table1[[#This Row],[Purchase Amount (USD)]]</f>
        <v>21</v>
      </c>
      <c r="U1158">
        <f>IF(Table1[[#This Row],[Subscription Status]]="Yes",1,IF(Table1[[#This Row],[Subscription Status]]="No",0))</f>
        <v>0</v>
      </c>
    </row>
    <row r="1159" spans="1:21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  <c r="S1159" t="str">
        <f>IF(Table1[[#This Row],[Age]]&lt;=25,"Young",IF(Table1[[#This Row],[Age]]&lt;=50,"Adult","Senior"))</f>
        <v>Adult</v>
      </c>
      <c r="T1159" s="1">
        <f>Table1[[#This Row],[Purchase Amount (USD)]]</f>
        <v>66</v>
      </c>
      <c r="U1159">
        <f>IF(Table1[[#This Row],[Subscription Status]]="Yes",1,IF(Table1[[#This Row],[Subscription Status]]="No",0))</f>
        <v>0</v>
      </c>
    </row>
    <row r="1160" spans="1:21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  <c r="S1160" t="str">
        <f>IF(Table1[[#This Row],[Age]]&lt;=25,"Young",IF(Table1[[#This Row],[Age]]&lt;=50,"Adult","Senior"))</f>
        <v>Senior</v>
      </c>
      <c r="T1160" s="1">
        <f>Table1[[#This Row],[Purchase Amount (USD)]]</f>
        <v>89</v>
      </c>
      <c r="U1160">
        <f>IF(Table1[[#This Row],[Subscription Status]]="Yes",1,IF(Table1[[#This Row],[Subscription Status]]="No",0))</f>
        <v>0</v>
      </c>
    </row>
    <row r="1161" spans="1:21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  <c r="S1161" t="str">
        <f>IF(Table1[[#This Row],[Age]]&lt;=25,"Young",IF(Table1[[#This Row],[Age]]&lt;=50,"Adult","Senior"))</f>
        <v>Senior</v>
      </c>
      <c r="T1161" s="1">
        <f>Table1[[#This Row],[Purchase Amount (USD)]]</f>
        <v>55</v>
      </c>
      <c r="U1161">
        <f>IF(Table1[[#This Row],[Subscription Status]]="Yes",1,IF(Table1[[#This Row],[Subscription Status]]="No",0))</f>
        <v>0</v>
      </c>
    </row>
    <row r="1162" spans="1:21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  <c r="S1162" t="str">
        <f>IF(Table1[[#This Row],[Age]]&lt;=25,"Young",IF(Table1[[#This Row],[Age]]&lt;=50,"Adult","Senior"))</f>
        <v>Adult</v>
      </c>
      <c r="T1162" s="1">
        <f>Table1[[#This Row],[Purchase Amount (USD)]]</f>
        <v>42</v>
      </c>
      <c r="U1162">
        <f>IF(Table1[[#This Row],[Subscription Status]]="Yes",1,IF(Table1[[#This Row],[Subscription Status]]="No",0))</f>
        <v>0</v>
      </c>
    </row>
    <row r="1163" spans="1:21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  <c r="S1163" t="str">
        <f>IF(Table1[[#This Row],[Age]]&lt;=25,"Young",IF(Table1[[#This Row],[Age]]&lt;=50,"Adult","Senior"))</f>
        <v>Senior</v>
      </c>
      <c r="T1163" s="1">
        <f>Table1[[#This Row],[Purchase Amount (USD)]]</f>
        <v>52</v>
      </c>
      <c r="U1163">
        <f>IF(Table1[[#This Row],[Subscription Status]]="Yes",1,IF(Table1[[#This Row],[Subscription Status]]="No",0))</f>
        <v>0</v>
      </c>
    </row>
    <row r="1164" spans="1:21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  <c r="S1164" t="str">
        <f>IF(Table1[[#This Row],[Age]]&lt;=25,"Young",IF(Table1[[#This Row],[Age]]&lt;=50,"Adult","Senior"))</f>
        <v>Adult</v>
      </c>
      <c r="T1164" s="1">
        <f>Table1[[#This Row],[Purchase Amount (USD)]]</f>
        <v>92</v>
      </c>
      <c r="U1164">
        <f>IF(Table1[[#This Row],[Subscription Status]]="Yes",1,IF(Table1[[#This Row],[Subscription Status]]="No",0))</f>
        <v>0</v>
      </c>
    </row>
    <row r="1165" spans="1:21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  <c r="S1165" t="str">
        <f>IF(Table1[[#This Row],[Age]]&lt;=25,"Young",IF(Table1[[#This Row],[Age]]&lt;=50,"Adult","Senior"))</f>
        <v>Adult</v>
      </c>
      <c r="T1165" s="1">
        <f>Table1[[#This Row],[Purchase Amount (USD)]]</f>
        <v>56</v>
      </c>
      <c r="U1165">
        <f>IF(Table1[[#This Row],[Subscription Status]]="Yes",1,IF(Table1[[#This Row],[Subscription Status]]="No",0))</f>
        <v>0</v>
      </c>
    </row>
    <row r="1166" spans="1:21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  <c r="S1166" t="str">
        <f>IF(Table1[[#This Row],[Age]]&lt;=25,"Young",IF(Table1[[#This Row],[Age]]&lt;=50,"Adult","Senior"))</f>
        <v>Senior</v>
      </c>
      <c r="T1166" s="1">
        <f>Table1[[#This Row],[Purchase Amount (USD)]]</f>
        <v>96</v>
      </c>
      <c r="U1166">
        <f>IF(Table1[[#This Row],[Subscription Status]]="Yes",1,IF(Table1[[#This Row],[Subscription Status]]="No",0))</f>
        <v>0</v>
      </c>
    </row>
    <row r="1167" spans="1:21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  <c r="S1167" t="str">
        <f>IF(Table1[[#This Row],[Age]]&lt;=25,"Young",IF(Table1[[#This Row],[Age]]&lt;=50,"Adult","Senior"))</f>
        <v>Senior</v>
      </c>
      <c r="T1167" s="1">
        <f>Table1[[#This Row],[Purchase Amount (USD)]]</f>
        <v>64</v>
      </c>
      <c r="U1167">
        <f>IF(Table1[[#This Row],[Subscription Status]]="Yes",1,IF(Table1[[#This Row],[Subscription Status]]="No",0))</f>
        <v>0</v>
      </c>
    </row>
    <row r="1168" spans="1:21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  <c r="S1168" t="str">
        <f>IF(Table1[[#This Row],[Age]]&lt;=25,"Young",IF(Table1[[#This Row],[Age]]&lt;=50,"Adult","Senior"))</f>
        <v>Adult</v>
      </c>
      <c r="T1168" s="1">
        <f>Table1[[#This Row],[Purchase Amount (USD)]]</f>
        <v>48</v>
      </c>
      <c r="U1168">
        <f>IF(Table1[[#This Row],[Subscription Status]]="Yes",1,IF(Table1[[#This Row],[Subscription Status]]="No",0))</f>
        <v>0</v>
      </c>
    </row>
    <row r="1169" spans="1:21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  <c r="S1169" t="str">
        <f>IF(Table1[[#This Row],[Age]]&lt;=25,"Young",IF(Table1[[#This Row],[Age]]&lt;=50,"Adult","Senior"))</f>
        <v>Senior</v>
      </c>
      <c r="T1169" s="1">
        <f>Table1[[#This Row],[Purchase Amount (USD)]]</f>
        <v>83</v>
      </c>
      <c r="U1169">
        <f>IF(Table1[[#This Row],[Subscription Status]]="Yes",1,IF(Table1[[#This Row],[Subscription Status]]="No",0))</f>
        <v>0</v>
      </c>
    </row>
    <row r="1170" spans="1:21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  <c r="S1170" t="str">
        <f>IF(Table1[[#This Row],[Age]]&lt;=25,"Young",IF(Table1[[#This Row],[Age]]&lt;=50,"Adult","Senior"))</f>
        <v>Senior</v>
      </c>
      <c r="T1170" s="1">
        <f>Table1[[#This Row],[Purchase Amount (USD)]]</f>
        <v>91</v>
      </c>
      <c r="U1170">
        <f>IF(Table1[[#This Row],[Subscription Status]]="Yes",1,IF(Table1[[#This Row],[Subscription Status]]="No",0))</f>
        <v>0</v>
      </c>
    </row>
    <row r="1171" spans="1:21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  <c r="S1171" t="str">
        <f>IF(Table1[[#This Row],[Age]]&lt;=25,"Young",IF(Table1[[#This Row],[Age]]&lt;=50,"Adult","Senior"))</f>
        <v>Young</v>
      </c>
      <c r="T1171" s="1">
        <f>Table1[[#This Row],[Purchase Amount (USD)]]</f>
        <v>94</v>
      </c>
      <c r="U1171">
        <f>IF(Table1[[#This Row],[Subscription Status]]="Yes",1,IF(Table1[[#This Row],[Subscription Status]]="No",0))</f>
        <v>0</v>
      </c>
    </row>
    <row r="1172" spans="1:21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  <c r="S1172" t="str">
        <f>IF(Table1[[#This Row],[Age]]&lt;=25,"Young",IF(Table1[[#This Row],[Age]]&lt;=50,"Adult","Senior"))</f>
        <v>Senior</v>
      </c>
      <c r="T1172" s="1">
        <f>Table1[[#This Row],[Purchase Amount (USD)]]</f>
        <v>62</v>
      </c>
      <c r="U1172">
        <f>IF(Table1[[#This Row],[Subscription Status]]="Yes",1,IF(Table1[[#This Row],[Subscription Status]]="No",0))</f>
        <v>0</v>
      </c>
    </row>
    <row r="1173" spans="1:21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  <c r="S1173" t="str">
        <f>IF(Table1[[#This Row],[Age]]&lt;=25,"Young",IF(Table1[[#This Row],[Age]]&lt;=50,"Adult","Senior"))</f>
        <v>Adult</v>
      </c>
      <c r="T1173" s="1">
        <f>Table1[[#This Row],[Purchase Amount (USD)]]</f>
        <v>55</v>
      </c>
      <c r="U1173">
        <f>IF(Table1[[#This Row],[Subscription Status]]="Yes",1,IF(Table1[[#This Row],[Subscription Status]]="No",0))</f>
        <v>0</v>
      </c>
    </row>
    <row r="1174" spans="1:21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  <c r="S1174" t="str">
        <f>IF(Table1[[#This Row],[Age]]&lt;=25,"Young",IF(Table1[[#This Row],[Age]]&lt;=50,"Adult","Senior"))</f>
        <v>Senior</v>
      </c>
      <c r="T1174" s="1">
        <f>Table1[[#This Row],[Purchase Amount (USD)]]</f>
        <v>68</v>
      </c>
      <c r="U1174">
        <f>IF(Table1[[#This Row],[Subscription Status]]="Yes",1,IF(Table1[[#This Row],[Subscription Status]]="No",0))</f>
        <v>0</v>
      </c>
    </row>
    <row r="1175" spans="1:21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  <c r="S1175" t="str">
        <f>IF(Table1[[#This Row],[Age]]&lt;=25,"Young",IF(Table1[[#This Row],[Age]]&lt;=50,"Adult","Senior"))</f>
        <v>Adult</v>
      </c>
      <c r="T1175" s="1">
        <f>Table1[[#This Row],[Purchase Amount (USD)]]</f>
        <v>76</v>
      </c>
      <c r="U1175">
        <f>IF(Table1[[#This Row],[Subscription Status]]="Yes",1,IF(Table1[[#This Row],[Subscription Status]]="No",0))</f>
        <v>0</v>
      </c>
    </row>
    <row r="1176" spans="1:21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  <c r="S1176" t="str">
        <f>IF(Table1[[#This Row],[Age]]&lt;=25,"Young",IF(Table1[[#This Row],[Age]]&lt;=50,"Adult","Senior"))</f>
        <v>Adult</v>
      </c>
      <c r="T1176" s="1">
        <f>Table1[[#This Row],[Purchase Amount (USD)]]</f>
        <v>31</v>
      </c>
      <c r="U1176">
        <f>IF(Table1[[#This Row],[Subscription Status]]="Yes",1,IF(Table1[[#This Row],[Subscription Status]]="No",0))</f>
        <v>0</v>
      </c>
    </row>
    <row r="1177" spans="1:21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  <c r="S1177" t="str">
        <f>IF(Table1[[#This Row],[Age]]&lt;=25,"Young",IF(Table1[[#This Row],[Age]]&lt;=50,"Adult","Senior"))</f>
        <v>Adult</v>
      </c>
      <c r="T1177" s="1">
        <f>Table1[[#This Row],[Purchase Amount (USD)]]</f>
        <v>81</v>
      </c>
      <c r="U1177">
        <f>IF(Table1[[#This Row],[Subscription Status]]="Yes",1,IF(Table1[[#This Row],[Subscription Status]]="No",0))</f>
        <v>0</v>
      </c>
    </row>
    <row r="1178" spans="1:21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  <c r="S1178" t="str">
        <f>IF(Table1[[#This Row],[Age]]&lt;=25,"Young",IF(Table1[[#This Row],[Age]]&lt;=50,"Adult","Senior"))</f>
        <v>Adult</v>
      </c>
      <c r="T1178" s="1">
        <f>Table1[[#This Row],[Purchase Amount (USD)]]</f>
        <v>83</v>
      </c>
      <c r="U1178">
        <f>IF(Table1[[#This Row],[Subscription Status]]="Yes",1,IF(Table1[[#This Row],[Subscription Status]]="No",0))</f>
        <v>0</v>
      </c>
    </row>
    <row r="1179" spans="1:21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  <c r="S1179" t="str">
        <f>IF(Table1[[#This Row],[Age]]&lt;=25,"Young",IF(Table1[[#This Row],[Age]]&lt;=50,"Adult","Senior"))</f>
        <v>Senior</v>
      </c>
      <c r="T1179" s="1">
        <f>Table1[[#This Row],[Purchase Amount (USD)]]</f>
        <v>21</v>
      </c>
      <c r="U1179">
        <f>IF(Table1[[#This Row],[Subscription Status]]="Yes",1,IF(Table1[[#This Row],[Subscription Status]]="No",0))</f>
        <v>0</v>
      </c>
    </row>
    <row r="1180" spans="1:21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  <c r="S1180" t="str">
        <f>IF(Table1[[#This Row],[Age]]&lt;=25,"Young",IF(Table1[[#This Row],[Age]]&lt;=50,"Adult","Senior"))</f>
        <v>Adult</v>
      </c>
      <c r="T1180" s="1">
        <f>Table1[[#This Row],[Purchase Amount (USD)]]</f>
        <v>22</v>
      </c>
      <c r="U1180">
        <f>IF(Table1[[#This Row],[Subscription Status]]="Yes",1,IF(Table1[[#This Row],[Subscription Status]]="No",0))</f>
        <v>0</v>
      </c>
    </row>
    <row r="1181" spans="1:21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  <c r="S1181" t="str">
        <f>IF(Table1[[#This Row],[Age]]&lt;=25,"Young",IF(Table1[[#This Row],[Age]]&lt;=50,"Adult","Senior"))</f>
        <v>Young</v>
      </c>
      <c r="T1181" s="1">
        <f>Table1[[#This Row],[Purchase Amount (USD)]]</f>
        <v>33</v>
      </c>
      <c r="U1181">
        <f>IF(Table1[[#This Row],[Subscription Status]]="Yes",1,IF(Table1[[#This Row],[Subscription Status]]="No",0))</f>
        <v>0</v>
      </c>
    </row>
    <row r="1182" spans="1:21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  <c r="S1182" t="str">
        <f>IF(Table1[[#This Row],[Age]]&lt;=25,"Young",IF(Table1[[#This Row],[Age]]&lt;=50,"Adult","Senior"))</f>
        <v>Young</v>
      </c>
      <c r="T1182" s="1">
        <f>Table1[[#This Row],[Purchase Amount (USD)]]</f>
        <v>23</v>
      </c>
      <c r="U1182">
        <f>IF(Table1[[#This Row],[Subscription Status]]="Yes",1,IF(Table1[[#This Row],[Subscription Status]]="No",0))</f>
        <v>0</v>
      </c>
    </row>
    <row r="1183" spans="1:21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  <c r="S1183" t="str">
        <f>IF(Table1[[#This Row],[Age]]&lt;=25,"Young",IF(Table1[[#This Row],[Age]]&lt;=50,"Adult","Senior"))</f>
        <v>Senior</v>
      </c>
      <c r="T1183" s="1">
        <f>Table1[[#This Row],[Purchase Amount (USD)]]</f>
        <v>96</v>
      </c>
      <c r="U1183">
        <f>IF(Table1[[#This Row],[Subscription Status]]="Yes",1,IF(Table1[[#This Row],[Subscription Status]]="No",0))</f>
        <v>0</v>
      </c>
    </row>
    <row r="1184" spans="1:21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  <c r="S1184" t="str">
        <f>IF(Table1[[#This Row],[Age]]&lt;=25,"Young",IF(Table1[[#This Row],[Age]]&lt;=50,"Adult","Senior"))</f>
        <v>Adult</v>
      </c>
      <c r="T1184" s="1">
        <f>Table1[[#This Row],[Purchase Amount (USD)]]</f>
        <v>21</v>
      </c>
      <c r="U1184">
        <f>IF(Table1[[#This Row],[Subscription Status]]="Yes",1,IF(Table1[[#This Row],[Subscription Status]]="No",0))</f>
        <v>0</v>
      </c>
    </row>
    <row r="1185" spans="1:21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  <c r="S1185" t="str">
        <f>IF(Table1[[#This Row],[Age]]&lt;=25,"Young",IF(Table1[[#This Row],[Age]]&lt;=50,"Adult","Senior"))</f>
        <v>Young</v>
      </c>
      <c r="T1185" s="1">
        <f>Table1[[#This Row],[Purchase Amount (USD)]]</f>
        <v>39</v>
      </c>
      <c r="U1185">
        <f>IF(Table1[[#This Row],[Subscription Status]]="Yes",1,IF(Table1[[#This Row],[Subscription Status]]="No",0))</f>
        <v>0</v>
      </c>
    </row>
    <row r="1186" spans="1:21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  <c r="S1186" t="str">
        <f>IF(Table1[[#This Row],[Age]]&lt;=25,"Young",IF(Table1[[#This Row],[Age]]&lt;=50,"Adult","Senior"))</f>
        <v>Senior</v>
      </c>
      <c r="T1186" s="1">
        <f>Table1[[#This Row],[Purchase Amount (USD)]]</f>
        <v>73</v>
      </c>
      <c r="U1186">
        <f>IF(Table1[[#This Row],[Subscription Status]]="Yes",1,IF(Table1[[#This Row],[Subscription Status]]="No",0))</f>
        <v>0</v>
      </c>
    </row>
    <row r="1187" spans="1:21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  <c r="S1187" t="str">
        <f>IF(Table1[[#This Row],[Age]]&lt;=25,"Young",IF(Table1[[#This Row],[Age]]&lt;=50,"Adult","Senior"))</f>
        <v>Adult</v>
      </c>
      <c r="T1187" s="1">
        <f>Table1[[#This Row],[Purchase Amount (USD)]]</f>
        <v>64</v>
      </c>
      <c r="U1187">
        <f>IF(Table1[[#This Row],[Subscription Status]]="Yes",1,IF(Table1[[#This Row],[Subscription Status]]="No",0))</f>
        <v>0</v>
      </c>
    </row>
    <row r="1188" spans="1:21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  <c r="S1188" t="str">
        <f>IF(Table1[[#This Row],[Age]]&lt;=25,"Young",IF(Table1[[#This Row],[Age]]&lt;=50,"Adult","Senior"))</f>
        <v>Senior</v>
      </c>
      <c r="T1188" s="1">
        <f>Table1[[#This Row],[Purchase Amount (USD)]]</f>
        <v>68</v>
      </c>
      <c r="U1188">
        <f>IF(Table1[[#This Row],[Subscription Status]]="Yes",1,IF(Table1[[#This Row],[Subscription Status]]="No",0))</f>
        <v>0</v>
      </c>
    </row>
    <row r="1189" spans="1:21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  <c r="S1189" t="str">
        <f>IF(Table1[[#This Row],[Age]]&lt;=25,"Young",IF(Table1[[#This Row],[Age]]&lt;=50,"Adult","Senior"))</f>
        <v>Senior</v>
      </c>
      <c r="T1189" s="1">
        <f>Table1[[#This Row],[Purchase Amount (USD)]]</f>
        <v>89</v>
      </c>
      <c r="U1189">
        <f>IF(Table1[[#This Row],[Subscription Status]]="Yes",1,IF(Table1[[#This Row],[Subscription Status]]="No",0))</f>
        <v>0</v>
      </c>
    </row>
    <row r="1190" spans="1:21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  <c r="S1190" t="str">
        <f>IF(Table1[[#This Row],[Age]]&lt;=25,"Young",IF(Table1[[#This Row],[Age]]&lt;=50,"Adult","Senior"))</f>
        <v>Senior</v>
      </c>
      <c r="T1190" s="1">
        <f>Table1[[#This Row],[Purchase Amount (USD)]]</f>
        <v>29</v>
      </c>
      <c r="U1190">
        <f>IF(Table1[[#This Row],[Subscription Status]]="Yes",1,IF(Table1[[#This Row],[Subscription Status]]="No",0))</f>
        <v>0</v>
      </c>
    </row>
    <row r="1191" spans="1:21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  <c r="S1191" t="str">
        <f>IF(Table1[[#This Row],[Age]]&lt;=25,"Young",IF(Table1[[#This Row],[Age]]&lt;=50,"Adult","Senior"))</f>
        <v>Senior</v>
      </c>
      <c r="T1191" s="1">
        <f>Table1[[#This Row],[Purchase Amount (USD)]]</f>
        <v>97</v>
      </c>
      <c r="U1191">
        <f>IF(Table1[[#This Row],[Subscription Status]]="Yes",1,IF(Table1[[#This Row],[Subscription Status]]="No",0))</f>
        <v>0</v>
      </c>
    </row>
    <row r="1192" spans="1:21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  <c r="S1192" t="str">
        <f>IF(Table1[[#This Row],[Age]]&lt;=25,"Young",IF(Table1[[#This Row],[Age]]&lt;=50,"Adult","Senior"))</f>
        <v>Senior</v>
      </c>
      <c r="T1192" s="1">
        <f>Table1[[#This Row],[Purchase Amount (USD)]]</f>
        <v>45</v>
      </c>
      <c r="U1192">
        <f>IF(Table1[[#This Row],[Subscription Status]]="Yes",1,IF(Table1[[#This Row],[Subscription Status]]="No",0))</f>
        <v>0</v>
      </c>
    </row>
    <row r="1193" spans="1:21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  <c r="S1193" t="str">
        <f>IF(Table1[[#This Row],[Age]]&lt;=25,"Young",IF(Table1[[#This Row],[Age]]&lt;=50,"Adult","Senior"))</f>
        <v>Adult</v>
      </c>
      <c r="T1193" s="1">
        <f>Table1[[#This Row],[Purchase Amount (USD)]]</f>
        <v>70</v>
      </c>
      <c r="U1193">
        <f>IF(Table1[[#This Row],[Subscription Status]]="Yes",1,IF(Table1[[#This Row],[Subscription Status]]="No",0))</f>
        <v>0</v>
      </c>
    </row>
    <row r="1194" spans="1:21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  <c r="S1194" t="str">
        <f>IF(Table1[[#This Row],[Age]]&lt;=25,"Young",IF(Table1[[#This Row],[Age]]&lt;=50,"Adult","Senior"))</f>
        <v>Adult</v>
      </c>
      <c r="T1194" s="1">
        <f>Table1[[#This Row],[Purchase Amount (USD)]]</f>
        <v>56</v>
      </c>
      <c r="U1194">
        <f>IF(Table1[[#This Row],[Subscription Status]]="Yes",1,IF(Table1[[#This Row],[Subscription Status]]="No",0))</f>
        <v>0</v>
      </c>
    </row>
    <row r="1195" spans="1:21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  <c r="S1195" t="str">
        <f>IF(Table1[[#This Row],[Age]]&lt;=25,"Young",IF(Table1[[#This Row],[Age]]&lt;=50,"Adult","Senior"))</f>
        <v>Adult</v>
      </c>
      <c r="T1195" s="1">
        <f>Table1[[#This Row],[Purchase Amount (USD)]]</f>
        <v>55</v>
      </c>
      <c r="U1195">
        <f>IF(Table1[[#This Row],[Subscription Status]]="Yes",1,IF(Table1[[#This Row],[Subscription Status]]="No",0))</f>
        <v>0</v>
      </c>
    </row>
    <row r="1196" spans="1:21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  <c r="S1196" t="str">
        <f>IF(Table1[[#This Row],[Age]]&lt;=25,"Young",IF(Table1[[#This Row],[Age]]&lt;=50,"Adult","Senior"))</f>
        <v>Adult</v>
      </c>
      <c r="T1196" s="1">
        <f>Table1[[#This Row],[Purchase Amount (USD)]]</f>
        <v>46</v>
      </c>
      <c r="U1196">
        <f>IF(Table1[[#This Row],[Subscription Status]]="Yes",1,IF(Table1[[#This Row],[Subscription Status]]="No",0))</f>
        <v>0</v>
      </c>
    </row>
    <row r="1197" spans="1:21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  <c r="S1197" t="str">
        <f>IF(Table1[[#This Row],[Age]]&lt;=25,"Young",IF(Table1[[#This Row],[Age]]&lt;=50,"Adult","Senior"))</f>
        <v>Young</v>
      </c>
      <c r="T1197" s="1">
        <f>Table1[[#This Row],[Purchase Amount (USD)]]</f>
        <v>95</v>
      </c>
      <c r="U1197">
        <f>IF(Table1[[#This Row],[Subscription Status]]="Yes",1,IF(Table1[[#This Row],[Subscription Status]]="No",0))</f>
        <v>0</v>
      </c>
    </row>
    <row r="1198" spans="1:21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  <c r="S1198" t="str">
        <f>IF(Table1[[#This Row],[Age]]&lt;=25,"Young",IF(Table1[[#This Row],[Age]]&lt;=50,"Adult","Senior"))</f>
        <v>Adult</v>
      </c>
      <c r="T1198" s="1">
        <f>Table1[[#This Row],[Purchase Amount (USD)]]</f>
        <v>88</v>
      </c>
      <c r="U1198">
        <f>IF(Table1[[#This Row],[Subscription Status]]="Yes",1,IF(Table1[[#This Row],[Subscription Status]]="No",0))</f>
        <v>0</v>
      </c>
    </row>
    <row r="1199" spans="1:21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  <c r="S1199" t="str">
        <f>IF(Table1[[#This Row],[Age]]&lt;=25,"Young",IF(Table1[[#This Row],[Age]]&lt;=50,"Adult","Senior"))</f>
        <v>Senior</v>
      </c>
      <c r="T1199" s="1">
        <f>Table1[[#This Row],[Purchase Amount (USD)]]</f>
        <v>92</v>
      </c>
      <c r="U1199">
        <f>IF(Table1[[#This Row],[Subscription Status]]="Yes",1,IF(Table1[[#This Row],[Subscription Status]]="No",0))</f>
        <v>0</v>
      </c>
    </row>
    <row r="1200" spans="1:21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  <c r="S1200" t="str">
        <f>IF(Table1[[#This Row],[Age]]&lt;=25,"Young",IF(Table1[[#This Row],[Age]]&lt;=50,"Adult","Senior"))</f>
        <v>Adult</v>
      </c>
      <c r="T1200" s="1">
        <f>Table1[[#This Row],[Purchase Amount (USD)]]</f>
        <v>49</v>
      </c>
      <c r="U1200">
        <f>IF(Table1[[#This Row],[Subscription Status]]="Yes",1,IF(Table1[[#This Row],[Subscription Status]]="No",0))</f>
        <v>0</v>
      </c>
    </row>
    <row r="1201" spans="1:21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  <c r="S1201" t="str">
        <f>IF(Table1[[#This Row],[Age]]&lt;=25,"Young",IF(Table1[[#This Row],[Age]]&lt;=50,"Adult","Senior"))</f>
        <v>Adult</v>
      </c>
      <c r="T1201" s="1">
        <f>Table1[[#This Row],[Purchase Amount (USD)]]</f>
        <v>89</v>
      </c>
      <c r="U1201">
        <f>IF(Table1[[#This Row],[Subscription Status]]="Yes",1,IF(Table1[[#This Row],[Subscription Status]]="No",0))</f>
        <v>0</v>
      </c>
    </row>
    <row r="1202" spans="1:21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  <c r="S1202" t="str">
        <f>IF(Table1[[#This Row],[Age]]&lt;=25,"Young",IF(Table1[[#This Row],[Age]]&lt;=50,"Adult","Senior"))</f>
        <v>Adult</v>
      </c>
      <c r="T1202" s="1">
        <f>Table1[[#This Row],[Purchase Amount (USD)]]</f>
        <v>22</v>
      </c>
      <c r="U1202">
        <f>IF(Table1[[#This Row],[Subscription Status]]="Yes",1,IF(Table1[[#This Row],[Subscription Status]]="No",0))</f>
        <v>0</v>
      </c>
    </row>
    <row r="1203" spans="1:21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  <c r="S1203" t="str">
        <f>IF(Table1[[#This Row],[Age]]&lt;=25,"Young",IF(Table1[[#This Row],[Age]]&lt;=50,"Adult","Senior"))</f>
        <v>Adult</v>
      </c>
      <c r="T1203" s="1">
        <f>Table1[[#This Row],[Purchase Amount (USD)]]</f>
        <v>61</v>
      </c>
      <c r="U1203">
        <f>IF(Table1[[#This Row],[Subscription Status]]="Yes",1,IF(Table1[[#This Row],[Subscription Status]]="No",0))</f>
        <v>0</v>
      </c>
    </row>
    <row r="1204" spans="1:21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  <c r="S1204" t="str">
        <f>IF(Table1[[#This Row],[Age]]&lt;=25,"Young",IF(Table1[[#This Row],[Age]]&lt;=50,"Adult","Senior"))</f>
        <v>Adult</v>
      </c>
      <c r="T1204" s="1">
        <f>Table1[[#This Row],[Purchase Amount (USD)]]</f>
        <v>29</v>
      </c>
      <c r="U1204">
        <f>IF(Table1[[#This Row],[Subscription Status]]="Yes",1,IF(Table1[[#This Row],[Subscription Status]]="No",0))</f>
        <v>0</v>
      </c>
    </row>
    <row r="1205" spans="1:21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  <c r="S1205" t="str">
        <f>IF(Table1[[#This Row],[Age]]&lt;=25,"Young",IF(Table1[[#This Row],[Age]]&lt;=50,"Adult","Senior"))</f>
        <v>Adult</v>
      </c>
      <c r="T1205" s="1">
        <f>Table1[[#This Row],[Purchase Amount (USD)]]</f>
        <v>82</v>
      </c>
      <c r="U1205">
        <f>IF(Table1[[#This Row],[Subscription Status]]="Yes",1,IF(Table1[[#This Row],[Subscription Status]]="No",0))</f>
        <v>0</v>
      </c>
    </row>
    <row r="1206" spans="1:21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  <c r="S1206" t="str">
        <f>IF(Table1[[#This Row],[Age]]&lt;=25,"Young",IF(Table1[[#This Row],[Age]]&lt;=50,"Adult","Senior"))</f>
        <v>Senior</v>
      </c>
      <c r="T1206" s="1">
        <f>Table1[[#This Row],[Purchase Amount (USD)]]</f>
        <v>94</v>
      </c>
      <c r="U1206">
        <f>IF(Table1[[#This Row],[Subscription Status]]="Yes",1,IF(Table1[[#This Row],[Subscription Status]]="No",0))</f>
        <v>0</v>
      </c>
    </row>
    <row r="1207" spans="1:21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  <c r="S1207" t="str">
        <f>IF(Table1[[#This Row],[Age]]&lt;=25,"Young",IF(Table1[[#This Row],[Age]]&lt;=50,"Adult","Senior"))</f>
        <v>Senior</v>
      </c>
      <c r="T1207" s="1">
        <f>Table1[[#This Row],[Purchase Amount (USD)]]</f>
        <v>99</v>
      </c>
      <c r="U1207">
        <f>IF(Table1[[#This Row],[Subscription Status]]="Yes",1,IF(Table1[[#This Row],[Subscription Status]]="No",0))</f>
        <v>0</v>
      </c>
    </row>
    <row r="1208" spans="1:21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  <c r="S1208" t="str">
        <f>IF(Table1[[#This Row],[Age]]&lt;=25,"Young",IF(Table1[[#This Row],[Age]]&lt;=50,"Adult","Senior"))</f>
        <v>Young</v>
      </c>
      <c r="T1208" s="1">
        <f>Table1[[#This Row],[Purchase Amount (USD)]]</f>
        <v>59</v>
      </c>
      <c r="U1208">
        <f>IF(Table1[[#This Row],[Subscription Status]]="Yes",1,IF(Table1[[#This Row],[Subscription Status]]="No",0))</f>
        <v>0</v>
      </c>
    </row>
    <row r="1209" spans="1:21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  <c r="S1209" t="str">
        <f>IF(Table1[[#This Row],[Age]]&lt;=25,"Young",IF(Table1[[#This Row],[Age]]&lt;=50,"Adult","Senior"))</f>
        <v>Senior</v>
      </c>
      <c r="T1209" s="1">
        <f>Table1[[#This Row],[Purchase Amount (USD)]]</f>
        <v>90</v>
      </c>
      <c r="U1209">
        <f>IF(Table1[[#This Row],[Subscription Status]]="Yes",1,IF(Table1[[#This Row],[Subscription Status]]="No",0))</f>
        <v>0</v>
      </c>
    </row>
    <row r="1210" spans="1:21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  <c r="S1210" t="str">
        <f>IF(Table1[[#This Row],[Age]]&lt;=25,"Young",IF(Table1[[#This Row],[Age]]&lt;=50,"Adult","Senior"))</f>
        <v>Young</v>
      </c>
      <c r="T1210" s="1">
        <f>Table1[[#This Row],[Purchase Amount (USD)]]</f>
        <v>100</v>
      </c>
      <c r="U1210">
        <f>IF(Table1[[#This Row],[Subscription Status]]="Yes",1,IF(Table1[[#This Row],[Subscription Status]]="No",0))</f>
        <v>0</v>
      </c>
    </row>
    <row r="1211" spans="1:21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  <c r="S1211" t="str">
        <f>IF(Table1[[#This Row],[Age]]&lt;=25,"Young",IF(Table1[[#This Row],[Age]]&lt;=50,"Adult","Senior"))</f>
        <v>Adult</v>
      </c>
      <c r="T1211" s="1">
        <f>Table1[[#This Row],[Purchase Amount (USD)]]</f>
        <v>62</v>
      </c>
      <c r="U1211">
        <f>IF(Table1[[#This Row],[Subscription Status]]="Yes",1,IF(Table1[[#This Row],[Subscription Status]]="No",0))</f>
        <v>0</v>
      </c>
    </row>
    <row r="1212" spans="1:21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  <c r="S1212" t="str">
        <f>IF(Table1[[#This Row],[Age]]&lt;=25,"Young",IF(Table1[[#This Row],[Age]]&lt;=50,"Adult","Senior"))</f>
        <v>Adult</v>
      </c>
      <c r="T1212" s="1">
        <f>Table1[[#This Row],[Purchase Amount (USD)]]</f>
        <v>78</v>
      </c>
      <c r="U1212">
        <f>IF(Table1[[#This Row],[Subscription Status]]="Yes",1,IF(Table1[[#This Row],[Subscription Status]]="No",0))</f>
        <v>0</v>
      </c>
    </row>
    <row r="1213" spans="1:21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  <c r="S1213" t="str">
        <f>IF(Table1[[#This Row],[Age]]&lt;=25,"Young",IF(Table1[[#This Row],[Age]]&lt;=50,"Adult","Senior"))</f>
        <v>Young</v>
      </c>
      <c r="T1213" s="1">
        <f>Table1[[#This Row],[Purchase Amount (USD)]]</f>
        <v>94</v>
      </c>
      <c r="U1213">
        <f>IF(Table1[[#This Row],[Subscription Status]]="Yes",1,IF(Table1[[#This Row],[Subscription Status]]="No",0))</f>
        <v>0</v>
      </c>
    </row>
    <row r="1214" spans="1:21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  <c r="S1214" t="str">
        <f>IF(Table1[[#This Row],[Age]]&lt;=25,"Young",IF(Table1[[#This Row],[Age]]&lt;=50,"Adult","Senior"))</f>
        <v>Adult</v>
      </c>
      <c r="T1214" s="1">
        <f>Table1[[#This Row],[Purchase Amount (USD)]]</f>
        <v>74</v>
      </c>
      <c r="U1214">
        <f>IF(Table1[[#This Row],[Subscription Status]]="Yes",1,IF(Table1[[#This Row],[Subscription Status]]="No",0))</f>
        <v>0</v>
      </c>
    </row>
    <row r="1215" spans="1:21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  <c r="S1215" t="str">
        <f>IF(Table1[[#This Row],[Age]]&lt;=25,"Young",IF(Table1[[#This Row],[Age]]&lt;=50,"Adult","Senior"))</f>
        <v>Senior</v>
      </c>
      <c r="T1215" s="1">
        <f>Table1[[#This Row],[Purchase Amount (USD)]]</f>
        <v>52</v>
      </c>
      <c r="U1215">
        <f>IF(Table1[[#This Row],[Subscription Status]]="Yes",1,IF(Table1[[#This Row],[Subscription Status]]="No",0))</f>
        <v>0</v>
      </c>
    </row>
    <row r="1216" spans="1:21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  <c r="S1216" t="str">
        <f>IF(Table1[[#This Row],[Age]]&lt;=25,"Young",IF(Table1[[#This Row],[Age]]&lt;=50,"Adult","Senior"))</f>
        <v>Adult</v>
      </c>
      <c r="T1216" s="1">
        <f>Table1[[#This Row],[Purchase Amount (USD)]]</f>
        <v>81</v>
      </c>
      <c r="U1216">
        <f>IF(Table1[[#This Row],[Subscription Status]]="Yes",1,IF(Table1[[#This Row],[Subscription Status]]="No",0))</f>
        <v>0</v>
      </c>
    </row>
    <row r="1217" spans="1:21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  <c r="S1217" t="str">
        <f>IF(Table1[[#This Row],[Age]]&lt;=25,"Young",IF(Table1[[#This Row],[Age]]&lt;=50,"Adult","Senior"))</f>
        <v>Senior</v>
      </c>
      <c r="T1217" s="1">
        <f>Table1[[#This Row],[Purchase Amount (USD)]]</f>
        <v>20</v>
      </c>
      <c r="U1217">
        <f>IF(Table1[[#This Row],[Subscription Status]]="Yes",1,IF(Table1[[#This Row],[Subscription Status]]="No",0))</f>
        <v>0</v>
      </c>
    </row>
    <row r="1218" spans="1:21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  <c r="S1218" t="str">
        <f>IF(Table1[[#This Row],[Age]]&lt;=25,"Young",IF(Table1[[#This Row],[Age]]&lt;=50,"Adult","Senior"))</f>
        <v>Senior</v>
      </c>
      <c r="T1218" s="1">
        <f>Table1[[#This Row],[Purchase Amount (USD)]]</f>
        <v>32</v>
      </c>
      <c r="U1218">
        <f>IF(Table1[[#This Row],[Subscription Status]]="Yes",1,IF(Table1[[#This Row],[Subscription Status]]="No",0))</f>
        <v>0</v>
      </c>
    </row>
    <row r="1219" spans="1:21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  <c r="S1219" t="str">
        <f>IF(Table1[[#This Row],[Age]]&lt;=25,"Young",IF(Table1[[#This Row],[Age]]&lt;=50,"Adult","Senior"))</f>
        <v>Adult</v>
      </c>
      <c r="T1219" s="1">
        <f>Table1[[#This Row],[Purchase Amount (USD)]]</f>
        <v>63</v>
      </c>
      <c r="U1219">
        <f>IF(Table1[[#This Row],[Subscription Status]]="Yes",1,IF(Table1[[#This Row],[Subscription Status]]="No",0))</f>
        <v>0</v>
      </c>
    </row>
    <row r="1220" spans="1:21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  <c r="S1220" t="str">
        <f>IF(Table1[[#This Row],[Age]]&lt;=25,"Young",IF(Table1[[#This Row],[Age]]&lt;=50,"Adult","Senior"))</f>
        <v>Senior</v>
      </c>
      <c r="T1220" s="1">
        <f>Table1[[#This Row],[Purchase Amount (USD)]]</f>
        <v>79</v>
      </c>
      <c r="U1220">
        <f>IF(Table1[[#This Row],[Subscription Status]]="Yes",1,IF(Table1[[#This Row],[Subscription Status]]="No",0))</f>
        <v>0</v>
      </c>
    </row>
    <row r="1221" spans="1:21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  <c r="S1221" t="str">
        <f>IF(Table1[[#This Row],[Age]]&lt;=25,"Young",IF(Table1[[#This Row],[Age]]&lt;=50,"Adult","Senior"))</f>
        <v>Young</v>
      </c>
      <c r="T1221" s="1">
        <f>Table1[[#This Row],[Purchase Amount (USD)]]</f>
        <v>23</v>
      </c>
      <c r="U1221">
        <f>IF(Table1[[#This Row],[Subscription Status]]="Yes",1,IF(Table1[[#This Row],[Subscription Status]]="No",0))</f>
        <v>0</v>
      </c>
    </row>
    <row r="1222" spans="1:21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  <c r="S1222" t="str">
        <f>IF(Table1[[#This Row],[Age]]&lt;=25,"Young",IF(Table1[[#This Row],[Age]]&lt;=50,"Adult","Senior"))</f>
        <v>Senior</v>
      </c>
      <c r="T1222" s="1">
        <f>Table1[[#This Row],[Purchase Amount (USD)]]</f>
        <v>64</v>
      </c>
      <c r="U1222">
        <f>IF(Table1[[#This Row],[Subscription Status]]="Yes",1,IF(Table1[[#This Row],[Subscription Status]]="No",0))</f>
        <v>0</v>
      </c>
    </row>
    <row r="1223" spans="1:21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  <c r="S1223" t="str">
        <f>IF(Table1[[#This Row],[Age]]&lt;=25,"Young",IF(Table1[[#This Row],[Age]]&lt;=50,"Adult","Senior"))</f>
        <v>Young</v>
      </c>
      <c r="T1223" s="1">
        <f>Table1[[#This Row],[Purchase Amount (USD)]]</f>
        <v>69</v>
      </c>
      <c r="U1223">
        <f>IF(Table1[[#This Row],[Subscription Status]]="Yes",1,IF(Table1[[#This Row],[Subscription Status]]="No",0))</f>
        <v>0</v>
      </c>
    </row>
    <row r="1224" spans="1:21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  <c r="S1224" t="str">
        <f>IF(Table1[[#This Row],[Age]]&lt;=25,"Young",IF(Table1[[#This Row],[Age]]&lt;=50,"Adult","Senior"))</f>
        <v>Senior</v>
      </c>
      <c r="T1224" s="1">
        <f>Table1[[#This Row],[Purchase Amount (USD)]]</f>
        <v>69</v>
      </c>
      <c r="U1224">
        <f>IF(Table1[[#This Row],[Subscription Status]]="Yes",1,IF(Table1[[#This Row],[Subscription Status]]="No",0))</f>
        <v>0</v>
      </c>
    </row>
    <row r="1225" spans="1:21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  <c r="S1225" t="str">
        <f>IF(Table1[[#This Row],[Age]]&lt;=25,"Young",IF(Table1[[#This Row],[Age]]&lt;=50,"Adult","Senior"))</f>
        <v>Senior</v>
      </c>
      <c r="T1225" s="1">
        <f>Table1[[#This Row],[Purchase Amount (USD)]]</f>
        <v>24</v>
      </c>
      <c r="U1225">
        <f>IF(Table1[[#This Row],[Subscription Status]]="Yes",1,IF(Table1[[#This Row],[Subscription Status]]="No",0))</f>
        <v>0</v>
      </c>
    </row>
    <row r="1226" spans="1:21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  <c r="S1226" t="str">
        <f>IF(Table1[[#This Row],[Age]]&lt;=25,"Young",IF(Table1[[#This Row],[Age]]&lt;=50,"Adult","Senior"))</f>
        <v>Senior</v>
      </c>
      <c r="T1226" s="1">
        <f>Table1[[#This Row],[Purchase Amount (USD)]]</f>
        <v>50</v>
      </c>
      <c r="U1226">
        <f>IF(Table1[[#This Row],[Subscription Status]]="Yes",1,IF(Table1[[#This Row],[Subscription Status]]="No",0))</f>
        <v>0</v>
      </c>
    </row>
    <row r="1227" spans="1:21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  <c r="S1227" t="str">
        <f>IF(Table1[[#This Row],[Age]]&lt;=25,"Young",IF(Table1[[#This Row],[Age]]&lt;=50,"Adult","Senior"))</f>
        <v>Adult</v>
      </c>
      <c r="T1227" s="1">
        <f>Table1[[#This Row],[Purchase Amount (USD)]]</f>
        <v>97</v>
      </c>
      <c r="U1227">
        <f>IF(Table1[[#This Row],[Subscription Status]]="Yes",1,IF(Table1[[#This Row],[Subscription Status]]="No",0))</f>
        <v>0</v>
      </c>
    </row>
    <row r="1228" spans="1:21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  <c r="S1228" t="str">
        <f>IF(Table1[[#This Row],[Age]]&lt;=25,"Young",IF(Table1[[#This Row],[Age]]&lt;=50,"Adult","Senior"))</f>
        <v>Senior</v>
      </c>
      <c r="T1228" s="1">
        <f>Table1[[#This Row],[Purchase Amount (USD)]]</f>
        <v>91</v>
      </c>
      <c r="U1228">
        <f>IF(Table1[[#This Row],[Subscription Status]]="Yes",1,IF(Table1[[#This Row],[Subscription Status]]="No",0))</f>
        <v>0</v>
      </c>
    </row>
    <row r="1229" spans="1:21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  <c r="S1229" t="str">
        <f>IF(Table1[[#This Row],[Age]]&lt;=25,"Young",IF(Table1[[#This Row],[Age]]&lt;=50,"Adult","Senior"))</f>
        <v>Adult</v>
      </c>
      <c r="T1229" s="1">
        <f>Table1[[#This Row],[Purchase Amount (USD)]]</f>
        <v>37</v>
      </c>
      <c r="U1229">
        <f>IF(Table1[[#This Row],[Subscription Status]]="Yes",1,IF(Table1[[#This Row],[Subscription Status]]="No",0))</f>
        <v>0</v>
      </c>
    </row>
    <row r="1230" spans="1:21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  <c r="S1230" t="str">
        <f>IF(Table1[[#This Row],[Age]]&lt;=25,"Young",IF(Table1[[#This Row],[Age]]&lt;=50,"Adult","Senior"))</f>
        <v>Senior</v>
      </c>
      <c r="T1230" s="1">
        <f>Table1[[#This Row],[Purchase Amount (USD)]]</f>
        <v>55</v>
      </c>
      <c r="U1230">
        <f>IF(Table1[[#This Row],[Subscription Status]]="Yes",1,IF(Table1[[#This Row],[Subscription Status]]="No",0))</f>
        <v>0</v>
      </c>
    </row>
    <row r="1231" spans="1:21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  <c r="S1231" t="str">
        <f>IF(Table1[[#This Row],[Age]]&lt;=25,"Young",IF(Table1[[#This Row],[Age]]&lt;=50,"Adult","Senior"))</f>
        <v>Adult</v>
      </c>
      <c r="T1231" s="1">
        <f>Table1[[#This Row],[Purchase Amount (USD)]]</f>
        <v>52</v>
      </c>
      <c r="U1231">
        <f>IF(Table1[[#This Row],[Subscription Status]]="Yes",1,IF(Table1[[#This Row],[Subscription Status]]="No",0))</f>
        <v>0</v>
      </c>
    </row>
    <row r="1232" spans="1:21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  <c r="S1232" t="str">
        <f>IF(Table1[[#This Row],[Age]]&lt;=25,"Young",IF(Table1[[#This Row],[Age]]&lt;=50,"Adult","Senior"))</f>
        <v>Young</v>
      </c>
      <c r="T1232" s="1">
        <f>Table1[[#This Row],[Purchase Amount (USD)]]</f>
        <v>80</v>
      </c>
      <c r="U1232">
        <f>IF(Table1[[#This Row],[Subscription Status]]="Yes",1,IF(Table1[[#This Row],[Subscription Status]]="No",0))</f>
        <v>0</v>
      </c>
    </row>
    <row r="1233" spans="1:21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  <c r="S1233" t="str">
        <f>IF(Table1[[#This Row],[Age]]&lt;=25,"Young",IF(Table1[[#This Row],[Age]]&lt;=50,"Adult","Senior"))</f>
        <v>Senior</v>
      </c>
      <c r="T1233" s="1">
        <f>Table1[[#This Row],[Purchase Amount (USD)]]</f>
        <v>79</v>
      </c>
      <c r="U1233">
        <f>IF(Table1[[#This Row],[Subscription Status]]="Yes",1,IF(Table1[[#This Row],[Subscription Status]]="No",0))</f>
        <v>0</v>
      </c>
    </row>
    <row r="1234" spans="1:21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  <c r="S1234" t="str">
        <f>IF(Table1[[#This Row],[Age]]&lt;=25,"Young",IF(Table1[[#This Row],[Age]]&lt;=50,"Adult","Senior"))</f>
        <v>Senior</v>
      </c>
      <c r="T1234" s="1">
        <f>Table1[[#This Row],[Purchase Amount (USD)]]</f>
        <v>23</v>
      </c>
      <c r="U1234">
        <f>IF(Table1[[#This Row],[Subscription Status]]="Yes",1,IF(Table1[[#This Row],[Subscription Status]]="No",0))</f>
        <v>0</v>
      </c>
    </row>
    <row r="1235" spans="1:21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  <c r="S1235" t="str">
        <f>IF(Table1[[#This Row],[Age]]&lt;=25,"Young",IF(Table1[[#This Row],[Age]]&lt;=50,"Adult","Senior"))</f>
        <v>Adult</v>
      </c>
      <c r="T1235" s="1">
        <f>Table1[[#This Row],[Purchase Amount (USD)]]</f>
        <v>73</v>
      </c>
      <c r="U1235">
        <f>IF(Table1[[#This Row],[Subscription Status]]="Yes",1,IF(Table1[[#This Row],[Subscription Status]]="No",0))</f>
        <v>0</v>
      </c>
    </row>
    <row r="1236" spans="1:21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  <c r="S1236" t="str">
        <f>IF(Table1[[#This Row],[Age]]&lt;=25,"Young",IF(Table1[[#This Row],[Age]]&lt;=50,"Adult","Senior"))</f>
        <v>Adult</v>
      </c>
      <c r="T1236" s="1">
        <f>Table1[[#This Row],[Purchase Amount (USD)]]</f>
        <v>99</v>
      </c>
      <c r="U1236">
        <f>IF(Table1[[#This Row],[Subscription Status]]="Yes",1,IF(Table1[[#This Row],[Subscription Status]]="No",0))</f>
        <v>0</v>
      </c>
    </row>
    <row r="1237" spans="1:21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  <c r="S1237" t="str">
        <f>IF(Table1[[#This Row],[Age]]&lt;=25,"Young",IF(Table1[[#This Row],[Age]]&lt;=50,"Adult","Senior"))</f>
        <v>Young</v>
      </c>
      <c r="T1237" s="1">
        <f>Table1[[#This Row],[Purchase Amount (USD)]]</f>
        <v>22</v>
      </c>
      <c r="U1237">
        <f>IF(Table1[[#This Row],[Subscription Status]]="Yes",1,IF(Table1[[#This Row],[Subscription Status]]="No",0))</f>
        <v>0</v>
      </c>
    </row>
    <row r="1238" spans="1:21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  <c r="S1238" t="str">
        <f>IF(Table1[[#This Row],[Age]]&lt;=25,"Young",IF(Table1[[#This Row],[Age]]&lt;=50,"Adult","Senior"))</f>
        <v>Adult</v>
      </c>
      <c r="T1238" s="1">
        <f>Table1[[#This Row],[Purchase Amount (USD)]]</f>
        <v>68</v>
      </c>
      <c r="U1238">
        <f>IF(Table1[[#This Row],[Subscription Status]]="Yes",1,IF(Table1[[#This Row],[Subscription Status]]="No",0))</f>
        <v>0</v>
      </c>
    </row>
    <row r="1239" spans="1:21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  <c r="S1239" t="str">
        <f>IF(Table1[[#This Row],[Age]]&lt;=25,"Young",IF(Table1[[#This Row],[Age]]&lt;=50,"Adult","Senior"))</f>
        <v>Young</v>
      </c>
      <c r="T1239" s="1">
        <f>Table1[[#This Row],[Purchase Amount (USD)]]</f>
        <v>92</v>
      </c>
      <c r="U1239">
        <f>IF(Table1[[#This Row],[Subscription Status]]="Yes",1,IF(Table1[[#This Row],[Subscription Status]]="No",0))</f>
        <v>0</v>
      </c>
    </row>
    <row r="1240" spans="1:21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  <c r="S1240" t="str">
        <f>IF(Table1[[#This Row],[Age]]&lt;=25,"Young",IF(Table1[[#This Row],[Age]]&lt;=50,"Adult","Senior"))</f>
        <v>Senior</v>
      </c>
      <c r="T1240" s="1">
        <f>Table1[[#This Row],[Purchase Amount (USD)]]</f>
        <v>77</v>
      </c>
      <c r="U1240">
        <f>IF(Table1[[#This Row],[Subscription Status]]="Yes",1,IF(Table1[[#This Row],[Subscription Status]]="No",0))</f>
        <v>0</v>
      </c>
    </row>
    <row r="1241" spans="1:21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  <c r="S1241" t="str">
        <f>IF(Table1[[#This Row],[Age]]&lt;=25,"Young",IF(Table1[[#This Row],[Age]]&lt;=50,"Adult","Senior"))</f>
        <v>Senior</v>
      </c>
      <c r="T1241" s="1">
        <f>Table1[[#This Row],[Purchase Amount (USD)]]</f>
        <v>37</v>
      </c>
      <c r="U1241">
        <f>IF(Table1[[#This Row],[Subscription Status]]="Yes",1,IF(Table1[[#This Row],[Subscription Status]]="No",0))</f>
        <v>0</v>
      </c>
    </row>
    <row r="1242" spans="1:21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  <c r="S1242" t="str">
        <f>IF(Table1[[#This Row],[Age]]&lt;=25,"Young",IF(Table1[[#This Row],[Age]]&lt;=50,"Adult","Senior"))</f>
        <v>Adult</v>
      </c>
      <c r="T1242" s="1">
        <f>Table1[[#This Row],[Purchase Amount (USD)]]</f>
        <v>79</v>
      </c>
      <c r="U1242">
        <f>IF(Table1[[#This Row],[Subscription Status]]="Yes",1,IF(Table1[[#This Row],[Subscription Status]]="No",0))</f>
        <v>0</v>
      </c>
    </row>
    <row r="1243" spans="1:21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  <c r="S1243" t="str">
        <f>IF(Table1[[#This Row],[Age]]&lt;=25,"Young",IF(Table1[[#This Row],[Age]]&lt;=50,"Adult","Senior"))</f>
        <v>Senior</v>
      </c>
      <c r="T1243" s="1">
        <f>Table1[[#This Row],[Purchase Amount (USD)]]</f>
        <v>51</v>
      </c>
      <c r="U1243">
        <f>IF(Table1[[#This Row],[Subscription Status]]="Yes",1,IF(Table1[[#This Row],[Subscription Status]]="No",0))</f>
        <v>0</v>
      </c>
    </row>
    <row r="1244" spans="1:21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  <c r="S1244" t="str">
        <f>IF(Table1[[#This Row],[Age]]&lt;=25,"Young",IF(Table1[[#This Row],[Age]]&lt;=50,"Adult","Senior"))</f>
        <v>Senior</v>
      </c>
      <c r="T1244" s="1">
        <f>Table1[[#This Row],[Purchase Amount (USD)]]</f>
        <v>27</v>
      </c>
      <c r="U1244">
        <f>IF(Table1[[#This Row],[Subscription Status]]="Yes",1,IF(Table1[[#This Row],[Subscription Status]]="No",0))</f>
        <v>0</v>
      </c>
    </row>
    <row r="1245" spans="1:21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  <c r="S1245" t="str">
        <f>IF(Table1[[#This Row],[Age]]&lt;=25,"Young",IF(Table1[[#This Row],[Age]]&lt;=50,"Adult","Senior"))</f>
        <v>Young</v>
      </c>
      <c r="T1245" s="1">
        <f>Table1[[#This Row],[Purchase Amount (USD)]]</f>
        <v>23</v>
      </c>
      <c r="U1245">
        <f>IF(Table1[[#This Row],[Subscription Status]]="Yes",1,IF(Table1[[#This Row],[Subscription Status]]="No",0))</f>
        <v>0</v>
      </c>
    </row>
    <row r="1246" spans="1:21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  <c r="S1246" t="str">
        <f>IF(Table1[[#This Row],[Age]]&lt;=25,"Young",IF(Table1[[#This Row],[Age]]&lt;=50,"Adult","Senior"))</f>
        <v>Senior</v>
      </c>
      <c r="T1246" s="1">
        <f>Table1[[#This Row],[Purchase Amount (USD)]]</f>
        <v>76</v>
      </c>
      <c r="U1246">
        <f>IF(Table1[[#This Row],[Subscription Status]]="Yes",1,IF(Table1[[#This Row],[Subscription Status]]="No",0))</f>
        <v>0</v>
      </c>
    </row>
    <row r="1247" spans="1:21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  <c r="S1247" t="str">
        <f>IF(Table1[[#This Row],[Age]]&lt;=25,"Young",IF(Table1[[#This Row],[Age]]&lt;=50,"Adult","Senior"))</f>
        <v>Adult</v>
      </c>
      <c r="T1247" s="1">
        <f>Table1[[#This Row],[Purchase Amount (USD)]]</f>
        <v>31</v>
      </c>
      <c r="U1247">
        <f>IF(Table1[[#This Row],[Subscription Status]]="Yes",1,IF(Table1[[#This Row],[Subscription Status]]="No",0))</f>
        <v>0</v>
      </c>
    </row>
    <row r="1248" spans="1:21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  <c r="S1248" t="str">
        <f>IF(Table1[[#This Row],[Age]]&lt;=25,"Young",IF(Table1[[#This Row],[Age]]&lt;=50,"Adult","Senior"))</f>
        <v>Adult</v>
      </c>
      <c r="T1248" s="1">
        <f>Table1[[#This Row],[Purchase Amount (USD)]]</f>
        <v>60</v>
      </c>
      <c r="U1248">
        <f>IF(Table1[[#This Row],[Subscription Status]]="Yes",1,IF(Table1[[#This Row],[Subscription Status]]="No",0))</f>
        <v>0</v>
      </c>
    </row>
    <row r="1249" spans="1:21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  <c r="S1249" t="str">
        <f>IF(Table1[[#This Row],[Age]]&lt;=25,"Young",IF(Table1[[#This Row],[Age]]&lt;=50,"Adult","Senior"))</f>
        <v>Senior</v>
      </c>
      <c r="T1249" s="1">
        <f>Table1[[#This Row],[Purchase Amount (USD)]]</f>
        <v>99</v>
      </c>
      <c r="U1249">
        <f>IF(Table1[[#This Row],[Subscription Status]]="Yes",1,IF(Table1[[#This Row],[Subscription Status]]="No",0))</f>
        <v>0</v>
      </c>
    </row>
    <row r="1250" spans="1:21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  <c r="S1250" t="str">
        <f>IF(Table1[[#This Row],[Age]]&lt;=25,"Young",IF(Table1[[#This Row],[Age]]&lt;=50,"Adult","Senior"))</f>
        <v>Senior</v>
      </c>
      <c r="T1250" s="1">
        <f>Table1[[#This Row],[Purchase Amount (USD)]]</f>
        <v>37</v>
      </c>
      <c r="U1250">
        <f>IF(Table1[[#This Row],[Subscription Status]]="Yes",1,IF(Table1[[#This Row],[Subscription Status]]="No",0))</f>
        <v>0</v>
      </c>
    </row>
    <row r="1251" spans="1:21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  <c r="S1251" t="str">
        <f>IF(Table1[[#This Row],[Age]]&lt;=25,"Young",IF(Table1[[#This Row],[Age]]&lt;=50,"Adult","Senior"))</f>
        <v>Senior</v>
      </c>
      <c r="T1251" s="1">
        <f>Table1[[#This Row],[Purchase Amount (USD)]]</f>
        <v>50</v>
      </c>
      <c r="U1251">
        <f>IF(Table1[[#This Row],[Subscription Status]]="Yes",1,IF(Table1[[#This Row],[Subscription Status]]="No",0))</f>
        <v>0</v>
      </c>
    </row>
    <row r="1252" spans="1:21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  <c r="S1252" t="str">
        <f>IF(Table1[[#This Row],[Age]]&lt;=25,"Young",IF(Table1[[#This Row],[Age]]&lt;=50,"Adult","Senior"))</f>
        <v>Senior</v>
      </c>
      <c r="T1252" s="1">
        <f>Table1[[#This Row],[Purchase Amount (USD)]]</f>
        <v>26</v>
      </c>
      <c r="U1252">
        <f>IF(Table1[[#This Row],[Subscription Status]]="Yes",1,IF(Table1[[#This Row],[Subscription Status]]="No",0))</f>
        <v>0</v>
      </c>
    </row>
    <row r="1253" spans="1:21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  <c r="S1253" t="str">
        <f>IF(Table1[[#This Row],[Age]]&lt;=25,"Young",IF(Table1[[#This Row],[Age]]&lt;=50,"Adult","Senior"))</f>
        <v>Senior</v>
      </c>
      <c r="T1253" s="1">
        <f>Table1[[#This Row],[Purchase Amount (USD)]]</f>
        <v>86</v>
      </c>
      <c r="U1253">
        <f>IF(Table1[[#This Row],[Subscription Status]]="Yes",1,IF(Table1[[#This Row],[Subscription Status]]="No",0))</f>
        <v>0</v>
      </c>
    </row>
    <row r="1254" spans="1:21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  <c r="S1254" t="str">
        <f>IF(Table1[[#This Row],[Age]]&lt;=25,"Young",IF(Table1[[#This Row],[Age]]&lt;=50,"Adult","Senior"))</f>
        <v>Adult</v>
      </c>
      <c r="T1254" s="1">
        <f>Table1[[#This Row],[Purchase Amount (USD)]]</f>
        <v>41</v>
      </c>
      <c r="U1254">
        <f>IF(Table1[[#This Row],[Subscription Status]]="Yes",1,IF(Table1[[#This Row],[Subscription Status]]="No",0))</f>
        <v>0</v>
      </c>
    </row>
    <row r="1255" spans="1:21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  <c r="S1255" t="str">
        <f>IF(Table1[[#This Row],[Age]]&lt;=25,"Young",IF(Table1[[#This Row],[Age]]&lt;=50,"Adult","Senior"))</f>
        <v>Adult</v>
      </c>
      <c r="T1255" s="1">
        <f>Table1[[#This Row],[Purchase Amount (USD)]]</f>
        <v>23</v>
      </c>
      <c r="U1255">
        <f>IF(Table1[[#This Row],[Subscription Status]]="Yes",1,IF(Table1[[#This Row],[Subscription Status]]="No",0))</f>
        <v>0</v>
      </c>
    </row>
    <row r="1256" spans="1:21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  <c r="S1256" t="str">
        <f>IF(Table1[[#This Row],[Age]]&lt;=25,"Young",IF(Table1[[#This Row],[Age]]&lt;=50,"Adult","Senior"))</f>
        <v>Senior</v>
      </c>
      <c r="T1256" s="1">
        <f>Table1[[#This Row],[Purchase Amount (USD)]]</f>
        <v>56</v>
      </c>
      <c r="U1256">
        <f>IF(Table1[[#This Row],[Subscription Status]]="Yes",1,IF(Table1[[#This Row],[Subscription Status]]="No",0))</f>
        <v>0</v>
      </c>
    </row>
    <row r="1257" spans="1:21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  <c r="S1257" t="str">
        <f>IF(Table1[[#This Row],[Age]]&lt;=25,"Young",IF(Table1[[#This Row],[Age]]&lt;=50,"Adult","Senior"))</f>
        <v>Adult</v>
      </c>
      <c r="T1257" s="1">
        <f>Table1[[#This Row],[Purchase Amount (USD)]]</f>
        <v>68</v>
      </c>
      <c r="U1257">
        <f>IF(Table1[[#This Row],[Subscription Status]]="Yes",1,IF(Table1[[#This Row],[Subscription Status]]="No",0))</f>
        <v>0</v>
      </c>
    </row>
    <row r="1258" spans="1:21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  <c r="S1258" t="str">
        <f>IF(Table1[[#This Row],[Age]]&lt;=25,"Young",IF(Table1[[#This Row],[Age]]&lt;=50,"Adult","Senior"))</f>
        <v>Adult</v>
      </c>
      <c r="T1258" s="1">
        <f>Table1[[#This Row],[Purchase Amount (USD)]]</f>
        <v>48</v>
      </c>
      <c r="U1258">
        <f>IF(Table1[[#This Row],[Subscription Status]]="Yes",1,IF(Table1[[#This Row],[Subscription Status]]="No",0))</f>
        <v>0</v>
      </c>
    </row>
    <row r="1259" spans="1:21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  <c r="S1259" t="str">
        <f>IF(Table1[[#This Row],[Age]]&lt;=25,"Young",IF(Table1[[#This Row],[Age]]&lt;=50,"Adult","Senior"))</f>
        <v>Senior</v>
      </c>
      <c r="T1259" s="1">
        <f>Table1[[#This Row],[Purchase Amount (USD)]]</f>
        <v>67</v>
      </c>
      <c r="U1259">
        <f>IF(Table1[[#This Row],[Subscription Status]]="Yes",1,IF(Table1[[#This Row],[Subscription Status]]="No",0))</f>
        <v>0</v>
      </c>
    </row>
    <row r="1260" spans="1:21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  <c r="S1260" t="str">
        <f>IF(Table1[[#This Row],[Age]]&lt;=25,"Young",IF(Table1[[#This Row],[Age]]&lt;=50,"Adult","Senior"))</f>
        <v>Adult</v>
      </c>
      <c r="T1260" s="1">
        <f>Table1[[#This Row],[Purchase Amount (USD)]]</f>
        <v>87</v>
      </c>
      <c r="U1260">
        <f>IF(Table1[[#This Row],[Subscription Status]]="Yes",1,IF(Table1[[#This Row],[Subscription Status]]="No",0))</f>
        <v>0</v>
      </c>
    </row>
    <row r="1261" spans="1:21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  <c r="S1261" t="str">
        <f>IF(Table1[[#This Row],[Age]]&lt;=25,"Young",IF(Table1[[#This Row],[Age]]&lt;=50,"Adult","Senior"))</f>
        <v>Senior</v>
      </c>
      <c r="T1261" s="1">
        <f>Table1[[#This Row],[Purchase Amount (USD)]]</f>
        <v>64</v>
      </c>
      <c r="U1261">
        <f>IF(Table1[[#This Row],[Subscription Status]]="Yes",1,IF(Table1[[#This Row],[Subscription Status]]="No",0))</f>
        <v>0</v>
      </c>
    </row>
    <row r="1262" spans="1:21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  <c r="S1262" t="str">
        <f>IF(Table1[[#This Row],[Age]]&lt;=25,"Young",IF(Table1[[#This Row],[Age]]&lt;=50,"Adult","Senior"))</f>
        <v>Senior</v>
      </c>
      <c r="T1262" s="1">
        <f>Table1[[#This Row],[Purchase Amount (USD)]]</f>
        <v>93</v>
      </c>
      <c r="U1262">
        <f>IF(Table1[[#This Row],[Subscription Status]]="Yes",1,IF(Table1[[#This Row],[Subscription Status]]="No",0))</f>
        <v>0</v>
      </c>
    </row>
    <row r="1263" spans="1:21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  <c r="S1263" t="str">
        <f>IF(Table1[[#This Row],[Age]]&lt;=25,"Young",IF(Table1[[#This Row],[Age]]&lt;=50,"Adult","Senior"))</f>
        <v>Young</v>
      </c>
      <c r="T1263" s="1">
        <f>Table1[[#This Row],[Purchase Amount (USD)]]</f>
        <v>29</v>
      </c>
      <c r="U1263">
        <f>IF(Table1[[#This Row],[Subscription Status]]="Yes",1,IF(Table1[[#This Row],[Subscription Status]]="No",0))</f>
        <v>0</v>
      </c>
    </row>
    <row r="1264" spans="1:21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  <c r="S1264" t="str">
        <f>IF(Table1[[#This Row],[Age]]&lt;=25,"Young",IF(Table1[[#This Row],[Age]]&lt;=50,"Adult","Senior"))</f>
        <v>Adult</v>
      </c>
      <c r="T1264" s="1">
        <f>Table1[[#This Row],[Purchase Amount (USD)]]</f>
        <v>62</v>
      </c>
      <c r="U1264">
        <f>IF(Table1[[#This Row],[Subscription Status]]="Yes",1,IF(Table1[[#This Row],[Subscription Status]]="No",0))</f>
        <v>0</v>
      </c>
    </row>
    <row r="1265" spans="1:21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  <c r="S1265" t="str">
        <f>IF(Table1[[#This Row],[Age]]&lt;=25,"Young",IF(Table1[[#This Row],[Age]]&lt;=50,"Adult","Senior"))</f>
        <v>Adult</v>
      </c>
      <c r="T1265" s="1">
        <f>Table1[[#This Row],[Purchase Amount (USD)]]</f>
        <v>70</v>
      </c>
      <c r="U1265">
        <f>IF(Table1[[#This Row],[Subscription Status]]="Yes",1,IF(Table1[[#This Row],[Subscription Status]]="No",0))</f>
        <v>0</v>
      </c>
    </row>
    <row r="1266" spans="1:21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  <c r="S1266" t="str">
        <f>IF(Table1[[#This Row],[Age]]&lt;=25,"Young",IF(Table1[[#This Row],[Age]]&lt;=50,"Adult","Senior"))</f>
        <v>Senior</v>
      </c>
      <c r="T1266" s="1">
        <f>Table1[[#This Row],[Purchase Amount (USD)]]</f>
        <v>92</v>
      </c>
      <c r="U1266">
        <f>IF(Table1[[#This Row],[Subscription Status]]="Yes",1,IF(Table1[[#This Row],[Subscription Status]]="No",0))</f>
        <v>0</v>
      </c>
    </row>
    <row r="1267" spans="1:21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  <c r="S1267" t="str">
        <f>IF(Table1[[#This Row],[Age]]&lt;=25,"Young",IF(Table1[[#This Row],[Age]]&lt;=50,"Adult","Senior"))</f>
        <v>Adult</v>
      </c>
      <c r="T1267" s="1">
        <f>Table1[[#This Row],[Purchase Amount (USD)]]</f>
        <v>79</v>
      </c>
      <c r="U1267">
        <f>IF(Table1[[#This Row],[Subscription Status]]="Yes",1,IF(Table1[[#This Row],[Subscription Status]]="No",0))</f>
        <v>0</v>
      </c>
    </row>
    <row r="1268" spans="1:21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  <c r="S1268" t="str">
        <f>IF(Table1[[#This Row],[Age]]&lt;=25,"Young",IF(Table1[[#This Row],[Age]]&lt;=50,"Adult","Senior"))</f>
        <v>Young</v>
      </c>
      <c r="T1268" s="1">
        <f>Table1[[#This Row],[Purchase Amount (USD)]]</f>
        <v>31</v>
      </c>
      <c r="U1268">
        <f>IF(Table1[[#This Row],[Subscription Status]]="Yes",1,IF(Table1[[#This Row],[Subscription Status]]="No",0))</f>
        <v>0</v>
      </c>
    </row>
    <row r="1269" spans="1:21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  <c r="S1269" t="str">
        <f>IF(Table1[[#This Row],[Age]]&lt;=25,"Young",IF(Table1[[#This Row],[Age]]&lt;=50,"Adult","Senior"))</f>
        <v>Adult</v>
      </c>
      <c r="T1269" s="1">
        <f>Table1[[#This Row],[Purchase Amount (USD)]]</f>
        <v>83</v>
      </c>
      <c r="U1269">
        <f>IF(Table1[[#This Row],[Subscription Status]]="Yes",1,IF(Table1[[#This Row],[Subscription Status]]="No",0))</f>
        <v>0</v>
      </c>
    </row>
    <row r="1270" spans="1:21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  <c r="S1270" t="str">
        <f>IF(Table1[[#This Row],[Age]]&lt;=25,"Young",IF(Table1[[#This Row],[Age]]&lt;=50,"Adult","Senior"))</f>
        <v>Young</v>
      </c>
      <c r="T1270" s="1">
        <f>Table1[[#This Row],[Purchase Amount (USD)]]</f>
        <v>88</v>
      </c>
      <c r="U1270">
        <f>IF(Table1[[#This Row],[Subscription Status]]="Yes",1,IF(Table1[[#This Row],[Subscription Status]]="No",0))</f>
        <v>0</v>
      </c>
    </row>
    <row r="1271" spans="1:21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  <c r="S1271" t="str">
        <f>IF(Table1[[#This Row],[Age]]&lt;=25,"Young",IF(Table1[[#This Row],[Age]]&lt;=50,"Adult","Senior"))</f>
        <v>Adult</v>
      </c>
      <c r="T1271" s="1">
        <f>Table1[[#This Row],[Purchase Amount (USD)]]</f>
        <v>53</v>
      </c>
      <c r="U1271">
        <f>IF(Table1[[#This Row],[Subscription Status]]="Yes",1,IF(Table1[[#This Row],[Subscription Status]]="No",0))</f>
        <v>0</v>
      </c>
    </row>
    <row r="1272" spans="1:21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  <c r="S1272" t="str">
        <f>IF(Table1[[#This Row],[Age]]&lt;=25,"Young",IF(Table1[[#This Row],[Age]]&lt;=50,"Adult","Senior"))</f>
        <v>Senior</v>
      </c>
      <c r="T1272" s="1">
        <f>Table1[[#This Row],[Purchase Amount (USD)]]</f>
        <v>98</v>
      </c>
      <c r="U1272">
        <f>IF(Table1[[#This Row],[Subscription Status]]="Yes",1,IF(Table1[[#This Row],[Subscription Status]]="No",0))</f>
        <v>0</v>
      </c>
    </row>
    <row r="1273" spans="1:21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  <c r="S1273" t="str">
        <f>IF(Table1[[#This Row],[Age]]&lt;=25,"Young",IF(Table1[[#This Row],[Age]]&lt;=50,"Adult","Senior"))</f>
        <v>Senior</v>
      </c>
      <c r="T1273" s="1">
        <f>Table1[[#This Row],[Purchase Amount (USD)]]</f>
        <v>57</v>
      </c>
      <c r="U1273">
        <f>IF(Table1[[#This Row],[Subscription Status]]="Yes",1,IF(Table1[[#This Row],[Subscription Status]]="No",0))</f>
        <v>0</v>
      </c>
    </row>
    <row r="1274" spans="1:21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  <c r="S1274" t="str">
        <f>IF(Table1[[#This Row],[Age]]&lt;=25,"Young",IF(Table1[[#This Row],[Age]]&lt;=50,"Adult","Senior"))</f>
        <v>Adult</v>
      </c>
      <c r="T1274" s="1">
        <f>Table1[[#This Row],[Purchase Amount (USD)]]</f>
        <v>80</v>
      </c>
      <c r="U1274">
        <f>IF(Table1[[#This Row],[Subscription Status]]="Yes",1,IF(Table1[[#This Row],[Subscription Status]]="No",0))</f>
        <v>0</v>
      </c>
    </row>
    <row r="1275" spans="1:21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  <c r="S1275" t="str">
        <f>IF(Table1[[#This Row],[Age]]&lt;=25,"Young",IF(Table1[[#This Row],[Age]]&lt;=50,"Adult","Senior"))</f>
        <v>Adult</v>
      </c>
      <c r="T1275" s="1">
        <f>Table1[[#This Row],[Purchase Amount (USD)]]</f>
        <v>29</v>
      </c>
      <c r="U1275">
        <f>IF(Table1[[#This Row],[Subscription Status]]="Yes",1,IF(Table1[[#This Row],[Subscription Status]]="No",0))</f>
        <v>0</v>
      </c>
    </row>
    <row r="1276" spans="1:21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  <c r="S1276" t="str">
        <f>IF(Table1[[#This Row],[Age]]&lt;=25,"Young",IF(Table1[[#This Row],[Age]]&lt;=50,"Adult","Senior"))</f>
        <v>Senior</v>
      </c>
      <c r="T1276" s="1">
        <f>Table1[[#This Row],[Purchase Amount (USD)]]</f>
        <v>73</v>
      </c>
      <c r="U1276">
        <f>IF(Table1[[#This Row],[Subscription Status]]="Yes",1,IF(Table1[[#This Row],[Subscription Status]]="No",0))</f>
        <v>0</v>
      </c>
    </row>
    <row r="1277" spans="1:21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  <c r="S1277" t="str">
        <f>IF(Table1[[#This Row],[Age]]&lt;=25,"Young",IF(Table1[[#This Row],[Age]]&lt;=50,"Adult","Senior"))</f>
        <v>Senior</v>
      </c>
      <c r="T1277" s="1">
        <f>Table1[[#This Row],[Purchase Amount (USD)]]</f>
        <v>32</v>
      </c>
      <c r="U1277">
        <f>IF(Table1[[#This Row],[Subscription Status]]="Yes",1,IF(Table1[[#This Row],[Subscription Status]]="No",0))</f>
        <v>0</v>
      </c>
    </row>
    <row r="1278" spans="1:21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  <c r="S1278" t="str">
        <f>IF(Table1[[#This Row],[Age]]&lt;=25,"Young",IF(Table1[[#This Row],[Age]]&lt;=50,"Adult","Senior"))</f>
        <v>Senior</v>
      </c>
      <c r="T1278" s="1">
        <f>Table1[[#This Row],[Purchase Amount (USD)]]</f>
        <v>68</v>
      </c>
      <c r="U1278">
        <f>IF(Table1[[#This Row],[Subscription Status]]="Yes",1,IF(Table1[[#This Row],[Subscription Status]]="No",0))</f>
        <v>0</v>
      </c>
    </row>
    <row r="1279" spans="1:21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  <c r="S1279" t="str">
        <f>IF(Table1[[#This Row],[Age]]&lt;=25,"Young",IF(Table1[[#This Row],[Age]]&lt;=50,"Adult","Senior"))</f>
        <v>Young</v>
      </c>
      <c r="T1279" s="1">
        <f>Table1[[#This Row],[Purchase Amount (USD)]]</f>
        <v>97</v>
      </c>
      <c r="U1279">
        <f>IF(Table1[[#This Row],[Subscription Status]]="Yes",1,IF(Table1[[#This Row],[Subscription Status]]="No",0))</f>
        <v>0</v>
      </c>
    </row>
    <row r="1280" spans="1:21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  <c r="S1280" t="str">
        <f>IF(Table1[[#This Row],[Age]]&lt;=25,"Young",IF(Table1[[#This Row],[Age]]&lt;=50,"Adult","Senior"))</f>
        <v>Adult</v>
      </c>
      <c r="T1280" s="1">
        <f>Table1[[#This Row],[Purchase Amount (USD)]]</f>
        <v>98</v>
      </c>
      <c r="U1280">
        <f>IF(Table1[[#This Row],[Subscription Status]]="Yes",1,IF(Table1[[#This Row],[Subscription Status]]="No",0))</f>
        <v>0</v>
      </c>
    </row>
    <row r="1281" spans="1:21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  <c r="S1281" t="str">
        <f>IF(Table1[[#This Row],[Age]]&lt;=25,"Young",IF(Table1[[#This Row],[Age]]&lt;=50,"Adult","Senior"))</f>
        <v>Senior</v>
      </c>
      <c r="T1281" s="1">
        <f>Table1[[#This Row],[Purchase Amount (USD)]]</f>
        <v>56</v>
      </c>
      <c r="U1281">
        <f>IF(Table1[[#This Row],[Subscription Status]]="Yes",1,IF(Table1[[#This Row],[Subscription Status]]="No",0))</f>
        <v>0</v>
      </c>
    </row>
    <row r="1282" spans="1:21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  <c r="S1282" t="str">
        <f>IF(Table1[[#This Row],[Age]]&lt;=25,"Young",IF(Table1[[#This Row],[Age]]&lt;=50,"Adult","Senior"))</f>
        <v>Adult</v>
      </c>
      <c r="T1282" s="1">
        <f>Table1[[#This Row],[Purchase Amount (USD)]]</f>
        <v>78</v>
      </c>
      <c r="U1282">
        <f>IF(Table1[[#This Row],[Subscription Status]]="Yes",1,IF(Table1[[#This Row],[Subscription Status]]="No",0))</f>
        <v>0</v>
      </c>
    </row>
    <row r="1283" spans="1:21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  <c r="S1283" t="str">
        <f>IF(Table1[[#This Row],[Age]]&lt;=25,"Young",IF(Table1[[#This Row],[Age]]&lt;=50,"Adult","Senior"))</f>
        <v>Adult</v>
      </c>
      <c r="T1283" s="1">
        <f>Table1[[#This Row],[Purchase Amount (USD)]]</f>
        <v>81</v>
      </c>
      <c r="U1283">
        <f>IF(Table1[[#This Row],[Subscription Status]]="Yes",1,IF(Table1[[#This Row],[Subscription Status]]="No",0))</f>
        <v>0</v>
      </c>
    </row>
    <row r="1284" spans="1:21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  <c r="S1284" t="str">
        <f>IF(Table1[[#This Row],[Age]]&lt;=25,"Young",IF(Table1[[#This Row],[Age]]&lt;=50,"Adult","Senior"))</f>
        <v>Young</v>
      </c>
      <c r="T1284" s="1">
        <f>Table1[[#This Row],[Purchase Amount (USD)]]</f>
        <v>68</v>
      </c>
      <c r="U1284">
        <f>IF(Table1[[#This Row],[Subscription Status]]="Yes",1,IF(Table1[[#This Row],[Subscription Status]]="No",0))</f>
        <v>0</v>
      </c>
    </row>
    <row r="1285" spans="1:21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  <c r="S1285" t="str">
        <f>IF(Table1[[#This Row],[Age]]&lt;=25,"Young",IF(Table1[[#This Row],[Age]]&lt;=50,"Adult","Senior"))</f>
        <v>Senior</v>
      </c>
      <c r="T1285" s="1">
        <f>Table1[[#This Row],[Purchase Amount (USD)]]</f>
        <v>94</v>
      </c>
      <c r="U1285">
        <f>IF(Table1[[#This Row],[Subscription Status]]="Yes",1,IF(Table1[[#This Row],[Subscription Status]]="No",0))</f>
        <v>0</v>
      </c>
    </row>
    <row r="1286" spans="1:21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  <c r="S1286" t="str">
        <f>IF(Table1[[#This Row],[Age]]&lt;=25,"Young",IF(Table1[[#This Row],[Age]]&lt;=50,"Adult","Senior"))</f>
        <v>Senior</v>
      </c>
      <c r="T1286" s="1">
        <f>Table1[[#This Row],[Purchase Amount (USD)]]</f>
        <v>93</v>
      </c>
      <c r="U1286">
        <f>IF(Table1[[#This Row],[Subscription Status]]="Yes",1,IF(Table1[[#This Row],[Subscription Status]]="No",0))</f>
        <v>0</v>
      </c>
    </row>
    <row r="1287" spans="1:21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  <c r="S1287" t="str">
        <f>IF(Table1[[#This Row],[Age]]&lt;=25,"Young",IF(Table1[[#This Row],[Age]]&lt;=50,"Adult","Senior"))</f>
        <v>Senior</v>
      </c>
      <c r="T1287" s="1">
        <f>Table1[[#This Row],[Purchase Amount (USD)]]</f>
        <v>99</v>
      </c>
      <c r="U1287">
        <f>IF(Table1[[#This Row],[Subscription Status]]="Yes",1,IF(Table1[[#This Row],[Subscription Status]]="No",0))</f>
        <v>0</v>
      </c>
    </row>
    <row r="1288" spans="1:21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  <c r="S1288" t="str">
        <f>IF(Table1[[#This Row],[Age]]&lt;=25,"Young",IF(Table1[[#This Row],[Age]]&lt;=50,"Adult","Senior"))</f>
        <v>Adult</v>
      </c>
      <c r="T1288" s="1">
        <f>Table1[[#This Row],[Purchase Amount (USD)]]</f>
        <v>49</v>
      </c>
      <c r="U1288">
        <f>IF(Table1[[#This Row],[Subscription Status]]="Yes",1,IF(Table1[[#This Row],[Subscription Status]]="No",0))</f>
        <v>0</v>
      </c>
    </row>
    <row r="1289" spans="1:21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  <c r="S1289" t="str">
        <f>IF(Table1[[#This Row],[Age]]&lt;=25,"Young",IF(Table1[[#This Row],[Age]]&lt;=50,"Adult","Senior"))</f>
        <v>Young</v>
      </c>
      <c r="T1289" s="1">
        <f>Table1[[#This Row],[Purchase Amount (USD)]]</f>
        <v>28</v>
      </c>
      <c r="U1289">
        <f>IF(Table1[[#This Row],[Subscription Status]]="Yes",1,IF(Table1[[#This Row],[Subscription Status]]="No",0))</f>
        <v>0</v>
      </c>
    </row>
    <row r="1290" spans="1:21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  <c r="S1290" t="str">
        <f>IF(Table1[[#This Row],[Age]]&lt;=25,"Young",IF(Table1[[#This Row],[Age]]&lt;=50,"Adult","Senior"))</f>
        <v>Senior</v>
      </c>
      <c r="T1290" s="1">
        <f>Table1[[#This Row],[Purchase Amount (USD)]]</f>
        <v>93</v>
      </c>
      <c r="U1290">
        <f>IF(Table1[[#This Row],[Subscription Status]]="Yes",1,IF(Table1[[#This Row],[Subscription Status]]="No",0))</f>
        <v>0</v>
      </c>
    </row>
    <row r="1291" spans="1:21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  <c r="S1291" t="str">
        <f>IF(Table1[[#This Row],[Age]]&lt;=25,"Young",IF(Table1[[#This Row],[Age]]&lt;=50,"Adult","Senior"))</f>
        <v>Adult</v>
      </c>
      <c r="T1291" s="1">
        <f>Table1[[#This Row],[Purchase Amount (USD)]]</f>
        <v>24</v>
      </c>
      <c r="U1291">
        <f>IF(Table1[[#This Row],[Subscription Status]]="Yes",1,IF(Table1[[#This Row],[Subscription Status]]="No",0))</f>
        <v>0</v>
      </c>
    </row>
    <row r="1292" spans="1:21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  <c r="S1292" t="str">
        <f>IF(Table1[[#This Row],[Age]]&lt;=25,"Young",IF(Table1[[#This Row],[Age]]&lt;=50,"Adult","Senior"))</f>
        <v>Senior</v>
      </c>
      <c r="T1292" s="1">
        <f>Table1[[#This Row],[Purchase Amount (USD)]]</f>
        <v>35</v>
      </c>
      <c r="U1292">
        <f>IF(Table1[[#This Row],[Subscription Status]]="Yes",1,IF(Table1[[#This Row],[Subscription Status]]="No",0))</f>
        <v>0</v>
      </c>
    </row>
    <row r="1293" spans="1:21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  <c r="S1293" t="str">
        <f>IF(Table1[[#This Row],[Age]]&lt;=25,"Young",IF(Table1[[#This Row],[Age]]&lt;=50,"Adult","Senior"))</f>
        <v>Senior</v>
      </c>
      <c r="T1293" s="1">
        <f>Table1[[#This Row],[Purchase Amount (USD)]]</f>
        <v>68</v>
      </c>
      <c r="U1293">
        <f>IF(Table1[[#This Row],[Subscription Status]]="Yes",1,IF(Table1[[#This Row],[Subscription Status]]="No",0))</f>
        <v>0</v>
      </c>
    </row>
    <row r="1294" spans="1:21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  <c r="S1294" t="str">
        <f>IF(Table1[[#This Row],[Age]]&lt;=25,"Young",IF(Table1[[#This Row],[Age]]&lt;=50,"Adult","Senior"))</f>
        <v>Adult</v>
      </c>
      <c r="T1294" s="1">
        <f>Table1[[#This Row],[Purchase Amount (USD)]]</f>
        <v>61</v>
      </c>
      <c r="U1294">
        <f>IF(Table1[[#This Row],[Subscription Status]]="Yes",1,IF(Table1[[#This Row],[Subscription Status]]="No",0))</f>
        <v>0</v>
      </c>
    </row>
    <row r="1295" spans="1:21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  <c r="S1295" t="str">
        <f>IF(Table1[[#This Row],[Age]]&lt;=25,"Young",IF(Table1[[#This Row],[Age]]&lt;=50,"Adult","Senior"))</f>
        <v>Young</v>
      </c>
      <c r="T1295" s="1">
        <f>Table1[[#This Row],[Purchase Amount (USD)]]</f>
        <v>74</v>
      </c>
      <c r="U1295">
        <f>IF(Table1[[#This Row],[Subscription Status]]="Yes",1,IF(Table1[[#This Row],[Subscription Status]]="No",0))</f>
        <v>0</v>
      </c>
    </row>
    <row r="1296" spans="1:21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  <c r="S1296" t="str">
        <f>IF(Table1[[#This Row],[Age]]&lt;=25,"Young",IF(Table1[[#This Row],[Age]]&lt;=50,"Adult","Senior"))</f>
        <v>Adult</v>
      </c>
      <c r="T1296" s="1">
        <f>Table1[[#This Row],[Purchase Amount (USD)]]</f>
        <v>64</v>
      </c>
      <c r="U1296">
        <f>IF(Table1[[#This Row],[Subscription Status]]="Yes",1,IF(Table1[[#This Row],[Subscription Status]]="No",0))</f>
        <v>0</v>
      </c>
    </row>
    <row r="1297" spans="1:21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  <c r="S1297" t="str">
        <f>IF(Table1[[#This Row],[Age]]&lt;=25,"Young",IF(Table1[[#This Row],[Age]]&lt;=50,"Adult","Senior"))</f>
        <v>Adult</v>
      </c>
      <c r="T1297" s="1">
        <f>Table1[[#This Row],[Purchase Amount (USD)]]</f>
        <v>60</v>
      </c>
      <c r="U1297">
        <f>IF(Table1[[#This Row],[Subscription Status]]="Yes",1,IF(Table1[[#This Row],[Subscription Status]]="No",0))</f>
        <v>0</v>
      </c>
    </row>
    <row r="1298" spans="1:21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  <c r="S1298" t="str">
        <f>IF(Table1[[#This Row],[Age]]&lt;=25,"Young",IF(Table1[[#This Row],[Age]]&lt;=50,"Adult","Senior"))</f>
        <v>Adult</v>
      </c>
      <c r="T1298" s="1">
        <f>Table1[[#This Row],[Purchase Amount (USD)]]</f>
        <v>29</v>
      </c>
      <c r="U1298">
        <f>IF(Table1[[#This Row],[Subscription Status]]="Yes",1,IF(Table1[[#This Row],[Subscription Status]]="No",0))</f>
        <v>0</v>
      </c>
    </row>
    <row r="1299" spans="1:21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  <c r="S1299" t="str">
        <f>IF(Table1[[#This Row],[Age]]&lt;=25,"Young",IF(Table1[[#This Row],[Age]]&lt;=50,"Adult","Senior"))</f>
        <v>Adult</v>
      </c>
      <c r="T1299" s="1">
        <f>Table1[[#This Row],[Purchase Amount (USD)]]</f>
        <v>85</v>
      </c>
      <c r="U1299">
        <f>IF(Table1[[#This Row],[Subscription Status]]="Yes",1,IF(Table1[[#This Row],[Subscription Status]]="No",0))</f>
        <v>0</v>
      </c>
    </row>
    <row r="1300" spans="1:21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  <c r="S1300" t="str">
        <f>IF(Table1[[#This Row],[Age]]&lt;=25,"Young",IF(Table1[[#This Row],[Age]]&lt;=50,"Adult","Senior"))</f>
        <v>Adult</v>
      </c>
      <c r="T1300" s="1">
        <f>Table1[[#This Row],[Purchase Amount (USD)]]</f>
        <v>81</v>
      </c>
      <c r="U1300">
        <f>IF(Table1[[#This Row],[Subscription Status]]="Yes",1,IF(Table1[[#This Row],[Subscription Status]]="No",0))</f>
        <v>0</v>
      </c>
    </row>
    <row r="1301" spans="1:21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  <c r="S1301" t="str">
        <f>IF(Table1[[#This Row],[Age]]&lt;=25,"Young",IF(Table1[[#This Row],[Age]]&lt;=50,"Adult","Senior"))</f>
        <v>Adult</v>
      </c>
      <c r="T1301" s="1">
        <f>Table1[[#This Row],[Purchase Amount (USD)]]</f>
        <v>23</v>
      </c>
      <c r="U1301">
        <f>IF(Table1[[#This Row],[Subscription Status]]="Yes",1,IF(Table1[[#This Row],[Subscription Status]]="No",0))</f>
        <v>0</v>
      </c>
    </row>
    <row r="1302" spans="1:21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  <c r="S1302" t="str">
        <f>IF(Table1[[#This Row],[Age]]&lt;=25,"Young",IF(Table1[[#This Row],[Age]]&lt;=50,"Adult","Senior"))</f>
        <v>Senior</v>
      </c>
      <c r="T1302" s="1">
        <f>Table1[[#This Row],[Purchase Amount (USD)]]</f>
        <v>100</v>
      </c>
      <c r="U1302">
        <f>IF(Table1[[#This Row],[Subscription Status]]="Yes",1,IF(Table1[[#This Row],[Subscription Status]]="No",0))</f>
        <v>0</v>
      </c>
    </row>
    <row r="1303" spans="1:21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  <c r="S1303" t="str">
        <f>IF(Table1[[#This Row],[Age]]&lt;=25,"Young",IF(Table1[[#This Row],[Age]]&lt;=50,"Adult","Senior"))</f>
        <v>Adult</v>
      </c>
      <c r="T1303" s="1">
        <f>Table1[[#This Row],[Purchase Amount (USD)]]</f>
        <v>54</v>
      </c>
      <c r="U1303">
        <f>IF(Table1[[#This Row],[Subscription Status]]="Yes",1,IF(Table1[[#This Row],[Subscription Status]]="No",0))</f>
        <v>0</v>
      </c>
    </row>
    <row r="1304" spans="1:21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  <c r="S1304" t="str">
        <f>IF(Table1[[#This Row],[Age]]&lt;=25,"Young",IF(Table1[[#This Row],[Age]]&lt;=50,"Adult","Senior"))</f>
        <v>Young</v>
      </c>
      <c r="T1304" s="1">
        <f>Table1[[#This Row],[Purchase Amount (USD)]]</f>
        <v>25</v>
      </c>
      <c r="U1304">
        <f>IF(Table1[[#This Row],[Subscription Status]]="Yes",1,IF(Table1[[#This Row],[Subscription Status]]="No",0))</f>
        <v>0</v>
      </c>
    </row>
    <row r="1305" spans="1:21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  <c r="S1305" t="str">
        <f>IF(Table1[[#This Row],[Age]]&lt;=25,"Young",IF(Table1[[#This Row],[Age]]&lt;=50,"Adult","Senior"))</f>
        <v>Adult</v>
      </c>
      <c r="T1305" s="1">
        <f>Table1[[#This Row],[Purchase Amount (USD)]]</f>
        <v>32</v>
      </c>
      <c r="U1305">
        <f>IF(Table1[[#This Row],[Subscription Status]]="Yes",1,IF(Table1[[#This Row],[Subscription Status]]="No",0))</f>
        <v>0</v>
      </c>
    </row>
    <row r="1306" spans="1:21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  <c r="S1306" t="str">
        <f>IF(Table1[[#This Row],[Age]]&lt;=25,"Young",IF(Table1[[#This Row],[Age]]&lt;=50,"Adult","Senior"))</f>
        <v>Senior</v>
      </c>
      <c r="T1306" s="1">
        <f>Table1[[#This Row],[Purchase Amount (USD)]]</f>
        <v>63</v>
      </c>
      <c r="U1306">
        <f>IF(Table1[[#This Row],[Subscription Status]]="Yes",1,IF(Table1[[#This Row],[Subscription Status]]="No",0))</f>
        <v>0</v>
      </c>
    </row>
    <row r="1307" spans="1:21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  <c r="S1307" t="str">
        <f>IF(Table1[[#This Row],[Age]]&lt;=25,"Young",IF(Table1[[#This Row],[Age]]&lt;=50,"Adult","Senior"))</f>
        <v>Adult</v>
      </c>
      <c r="T1307" s="1">
        <f>Table1[[#This Row],[Purchase Amount (USD)]]</f>
        <v>56</v>
      </c>
      <c r="U1307">
        <f>IF(Table1[[#This Row],[Subscription Status]]="Yes",1,IF(Table1[[#This Row],[Subscription Status]]="No",0))</f>
        <v>0</v>
      </c>
    </row>
    <row r="1308" spans="1:21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  <c r="S1308" t="str">
        <f>IF(Table1[[#This Row],[Age]]&lt;=25,"Young",IF(Table1[[#This Row],[Age]]&lt;=50,"Adult","Senior"))</f>
        <v>Senior</v>
      </c>
      <c r="T1308" s="1">
        <f>Table1[[#This Row],[Purchase Amount (USD)]]</f>
        <v>33</v>
      </c>
      <c r="U1308">
        <f>IF(Table1[[#This Row],[Subscription Status]]="Yes",1,IF(Table1[[#This Row],[Subscription Status]]="No",0))</f>
        <v>0</v>
      </c>
    </row>
    <row r="1309" spans="1:21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  <c r="S1309" t="str">
        <f>IF(Table1[[#This Row],[Age]]&lt;=25,"Young",IF(Table1[[#This Row],[Age]]&lt;=50,"Adult","Senior"))</f>
        <v>Young</v>
      </c>
      <c r="T1309" s="1">
        <f>Table1[[#This Row],[Purchase Amount (USD)]]</f>
        <v>32</v>
      </c>
      <c r="U1309">
        <f>IF(Table1[[#This Row],[Subscription Status]]="Yes",1,IF(Table1[[#This Row],[Subscription Status]]="No",0))</f>
        <v>0</v>
      </c>
    </row>
    <row r="1310" spans="1:21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  <c r="S1310" t="str">
        <f>IF(Table1[[#This Row],[Age]]&lt;=25,"Young",IF(Table1[[#This Row],[Age]]&lt;=50,"Adult","Senior"))</f>
        <v>Senior</v>
      </c>
      <c r="T1310" s="1">
        <f>Table1[[#This Row],[Purchase Amount (USD)]]</f>
        <v>38</v>
      </c>
      <c r="U1310">
        <f>IF(Table1[[#This Row],[Subscription Status]]="Yes",1,IF(Table1[[#This Row],[Subscription Status]]="No",0))</f>
        <v>0</v>
      </c>
    </row>
    <row r="1311" spans="1:21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  <c r="S1311" t="str">
        <f>IF(Table1[[#This Row],[Age]]&lt;=25,"Young",IF(Table1[[#This Row],[Age]]&lt;=50,"Adult","Senior"))</f>
        <v>Adult</v>
      </c>
      <c r="T1311" s="1">
        <f>Table1[[#This Row],[Purchase Amount (USD)]]</f>
        <v>21</v>
      </c>
      <c r="U1311">
        <f>IF(Table1[[#This Row],[Subscription Status]]="Yes",1,IF(Table1[[#This Row],[Subscription Status]]="No",0))</f>
        <v>0</v>
      </c>
    </row>
    <row r="1312" spans="1:21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  <c r="S1312" t="str">
        <f>IF(Table1[[#This Row],[Age]]&lt;=25,"Young",IF(Table1[[#This Row],[Age]]&lt;=50,"Adult","Senior"))</f>
        <v>Adult</v>
      </c>
      <c r="T1312" s="1">
        <f>Table1[[#This Row],[Purchase Amount (USD)]]</f>
        <v>59</v>
      </c>
      <c r="U1312">
        <f>IF(Table1[[#This Row],[Subscription Status]]="Yes",1,IF(Table1[[#This Row],[Subscription Status]]="No",0))</f>
        <v>0</v>
      </c>
    </row>
    <row r="1313" spans="1:21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  <c r="S1313" t="str">
        <f>IF(Table1[[#This Row],[Age]]&lt;=25,"Young",IF(Table1[[#This Row],[Age]]&lt;=50,"Adult","Senior"))</f>
        <v>Adult</v>
      </c>
      <c r="T1313" s="1">
        <f>Table1[[#This Row],[Purchase Amount (USD)]]</f>
        <v>87</v>
      </c>
      <c r="U1313">
        <f>IF(Table1[[#This Row],[Subscription Status]]="Yes",1,IF(Table1[[#This Row],[Subscription Status]]="No",0))</f>
        <v>0</v>
      </c>
    </row>
    <row r="1314" spans="1:21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  <c r="S1314" t="str">
        <f>IF(Table1[[#This Row],[Age]]&lt;=25,"Young",IF(Table1[[#This Row],[Age]]&lt;=50,"Adult","Senior"))</f>
        <v>Senior</v>
      </c>
      <c r="T1314" s="1">
        <f>Table1[[#This Row],[Purchase Amount (USD)]]</f>
        <v>79</v>
      </c>
      <c r="U1314">
        <f>IF(Table1[[#This Row],[Subscription Status]]="Yes",1,IF(Table1[[#This Row],[Subscription Status]]="No",0))</f>
        <v>0</v>
      </c>
    </row>
    <row r="1315" spans="1:21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  <c r="S1315" t="str">
        <f>IF(Table1[[#This Row],[Age]]&lt;=25,"Young",IF(Table1[[#This Row],[Age]]&lt;=50,"Adult","Senior"))</f>
        <v>Senior</v>
      </c>
      <c r="T1315" s="1">
        <f>Table1[[#This Row],[Purchase Amount (USD)]]</f>
        <v>28</v>
      </c>
      <c r="U1315">
        <f>IF(Table1[[#This Row],[Subscription Status]]="Yes",1,IF(Table1[[#This Row],[Subscription Status]]="No",0))</f>
        <v>0</v>
      </c>
    </row>
    <row r="1316" spans="1:21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  <c r="S1316" t="str">
        <f>IF(Table1[[#This Row],[Age]]&lt;=25,"Young",IF(Table1[[#This Row],[Age]]&lt;=50,"Adult","Senior"))</f>
        <v>Adult</v>
      </c>
      <c r="T1316" s="1">
        <f>Table1[[#This Row],[Purchase Amount (USD)]]</f>
        <v>67</v>
      </c>
      <c r="U1316">
        <f>IF(Table1[[#This Row],[Subscription Status]]="Yes",1,IF(Table1[[#This Row],[Subscription Status]]="No",0))</f>
        <v>0</v>
      </c>
    </row>
    <row r="1317" spans="1:21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  <c r="S1317" t="str">
        <f>IF(Table1[[#This Row],[Age]]&lt;=25,"Young",IF(Table1[[#This Row],[Age]]&lt;=50,"Adult","Senior"))</f>
        <v>Senior</v>
      </c>
      <c r="T1317" s="1">
        <f>Table1[[#This Row],[Purchase Amount (USD)]]</f>
        <v>75</v>
      </c>
      <c r="U1317">
        <f>IF(Table1[[#This Row],[Subscription Status]]="Yes",1,IF(Table1[[#This Row],[Subscription Status]]="No",0))</f>
        <v>0</v>
      </c>
    </row>
    <row r="1318" spans="1:21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  <c r="S1318" t="str">
        <f>IF(Table1[[#This Row],[Age]]&lt;=25,"Young",IF(Table1[[#This Row],[Age]]&lt;=50,"Adult","Senior"))</f>
        <v>Adult</v>
      </c>
      <c r="T1318" s="1">
        <f>Table1[[#This Row],[Purchase Amount (USD)]]</f>
        <v>32</v>
      </c>
      <c r="U1318">
        <f>IF(Table1[[#This Row],[Subscription Status]]="Yes",1,IF(Table1[[#This Row],[Subscription Status]]="No",0))</f>
        <v>0</v>
      </c>
    </row>
    <row r="1319" spans="1:21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  <c r="S1319" t="str">
        <f>IF(Table1[[#This Row],[Age]]&lt;=25,"Young",IF(Table1[[#This Row],[Age]]&lt;=50,"Adult","Senior"))</f>
        <v>Adult</v>
      </c>
      <c r="T1319" s="1">
        <f>Table1[[#This Row],[Purchase Amount (USD)]]</f>
        <v>43</v>
      </c>
      <c r="U1319">
        <f>IF(Table1[[#This Row],[Subscription Status]]="Yes",1,IF(Table1[[#This Row],[Subscription Status]]="No",0))</f>
        <v>0</v>
      </c>
    </row>
    <row r="1320" spans="1:21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  <c r="S1320" t="str">
        <f>IF(Table1[[#This Row],[Age]]&lt;=25,"Young",IF(Table1[[#This Row],[Age]]&lt;=50,"Adult","Senior"))</f>
        <v>Senior</v>
      </c>
      <c r="T1320" s="1">
        <f>Table1[[#This Row],[Purchase Amount (USD)]]</f>
        <v>93</v>
      </c>
      <c r="U1320">
        <f>IF(Table1[[#This Row],[Subscription Status]]="Yes",1,IF(Table1[[#This Row],[Subscription Status]]="No",0))</f>
        <v>0</v>
      </c>
    </row>
    <row r="1321" spans="1:21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  <c r="S1321" t="str">
        <f>IF(Table1[[#This Row],[Age]]&lt;=25,"Young",IF(Table1[[#This Row],[Age]]&lt;=50,"Adult","Senior"))</f>
        <v>Senior</v>
      </c>
      <c r="T1321" s="1">
        <f>Table1[[#This Row],[Purchase Amount (USD)]]</f>
        <v>24</v>
      </c>
      <c r="U1321">
        <f>IF(Table1[[#This Row],[Subscription Status]]="Yes",1,IF(Table1[[#This Row],[Subscription Status]]="No",0))</f>
        <v>0</v>
      </c>
    </row>
    <row r="1322" spans="1:21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  <c r="S1322" t="str">
        <f>IF(Table1[[#This Row],[Age]]&lt;=25,"Young",IF(Table1[[#This Row],[Age]]&lt;=50,"Adult","Senior"))</f>
        <v>Senior</v>
      </c>
      <c r="T1322" s="1">
        <f>Table1[[#This Row],[Purchase Amount (USD)]]</f>
        <v>31</v>
      </c>
      <c r="U1322">
        <f>IF(Table1[[#This Row],[Subscription Status]]="Yes",1,IF(Table1[[#This Row],[Subscription Status]]="No",0))</f>
        <v>0</v>
      </c>
    </row>
    <row r="1323" spans="1:21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  <c r="S1323" t="str">
        <f>IF(Table1[[#This Row],[Age]]&lt;=25,"Young",IF(Table1[[#This Row],[Age]]&lt;=50,"Adult","Senior"))</f>
        <v>Senior</v>
      </c>
      <c r="T1323" s="1">
        <f>Table1[[#This Row],[Purchase Amount (USD)]]</f>
        <v>84</v>
      </c>
      <c r="U1323">
        <f>IF(Table1[[#This Row],[Subscription Status]]="Yes",1,IF(Table1[[#This Row],[Subscription Status]]="No",0))</f>
        <v>0</v>
      </c>
    </row>
    <row r="1324" spans="1:21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  <c r="S1324" t="str">
        <f>IF(Table1[[#This Row],[Age]]&lt;=25,"Young",IF(Table1[[#This Row],[Age]]&lt;=50,"Adult","Senior"))</f>
        <v>Young</v>
      </c>
      <c r="T1324" s="1">
        <f>Table1[[#This Row],[Purchase Amount (USD)]]</f>
        <v>74</v>
      </c>
      <c r="U1324">
        <f>IF(Table1[[#This Row],[Subscription Status]]="Yes",1,IF(Table1[[#This Row],[Subscription Status]]="No",0))</f>
        <v>0</v>
      </c>
    </row>
    <row r="1325" spans="1:21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  <c r="S1325" t="str">
        <f>IF(Table1[[#This Row],[Age]]&lt;=25,"Young",IF(Table1[[#This Row],[Age]]&lt;=50,"Adult","Senior"))</f>
        <v>Senior</v>
      </c>
      <c r="T1325" s="1">
        <f>Table1[[#This Row],[Purchase Amount (USD)]]</f>
        <v>62</v>
      </c>
      <c r="U1325">
        <f>IF(Table1[[#This Row],[Subscription Status]]="Yes",1,IF(Table1[[#This Row],[Subscription Status]]="No",0))</f>
        <v>0</v>
      </c>
    </row>
    <row r="1326" spans="1:21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  <c r="S1326" t="str">
        <f>IF(Table1[[#This Row],[Age]]&lt;=25,"Young",IF(Table1[[#This Row],[Age]]&lt;=50,"Adult","Senior"))</f>
        <v>Adult</v>
      </c>
      <c r="T1326" s="1">
        <f>Table1[[#This Row],[Purchase Amount (USD)]]</f>
        <v>77</v>
      </c>
      <c r="U1326">
        <f>IF(Table1[[#This Row],[Subscription Status]]="Yes",1,IF(Table1[[#This Row],[Subscription Status]]="No",0))</f>
        <v>0</v>
      </c>
    </row>
    <row r="1327" spans="1:21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  <c r="S1327" t="str">
        <f>IF(Table1[[#This Row],[Age]]&lt;=25,"Young",IF(Table1[[#This Row],[Age]]&lt;=50,"Adult","Senior"))</f>
        <v>Adult</v>
      </c>
      <c r="T1327" s="1">
        <f>Table1[[#This Row],[Purchase Amount (USD)]]</f>
        <v>73</v>
      </c>
      <c r="U1327">
        <f>IF(Table1[[#This Row],[Subscription Status]]="Yes",1,IF(Table1[[#This Row],[Subscription Status]]="No",0))</f>
        <v>0</v>
      </c>
    </row>
    <row r="1328" spans="1:21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  <c r="S1328" t="str">
        <f>IF(Table1[[#This Row],[Age]]&lt;=25,"Young",IF(Table1[[#This Row],[Age]]&lt;=50,"Adult","Senior"))</f>
        <v>Adult</v>
      </c>
      <c r="T1328" s="1">
        <f>Table1[[#This Row],[Purchase Amount (USD)]]</f>
        <v>50</v>
      </c>
      <c r="U1328">
        <f>IF(Table1[[#This Row],[Subscription Status]]="Yes",1,IF(Table1[[#This Row],[Subscription Status]]="No",0))</f>
        <v>0</v>
      </c>
    </row>
    <row r="1329" spans="1:21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  <c r="S1329" t="str">
        <f>IF(Table1[[#This Row],[Age]]&lt;=25,"Young",IF(Table1[[#This Row],[Age]]&lt;=50,"Adult","Senior"))</f>
        <v>Senior</v>
      </c>
      <c r="T1329" s="1">
        <f>Table1[[#This Row],[Purchase Amount (USD)]]</f>
        <v>40</v>
      </c>
      <c r="U1329">
        <f>IF(Table1[[#This Row],[Subscription Status]]="Yes",1,IF(Table1[[#This Row],[Subscription Status]]="No",0))</f>
        <v>0</v>
      </c>
    </row>
    <row r="1330" spans="1:21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  <c r="S1330" t="str">
        <f>IF(Table1[[#This Row],[Age]]&lt;=25,"Young",IF(Table1[[#This Row],[Age]]&lt;=50,"Adult","Senior"))</f>
        <v>Adult</v>
      </c>
      <c r="T1330" s="1">
        <f>Table1[[#This Row],[Purchase Amount (USD)]]</f>
        <v>97</v>
      </c>
      <c r="U1330">
        <f>IF(Table1[[#This Row],[Subscription Status]]="Yes",1,IF(Table1[[#This Row],[Subscription Status]]="No",0))</f>
        <v>0</v>
      </c>
    </row>
    <row r="1331" spans="1:21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  <c r="S1331" t="str">
        <f>IF(Table1[[#This Row],[Age]]&lt;=25,"Young",IF(Table1[[#This Row],[Age]]&lt;=50,"Adult","Senior"))</f>
        <v>Senior</v>
      </c>
      <c r="T1331" s="1">
        <f>Table1[[#This Row],[Purchase Amount (USD)]]</f>
        <v>63</v>
      </c>
      <c r="U1331">
        <f>IF(Table1[[#This Row],[Subscription Status]]="Yes",1,IF(Table1[[#This Row],[Subscription Status]]="No",0))</f>
        <v>0</v>
      </c>
    </row>
    <row r="1332" spans="1:21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  <c r="S1332" t="str">
        <f>IF(Table1[[#This Row],[Age]]&lt;=25,"Young",IF(Table1[[#This Row],[Age]]&lt;=50,"Adult","Senior"))</f>
        <v>Adult</v>
      </c>
      <c r="T1332" s="1">
        <f>Table1[[#This Row],[Purchase Amount (USD)]]</f>
        <v>65</v>
      </c>
      <c r="U1332">
        <f>IF(Table1[[#This Row],[Subscription Status]]="Yes",1,IF(Table1[[#This Row],[Subscription Status]]="No",0))</f>
        <v>0</v>
      </c>
    </row>
    <row r="1333" spans="1:21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  <c r="S1333" t="str">
        <f>IF(Table1[[#This Row],[Age]]&lt;=25,"Young",IF(Table1[[#This Row],[Age]]&lt;=50,"Adult","Senior"))</f>
        <v>Adult</v>
      </c>
      <c r="T1333" s="1">
        <f>Table1[[#This Row],[Purchase Amount (USD)]]</f>
        <v>91</v>
      </c>
      <c r="U1333">
        <f>IF(Table1[[#This Row],[Subscription Status]]="Yes",1,IF(Table1[[#This Row],[Subscription Status]]="No",0))</f>
        <v>0</v>
      </c>
    </row>
    <row r="1334" spans="1:21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  <c r="S1334" t="str">
        <f>IF(Table1[[#This Row],[Age]]&lt;=25,"Young",IF(Table1[[#This Row],[Age]]&lt;=50,"Adult","Senior"))</f>
        <v>Senior</v>
      </c>
      <c r="T1334" s="1">
        <f>Table1[[#This Row],[Purchase Amount (USD)]]</f>
        <v>60</v>
      </c>
      <c r="U1334">
        <f>IF(Table1[[#This Row],[Subscription Status]]="Yes",1,IF(Table1[[#This Row],[Subscription Status]]="No",0))</f>
        <v>0</v>
      </c>
    </row>
    <row r="1335" spans="1:21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  <c r="S1335" t="str">
        <f>IF(Table1[[#This Row],[Age]]&lt;=25,"Young",IF(Table1[[#This Row],[Age]]&lt;=50,"Adult","Senior"))</f>
        <v>Adult</v>
      </c>
      <c r="T1335" s="1">
        <f>Table1[[#This Row],[Purchase Amount (USD)]]</f>
        <v>69</v>
      </c>
      <c r="U1335">
        <f>IF(Table1[[#This Row],[Subscription Status]]="Yes",1,IF(Table1[[#This Row],[Subscription Status]]="No",0))</f>
        <v>0</v>
      </c>
    </row>
    <row r="1336" spans="1:21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  <c r="S1336" t="str">
        <f>IF(Table1[[#This Row],[Age]]&lt;=25,"Young",IF(Table1[[#This Row],[Age]]&lt;=50,"Adult","Senior"))</f>
        <v>Adult</v>
      </c>
      <c r="T1336" s="1">
        <f>Table1[[#This Row],[Purchase Amount (USD)]]</f>
        <v>52</v>
      </c>
      <c r="U1336">
        <f>IF(Table1[[#This Row],[Subscription Status]]="Yes",1,IF(Table1[[#This Row],[Subscription Status]]="No",0))</f>
        <v>0</v>
      </c>
    </row>
    <row r="1337" spans="1:21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  <c r="S1337" t="str">
        <f>IF(Table1[[#This Row],[Age]]&lt;=25,"Young",IF(Table1[[#This Row],[Age]]&lt;=50,"Adult","Senior"))</f>
        <v>Senior</v>
      </c>
      <c r="T1337" s="1">
        <f>Table1[[#This Row],[Purchase Amount (USD)]]</f>
        <v>49</v>
      </c>
      <c r="U1337">
        <f>IF(Table1[[#This Row],[Subscription Status]]="Yes",1,IF(Table1[[#This Row],[Subscription Status]]="No",0))</f>
        <v>0</v>
      </c>
    </row>
    <row r="1338" spans="1:21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  <c r="S1338" t="str">
        <f>IF(Table1[[#This Row],[Age]]&lt;=25,"Young",IF(Table1[[#This Row],[Age]]&lt;=50,"Adult","Senior"))</f>
        <v>Young</v>
      </c>
      <c r="T1338" s="1">
        <f>Table1[[#This Row],[Purchase Amount (USD)]]</f>
        <v>85</v>
      </c>
      <c r="U1338">
        <f>IF(Table1[[#This Row],[Subscription Status]]="Yes",1,IF(Table1[[#This Row],[Subscription Status]]="No",0))</f>
        <v>0</v>
      </c>
    </row>
    <row r="1339" spans="1:21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  <c r="S1339" t="str">
        <f>IF(Table1[[#This Row],[Age]]&lt;=25,"Young",IF(Table1[[#This Row],[Age]]&lt;=50,"Adult","Senior"))</f>
        <v>Adult</v>
      </c>
      <c r="T1339" s="1">
        <f>Table1[[#This Row],[Purchase Amount (USD)]]</f>
        <v>86</v>
      </c>
      <c r="U1339">
        <f>IF(Table1[[#This Row],[Subscription Status]]="Yes",1,IF(Table1[[#This Row],[Subscription Status]]="No",0))</f>
        <v>0</v>
      </c>
    </row>
    <row r="1340" spans="1:21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  <c r="S1340" t="str">
        <f>IF(Table1[[#This Row],[Age]]&lt;=25,"Young",IF(Table1[[#This Row],[Age]]&lt;=50,"Adult","Senior"))</f>
        <v>Senior</v>
      </c>
      <c r="T1340" s="1">
        <f>Table1[[#This Row],[Purchase Amount (USD)]]</f>
        <v>51</v>
      </c>
      <c r="U1340">
        <f>IF(Table1[[#This Row],[Subscription Status]]="Yes",1,IF(Table1[[#This Row],[Subscription Status]]="No",0))</f>
        <v>0</v>
      </c>
    </row>
    <row r="1341" spans="1:21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  <c r="S1341" t="str">
        <f>IF(Table1[[#This Row],[Age]]&lt;=25,"Young",IF(Table1[[#This Row],[Age]]&lt;=50,"Adult","Senior"))</f>
        <v>Adult</v>
      </c>
      <c r="T1341" s="1">
        <f>Table1[[#This Row],[Purchase Amount (USD)]]</f>
        <v>56</v>
      </c>
      <c r="U1341">
        <f>IF(Table1[[#This Row],[Subscription Status]]="Yes",1,IF(Table1[[#This Row],[Subscription Status]]="No",0))</f>
        <v>0</v>
      </c>
    </row>
    <row r="1342" spans="1:21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  <c r="S1342" t="str">
        <f>IF(Table1[[#This Row],[Age]]&lt;=25,"Young",IF(Table1[[#This Row],[Age]]&lt;=50,"Adult","Senior"))</f>
        <v>Adult</v>
      </c>
      <c r="T1342" s="1">
        <f>Table1[[#This Row],[Purchase Amount (USD)]]</f>
        <v>72</v>
      </c>
      <c r="U1342">
        <f>IF(Table1[[#This Row],[Subscription Status]]="Yes",1,IF(Table1[[#This Row],[Subscription Status]]="No",0))</f>
        <v>0</v>
      </c>
    </row>
    <row r="1343" spans="1:21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  <c r="S1343" t="str">
        <f>IF(Table1[[#This Row],[Age]]&lt;=25,"Young",IF(Table1[[#This Row],[Age]]&lt;=50,"Adult","Senior"))</f>
        <v>Adult</v>
      </c>
      <c r="T1343" s="1">
        <f>Table1[[#This Row],[Purchase Amount (USD)]]</f>
        <v>27</v>
      </c>
      <c r="U1343">
        <f>IF(Table1[[#This Row],[Subscription Status]]="Yes",1,IF(Table1[[#This Row],[Subscription Status]]="No",0))</f>
        <v>0</v>
      </c>
    </row>
    <row r="1344" spans="1:21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  <c r="S1344" t="str">
        <f>IF(Table1[[#This Row],[Age]]&lt;=25,"Young",IF(Table1[[#This Row],[Age]]&lt;=50,"Adult","Senior"))</f>
        <v>Senior</v>
      </c>
      <c r="T1344" s="1">
        <f>Table1[[#This Row],[Purchase Amount (USD)]]</f>
        <v>43</v>
      </c>
      <c r="U1344">
        <f>IF(Table1[[#This Row],[Subscription Status]]="Yes",1,IF(Table1[[#This Row],[Subscription Status]]="No",0))</f>
        <v>0</v>
      </c>
    </row>
    <row r="1345" spans="1:21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  <c r="S1345" t="str">
        <f>IF(Table1[[#This Row],[Age]]&lt;=25,"Young",IF(Table1[[#This Row],[Age]]&lt;=50,"Adult","Senior"))</f>
        <v>Senior</v>
      </c>
      <c r="T1345" s="1">
        <f>Table1[[#This Row],[Purchase Amount (USD)]]</f>
        <v>56</v>
      </c>
      <c r="U1345">
        <f>IF(Table1[[#This Row],[Subscription Status]]="Yes",1,IF(Table1[[#This Row],[Subscription Status]]="No",0))</f>
        <v>0</v>
      </c>
    </row>
    <row r="1346" spans="1:21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  <c r="S1346" t="str">
        <f>IF(Table1[[#This Row],[Age]]&lt;=25,"Young",IF(Table1[[#This Row],[Age]]&lt;=50,"Adult","Senior"))</f>
        <v>Senior</v>
      </c>
      <c r="T1346" s="1">
        <f>Table1[[#This Row],[Purchase Amount (USD)]]</f>
        <v>37</v>
      </c>
      <c r="U1346">
        <f>IF(Table1[[#This Row],[Subscription Status]]="Yes",1,IF(Table1[[#This Row],[Subscription Status]]="No",0))</f>
        <v>0</v>
      </c>
    </row>
    <row r="1347" spans="1:21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  <c r="S1347" t="str">
        <f>IF(Table1[[#This Row],[Age]]&lt;=25,"Young",IF(Table1[[#This Row],[Age]]&lt;=50,"Adult","Senior"))</f>
        <v>Adult</v>
      </c>
      <c r="T1347" s="1">
        <f>Table1[[#This Row],[Purchase Amount (USD)]]</f>
        <v>21</v>
      </c>
      <c r="U1347">
        <f>IF(Table1[[#This Row],[Subscription Status]]="Yes",1,IF(Table1[[#This Row],[Subscription Status]]="No",0))</f>
        <v>0</v>
      </c>
    </row>
    <row r="1348" spans="1:21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  <c r="S1348" t="str">
        <f>IF(Table1[[#This Row],[Age]]&lt;=25,"Young",IF(Table1[[#This Row],[Age]]&lt;=50,"Adult","Senior"))</f>
        <v>Adult</v>
      </c>
      <c r="T1348" s="1">
        <f>Table1[[#This Row],[Purchase Amount (USD)]]</f>
        <v>91</v>
      </c>
      <c r="U1348">
        <f>IF(Table1[[#This Row],[Subscription Status]]="Yes",1,IF(Table1[[#This Row],[Subscription Status]]="No",0))</f>
        <v>0</v>
      </c>
    </row>
    <row r="1349" spans="1:21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  <c r="S1349" t="str">
        <f>IF(Table1[[#This Row],[Age]]&lt;=25,"Young",IF(Table1[[#This Row],[Age]]&lt;=50,"Adult","Senior"))</f>
        <v>Adult</v>
      </c>
      <c r="T1349" s="1">
        <f>Table1[[#This Row],[Purchase Amount (USD)]]</f>
        <v>95</v>
      </c>
      <c r="U1349">
        <f>IF(Table1[[#This Row],[Subscription Status]]="Yes",1,IF(Table1[[#This Row],[Subscription Status]]="No",0))</f>
        <v>0</v>
      </c>
    </row>
    <row r="1350" spans="1:21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  <c r="S1350" t="str">
        <f>IF(Table1[[#This Row],[Age]]&lt;=25,"Young",IF(Table1[[#This Row],[Age]]&lt;=50,"Adult","Senior"))</f>
        <v>Young</v>
      </c>
      <c r="T1350" s="1">
        <f>Table1[[#This Row],[Purchase Amount (USD)]]</f>
        <v>54</v>
      </c>
      <c r="U1350">
        <f>IF(Table1[[#This Row],[Subscription Status]]="Yes",1,IF(Table1[[#This Row],[Subscription Status]]="No",0))</f>
        <v>0</v>
      </c>
    </row>
    <row r="1351" spans="1:21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  <c r="S1351" t="str">
        <f>IF(Table1[[#This Row],[Age]]&lt;=25,"Young",IF(Table1[[#This Row],[Age]]&lt;=50,"Adult","Senior"))</f>
        <v>Young</v>
      </c>
      <c r="T1351" s="1">
        <f>Table1[[#This Row],[Purchase Amount (USD)]]</f>
        <v>36</v>
      </c>
      <c r="U1351">
        <f>IF(Table1[[#This Row],[Subscription Status]]="Yes",1,IF(Table1[[#This Row],[Subscription Status]]="No",0))</f>
        <v>0</v>
      </c>
    </row>
    <row r="1352" spans="1:21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  <c r="S1352" t="str">
        <f>IF(Table1[[#This Row],[Age]]&lt;=25,"Young",IF(Table1[[#This Row],[Age]]&lt;=50,"Adult","Senior"))</f>
        <v>Adult</v>
      </c>
      <c r="T1352" s="1">
        <f>Table1[[#This Row],[Purchase Amount (USD)]]</f>
        <v>71</v>
      </c>
      <c r="U1352">
        <f>IF(Table1[[#This Row],[Subscription Status]]="Yes",1,IF(Table1[[#This Row],[Subscription Status]]="No",0))</f>
        <v>0</v>
      </c>
    </row>
    <row r="1353" spans="1:21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  <c r="S1353" t="str">
        <f>IF(Table1[[#This Row],[Age]]&lt;=25,"Young",IF(Table1[[#This Row],[Age]]&lt;=50,"Adult","Senior"))</f>
        <v>Adult</v>
      </c>
      <c r="T1353" s="1">
        <f>Table1[[#This Row],[Purchase Amount (USD)]]</f>
        <v>31</v>
      </c>
      <c r="U1353">
        <f>IF(Table1[[#This Row],[Subscription Status]]="Yes",1,IF(Table1[[#This Row],[Subscription Status]]="No",0))</f>
        <v>0</v>
      </c>
    </row>
    <row r="1354" spans="1:21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  <c r="S1354" t="str">
        <f>IF(Table1[[#This Row],[Age]]&lt;=25,"Young",IF(Table1[[#This Row],[Age]]&lt;=50,"Adult","Senior"))</f>
        <v>Senior</v>
      </c>
      <c r="T1354" s="1">
        <f>Table1[[#This Row],[Purchase Amount (USD)]]</f>
        <v>89</v>
      </c>
      <c r="U1354">
        <f>IF(Table1[[#This Row],[Subscription Status]]="Yes",1,IF(Table1[[#This Row],[Subscription Status]]="No",0))</f>
        <v>0</v>
      </c>
    </row>
    <row r="1355" spans="1:21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  <c r="S1355" t="str">
        <f>IF(Table1[[#This Row],[Age]]&lt;=25,"Young",IF(Table1[[#This Row],[Age]]&lt;=50,"Adult","Senior"))</f>
        <v>Adult</v>
      </c>
      <c r="T1355" s="1">
        <f>Table1[[#This Row],[Purchase Amount (USD)]]</f>
        <v>83</v>
      </c>
      <c r="U1355">
        <f>IF(Table1[[#This Row],[Subscription Status]]="Yes",1,IF(Table1[[#This Row],[Subscription Status]]="No",0))</f>
        <v>0</v>
      </c>
    </row>
    <row r="1356" spans="1:21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  <c r="S1356" t="str">
        <f>IF(Table1[[#This Row],[Age]]&lt;=25,"Young",IF(Table1[[#This Row],[Age]]&lt;=50,"Adult","Senior"))</f>
        <v>Senior</v>
      </c>
      <c r="T1356" s="1">
        <f>Table1[[#This Row],[Purchase Amount (USD)]]</f>
        <v>42</v>
      </c>
      <c r="U1356">
        <f>IF(Table1[[#This Row],[Subscription Status]]="Yes",1,IF(Table1[[#This Row],[Subscription Status]]="No",0))</f>
        <v>0</v>
      </c>
    </row>
    <row r="1357" spans="1:21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  <c r="S1357" t="str">
        <f>IF(Table1[[#This Row],[Age]]&lt;=25,"Young",IF(Table1[[#This Row],[Age]]&lt;=50,"Adult","Senior"))</f>
        <v>Senior</v>
      </c>
      <c r="T1357" s="1">
        <f>Table1[[#This Row],[Purchase Amount (USD)]]</f>
        <v>91</v>
      </c>
      <c r="U1357">
        <f>IF(Table1[[#This Row],[Subscription Status]]="Yes",1,IF(Table1[[#This Row],[Subscription Status]]="No",0))</f>
        <v>0</v>
      </c>
    </row>
    <row r="1358" spans="1:21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  <c r="S1358" t="str">
        <f>IF(Table1[[#This Row],[Age]]&lt;=25,"Young",IF(Table1[[#This Row],[Age]]&lt;=50,"Adult","Senior"))</f>
        <v>Adult</v>
      </c>
      <c r="T1358" s="1">
        <f>Table1[[#This Row],[Purchase Amount (USD)]]</f>
        <v>61</v>
      </c>
      <c r="U1358">
        <f>IF(Table1[[#This Row],[Subscription Status]]="Yes",1,IF(Table1[[#This Row],[Subscription Status]]="No",0))</f>
        <v>0</v>
      </c>
    </row>
    <row r="1359" spans="1:21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  <c r="S1359" t="str">
        <f>IF(Table1[[#This Row],[Age]]&lt;=25,"Young",IF(Table1[[#This Row],[Age]]&lt;=50,"Adult","Senior"))</f>
        <v>Young</v>
      </c>
      <c r="T1359" s="1">
        <f>Table1[[#This Row],[Purchase Amount (USD)]]</f>
        <v>66</v>
      </c>
      <c r="U1359">
        <f>IF(Table1[[#This Row],[Subscription Status]]="Yes",1,IF(Table1[[#This Row],[Subscription Status]]="No",0))</f>
        <v>0</v>
      </c>
    </row>
    <row r="1360" spans="1:21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  <c r="S1360" t="str">
        <f>IF(Table1[[#This Row],[Age]]&lt;=25,"Young",IF(Table1[[#This Row],[Age]]&lt;=50,"Adult","Senior"))</f>
        <v>Young</v>
      </c>
      <c r="T1360" s="1">
        <f>Table1[[#This Row],[Purchase Amount (USD)]]</f>
        <v>22</v>
      </c>
      <c r="U1360">
        <f>IF(Table1[[#This Row],[Subscription Status]]="Yes",1,IF(Table1[[#This Row],[Subscription Status]]="No",0))</f>
        <v>0</v>
      </c>
    </row>
    <row r="1361" spans="1:21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  <c r="S1361" t="str">
        <f>IF(Table1[[#This Row],[Age]]&lt;=25,"Young",IF(Table1[[#This Row],[Age]]&lt;=50,"Adult","Senior"))</f>
        <v>Adult</v>
      </c>
      <c r="T1361" s="1">
        <f>Table1[[#This Row],[Purchase Amount (USD)]]</f>
        <v>68</v>
      </c>
      <c r="U1361">
        <f>IF(Table1[[#This Row],[Subscription Status]]="Yes",1,IF(Table1[[#This Row],[Subscription Status]]="No",0))</f>
        <v>0</v>
      </c>
    </row>
    <row r="1362" spans="1:21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  <c r="S1362" t="str">
        <f>IF(Table1[[#This Row],[Age]]&lt;=25,"Young",IF(Table1[[#This Row],[Age]]&lt;=50,"Adult","Senior"))</f>
        <v>Senior</v>
      </c>
      <c r="T1362" s="1">
        <f>Table1[[#This Row],[Purchase Amount (USD)]]</f>
        <v>43</v>
      </c>
      <c r="U1362">
        <f>IF(Table1[[#This Row],[Subscription Status]]="Yes",1,IF(Table1[[#This Row],[Subscription Status]]="No",0))</f>
        <v>0</v>
      </c>
    </row>
    <row r="1363" spans="1:21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  <c r="S1363" t="str">
        <f>IF(Table1[[#This Row],[Age]]&lt;=25,"Young",IF(Table1[[#This Row],[Age]]&lt;=50,"Adult","Senior"))</f>
        <v>Adult</v>
      </c>
      <c r="T1363" s="1">
        <f>Table1[[#This Row],[Purchase Amount (USD)]]</f>
        <v>32</v>
      </c>
      <c r="U1363">
        <f>IF(Table1[[#This Row],[Subscription Status]]="Yes",1,IF(Table1[[#This Row],[Subscription Status]]="No",0))</f>
        <v>0</v>
      </c>
    </row>
    <row r="1364" spans="1:21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  <c r="S1364" t="str">
        <f>IF(Table1[[#This Row],[Age]]&lt;=25,"Young",IF(Table1[[#This Row],[Age]]&lt;=50,"Adult","Senior"))</f>
        <v>Adult</v>
      </c>
      <c r="T1364" s="1">
        <f>Table1[[#This Row],[Purchase Amount (USD)]]</f>
        <v>46</v>
      </c>
      <c r="U1364">
        <f>IF(Table1[[#This Row],[Subscription Status]]="Yes",1,IF(Table1[[#This Row],[Subscription Status]]="No",0))</f>
        <v>0</v>
      </c>
    </row>
    <row r="1365" spans="1:21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  <c r="S1365" t="str">
        <f>IF(Table1[[#This Row],[Age]]&lt;=25,"Young",IF(Table1[[#This Row],[Age]]&lt;=50,"Adult","Senior"))</f>
        <v>Adult</v>
      </c>
      <c r="T1365" s="1">
        <f>Table1[[#This Row],[Purchase Amount (USD)]]</f>
        <v>90</v>
      </c>
      <c r="U1365">
        <f>IF(Table1[[#This Row],[Subscription Status]]="Yes",1,IF(Table1[[#This Row],[Subscription Status]]="No",0))</f>
        <v>0</v>
      </c>
    </row>
    <row r="1366" spans="1:21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  <c r="S1366" t="str">
        <f>IF(Table1[[#This Row],[Age]]&lt;=25,"Young",IF(Table1[[#This Row],[Age]]&lt;=50,"Adult","Senior"))</f>
        <v>Senior</v>
      </c>
      <c r="T1366" s="1">
        <f>Table1[[#This Row],[Purchase Amount (USD)]]</f>
        <v>75</v>
      </c>
      <c r="U1366">
        <f>IF(Table1[[#This Row],[Subscription Status]]="Yes",1,IF(Table1[[#This Row],[Subscription Status]]="No",0))</f>
        <v>0</v>
      </c>
    </row>
    <row r="1367" spans="1:21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  <c r="S1367" t="str">
        <f>IF(Table1[[#This Row],[Age]]&lt;=25,"Young",IF(Table1[[#This Row],[Age]]&lt;=50,"Adult","Senior"))</f>
        <v>Adult</v>
      </c>
      <c r="T1367" s="1">
        <f>Table1[[#This Row],[Purchase Amount (USD)]]</f>
        <v>69</v>
      </c>
      <c r="U1367">
        <f>IF(Table1[[#This Row],[Subscription Status]]="Yes",1,IF(Table1[[#This Row],[Subscription Status]]="No",0))</f>
        <v>0</v>
      </c>
    </row>
    <row r="1368" spans="1:21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  <c r="S1368" t="str">
        <f>IF(Table1[[#This Row],[Age]]&lt;=25,"Young",IF(Table1[[#This Row],[Age]]&lt;=50,"Adult","Senior"))</f>
        <v>Adult</v>
      </c>
      <c r="T1368" s="1">
        <f>Table1[[#This Row],[Purchase Amount (USD)]]</f>
        <v>40</v>
      </c>
      <c r="U1368">
        <f>IF(Table1[[#This Row],[Subscription Status]]="Yes",1,IF(Table1[[#This Row],[Subscription Status]]="No",0))</f>
        <v>0</v>
      </c>
    </row>
    <row r="1369" spans="1:21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  <c r="S1369" t="str">
        <f>IF(Table1[[#This Row],[Age]]&lt;=25,"Young",IF(Table1[[#This Row],[Age]]&lt;=50,"Adult","Senior"))</f>
        <v>Senior</v>
      </c>
      <c r="T1369" s="1">
        <f>Table1[[#This Row],[Purchase Amount (USD)]]</f>
        <v>63</v>
      </c>
      <c r="U1369">
        <f>IF(Table1[[#This Row],[Subscription Status]]="Yes",1,IF(Table1[[#This Row],[Subscription Status]]="No",0))</f>
        <v>0</v>
      </c>
    </row>
    <row r="1370" spans="1:21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  <c r="S1370" t="str">
        <f>IF(Table1[[#This Row],[Age]]&lt;=25,"Young",IF(Table1[[#This Row],[Age]]&lt;=50,"Adult","Senior"))</f>
        <v>Young</v>
      </c>
      <c r="T1370" s="1">
        <f>Table1[[#This Row],[Purchase Amount (USD)]]</f>
        <v>36</v>
      </c>
      <c r="U1370">
        <f>IF(Table1[[#This Row],[Subscription Status]]="Yes",1,IF(Table1[[#This Row],[Subscription Status]]="No",0))</f>
        <v>0</v>
      </c>
    </row>
    <row r="1371" spans="1:21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  <c r="S1371" t="str">
        <f>IF(Table1[[#This Row],[Age]]&lt;=25,"Young",IF(Table1[[#This Row],[Age]]&lt;=50,"Adult","Senior"))</f>
        <v>Adult</v>
      </c>
      <c r="T1371" s="1">
        <f>Table1[[#This Row],[Purchase Amount (USD)]]</f>
        <v>75</v>
      </c>
      <c r="U1371">
        <f>IF(Table1[[#This Row],[Subscription Status]]="Yes",1,IF(Table1[[#This Row],[Subscription Status]]="No",0))</f>
        <v>0</v>
      </c>
    </row>
    <row r="1372" spans="1:21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  <c r="S1372" t="str">
        <f>IF(Table1[[#This Row],[Age]]&lt;=25,"Young",IF(Table1[[#This Row],[Age]]&lt;=50,"Adult","Senior"))</f>
        <v>Adult</v>
      </c>
      <c r="T1372" s="1">
        <f>Table1[[#This Row],[Purchase Amount (USD)]]</f>
        <v>67</v>
      </c>
      <c r="U1372">
        <f>IF(Table1[[#This Row],[Subscription Status]]="Yes",1,IF(Table1[[#This Row],[Subscription Status]]="No",0))</f>
        <v>0</v>
      </c>
    </row>
    <row r="1373" spans="1:21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  <c r="S1373" t="str">
        <f>IF(Table1[[#This Row],[Age]]&lt;=25,"Young",IF(Table1[[#This Row],[Age]]&lt;=50,"Adult","Senior"))</f>
        <v>Adult</v>
      </c>
      <c r="T1373" s="1">
        <f>Table1[[#This Row],[Purchase Amount (USD)]]</f>
        <v>64</v>
      </c>
      <c r="U1373">
        <f>IF(Table1[[#This Row],[Subscription Status]]="Yes",1,IF(Table1[[#This Row],[Subscription Status]]="No",0))</f>
        <v>0</v>
      </c>
    </row>
    <row r="1374" spans="1:21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  <c r="S1374" t="str">
        <f>IF(Table1[[#This Row],[Age]]&lt;=25,"Young",IF(Table1[[#This Row],[Age]]&lt;=50,"Adult","Senior"))</f>
        <v>Senior</v>
      </c>
      <c r="T1374" s="1">
        <f>Table1[[#This Row],[Purchase Amount (USD)]]</f>
        <v>61</v>
      </c>
      <c r="U1374">
        <f>IF(Table1[[#This Row],[Subscription Status]]="Yes",1,IF(Table1[[#This Row],[Subscription Status]]="No",0))</f>
        <v>0</v>
      </c>
    </row>
    <row r="1375" spans="1:21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  <c r="S1375" t="str">
        <f>IF(Table1[[#This Row],[Age]]&lt;=25,"Young",IF(Table1[[#This Row],[Age]]&lt;=50,"Adult","Senior"))</f>
        <v>Young</v>
      </c>
      <c r="T1375" s="1">
        <f>Table1[[#This Row],[Purchase Amount (USD)]]</f>
        <v>40</v>
      </c>
      <c r="U1375">
        <f>IF(Table1[[#This Row],[Subscription Status]]="Yes",1,IF(Table1[[#This Row],[Subscription Status]]="No",0))</f>
        <v>0</v>
      </c>
    </row>
    <row r="1376" spans="1:21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  <c r="S1376" t="str">
        <f>IF(Table1[[#This Row],[Age]]&lt;=25,"Young",IF(Table1[[#This Row],[Age]]&lt;=50,"Adult","Senior"))</f>
        <v>Young</v>
      </c>
      <c r="T1376" s="1">
        <f>Table1[[#This Row],[Purchase Amount (USD)]]</f>
        <v>97</v>
      </c>
      <c r="U1376">
        <f>IF(Table1[[#This Row],[Subscription Status]]="Yes",1,IF(Table1[[#This Row],[Subscription Status]]="No",0))</f>
        <v>0</v>
      </c>
    </row>
    <row r="1377" spans="1:21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  <c r="S1377" t="str">
        <f>IF(Table1[[#This Row],[Age]]&lt;=25,"Young",IF(Table1[[#This Row],[Age]]&lt;=50,"Adult","Senior"))</f>
        <v>Adult</v>
      </c>
      <c r="T1377" s="1">
        <f>Table1[[#This Row],[Purchase Amount (USD)]]</f>
        <v>31</v>
      </c>
      <c r="U1377">
        <f>IF(Table1[[#This Row],[Subscription Status]]="Yes",1,IF(Table1[[#This Row],[Subscription Status]]="No",0))</f>
        <v>0</v>
      </c>
    </row>
    <row r="1378" spans="1:21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  <c r="S1378" t="str">
        <f>IF(Table1[[#This Row],[Age]]&lt;=25,"Young",IF(Table1[[#This Row],[Age]]&lt;=50,"Adult","Senior"))</f>
        <v>Senior</v>
      </c>
      <c r="T1378" s="1">
        <f>Table1[[#This Row],[Purchase Amount (USD)]]</f>
        <v>65</v>
      </c>
      <c r="U1378">
        <f>IF(Table1[[#This Row],[Subscription Status]]="Yes",1,IF(Table1[[#This Row],[Subscription Status]]="No",0))</f>
        <v>0</v>
      </c>
    </row>
    <row r="1379" spans="1:21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  <c r="S1379" t="str">
        <f>IF(Table1[[#This Row],[Age]]&lt;=25,"Young",IF(Table1[[#This Row],[Age]]&lt;=50,"Adult","Senior"))</f>
        <v>Adult</v>
      </c>
      <c r="T1379" s="1">
        <f>Table1[[#This Row],[Purchase Amount (USD)]]</f>
        <v>54</v>
      </c>
      <c r="U1379">
        <f>IF(Table1[[#This Row],[Subscription Status]]="Yes",1,IF(Table1[[#This Row],[Subscription Status]]="No",0))</f>
        <v>0</v>
      </c>
    </row>
    <row r="1380" spans="1:21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  <c r="S1380" t="str">
        <f>IF(Table1[[#This Row],[Age]]&lt;=25,"Young",IF(Table1[[#This Row],[Age]]&lt;=50,"Adult","Senior"))</f>
        <v>Adult</v>
      </c>
      <c r="T1380" s="1">
        <f>Table1[[#This Row],[Purchase Amount (USD)]]</f>
        <v>49</v>
      </c>
      <c r="U1380">
        <f>IF(Table1[[#This Row],[Subscription Status]]="Yes",1,IF(Table1[[#This Row],[Subscription Status]]="No",0))</f>
        <v>0</v>
      </c>
    </row>
    <row r="1381" spans="1:21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  <c r="S1381" t="str">
        <f>IF(Table1[[#This Row],[Age]]&lt;=25,"Young",IF(Table1[[#This Row],[Age]]&lt;=50,"Adult","Senior"))</f>
        <v>Young</v>
      </c>
      <c r="T1381" s="1">
        <f>Table1[[#This Row],[Purchase Amount (USD)]]</f>
        <v>64</v>
      </c>
      <c r="U1381">
        <f>IF(Table1[[#This Row],[Subscription Status]]="Yes",1,IF(Table1[[#This Row],[Subscription Status]]="No",0))</f>
        <v>0</v>
      </c>
    </row>
    <row r="1382" spans="1:21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  <c r="S1382" t="str">
        <f>IF(Table1[[#This Row],[Age]]&lt;=25,"Young",IF(Table1[[#This Row],[Age]]&lt;=50,"Adult","Senior"))</f>
        <v>Senior</v>
      </c>
      <c r="T1382" s="1">
        <f>Table1[[#This Row],[Purchase Amount (USD)]]</f>
        <v>35</v>
      </c>
      <c r="U1382">
        <f>IF(Table1[[#This Row],[Subscription Status]]="Yes",1,IF(Table1[[#This Row],[Subscription Status]]="No",0))</f>
        <v>0</v>
      </c>
    </row>
    <row r="1383" spans="1:21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  <c r="S1383" t="str">
        <f>IF(Table1[[#This Row],[Age]]&lt;=25,"Young",IF(Table1[[#This Row],[Age]]&lt;=50,"Adult","Senior"))</f>
        <v>Adult</v>
      </c>
      <c r="T1383" s="1">
        <f>Table1[[#This Row],[Purchase Amount (USD)]]</f>
        <v>86</v>
      </c>
      <c r="U1383">
        <f>IF(Table1[[#This Row],[Subscription Status]]="Yes",1,IF(Table1[[#This Row],[Subscription Status]]="No",0))</f>
        <v>0</v>
      </c>
    </row>
    <row r="1384" spans="1:21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  <c r="S1384" t="str">
        <f>IF(Table1[[#This Row],[Age]]&lt;=25,"Young",IF(Table1[[#This Row],[Age]]&lt;=50,"Adult","Senior"))</f>
        <v>Senior</v>
      </c>
      <c r="T1384" s="1">
        <f>Table1[[#This Row],[Purchase Amount (USD)]]</f>
        <v>55</v>
      </c>
      <c r="U1384">
        <f>IF(Table1[[#This Row],[Subscription Status]]="Yes",1,IF(Table1[[#This Row],[Subscription Status]]="No",0))</f>
        <v>0</v>
      </c>
    </row>
    <row r="1385" spans="1:21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  <c r="S1385" t="str">
        <f>IF(Table1[[#This Row],[Age]]&lt;=25,"Young",IF(Table1[[#This Row],[Age]]&lt;=50,"Adult","Senior"))</f>
        <v>Adult</v>
      </c>
      <c r="T1385" s="1">
        <f>Table1[[#This Row],[Purchase Amount (USD)]]</f>
        <v>58</v>
      </c>
      <c r="U1385">
        <f>IF(Table1[[#This Row],[Subscription Status]]="Yes",1,IF(Table1[[#This Row],[Subscription Status]]="No",0))</f>
        <v>0</v>
      </c>
    </row>
    <row r="1386" spans="1:21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  <c r="S1386" t="str">
        <f>IF(Table1[[#This Row],[Age]]&lt;=25,"Young",IF(Table1[[#This Row],[Age]]&lt;=50,"Adult","Senior"))</f>
        <v>Adult</v>
      </c>
      <c r="T1386" s="1">
        <f>Table1[[#This Row],[Purchase Amount (USD)]]</f>
        <v>96</v>
      </c>
      <c r="U1386">
        <f>IF(Table1[[#This Row],[Subscription Status]]="Yes",1,IF(Table1[[#This Row],[Subscription Status]]="No",0))</f>
        <v>0</v>
      </c>
    </row>
    <row r="1387" spans="1:21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  <c r="S1387" t="str">
        <f>IF(Table1[[#This Row],[Age]]&lt;=25,"Young",IF(Table1[[#This Row],[Age]]&lt;=50,"Adult","Senior"))</f>
        <v>Adult</v>
      </c>
      <c r="T1387" s="1">
        <f>Table1[[#This Row],[Purchase Amount (USD)]]</f>
        <v>64</v>
      </c>
      <c r="U1387">
        <f>IF(Table1[[#This Row],[Subscription Status]]="Yes",1,IF(Table1[[#This Row],[Subscription Status]]="No",0))</f>
        <v>0</v>
      </c>
    </row>
    <row r="1388" spans="1:21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  <c r="S1388" t="str">
        <f>IF(Table1[[#This Row],[Age]]&lt;=25,"Young",IF(Table1[[#This Row],[Age]]&lt;=50,"Adult","Senior"))</f>
        <v>Senior</v>
      </c>
      <c r="T1388" s="1">
        <f>Table1[[#This Row],[Purchase Amount (USD)]]</f>
        <v>56</v>
      </c>
      <c r="U1388">
        <f>IF(Table1[[#This Row],[Subscription Status]]="Yes",1,IF(Table1[[#This Row],[Subscription Status]]="No",0))</f>
        <v>0</v>
      </c>
    </row>
    <row r="1389" spans="1:21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  <c r="S1389" t="str">
        <f>IF(Table1[[#This Row],[Age]]&lt;=25,"Young",IF(Table1[[#This Row],[Age]]&lt;=50,"Adult","Senior"))</f>
        <v>Young</v>
      </c>
      <c r="T1389" s="1">
        <f>Table1[[#This Row],[Purchase Amount (USD)]]</f>
        <v>85</v>
      </c>
      <c r="U1389">
        <f>IF(Table1[[#This Row],[Subscription Status]]="Yes",1,IF(Table1[[#This Row],[Subscription Status]]="No",0))</f>
        <v>0</v>
      </c>
    </row>
    <row r="1390" spans="1:21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  <c r="S1390" t="str">
        <f>IF(Table1[[#This Row],[Age]]&lt;=25,"Young",IF(Table1[[#This Row],[Age]]&lt;=50,"Adult","Senior"))</f>
        <v>Senior</v>
      </c>
      <c r="T1390" s="1">
        <f>Table1[[#This Row],[Purchase Amount (USD)]]</f>
        <v>23</v>
      </c>
      <c r="U1390">
        <f>IF(Table1[[#This Row],[Subscription Status]]="Yes",1,IF(Table1[[#This Row],[Subscription Status]]="No",0))</f>
        <v>0</v>
      </c>
    </row>
    <row r="1391" spans="1:21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  <c r="S1391" t="str">
        <f>IF(Table1[[#This Row],[Age]]&lt;=25,"Young",IF(Table1[[#This Row],[Age]]&lt;=50,"Adult","Senior"))</f>
        <v>Senior</v>
      </c>
      <c r="T1391" s="1">
        <f>Table1[[#This Row],[Purchase Amount (USD)]]</f>
        <v>72</v>
      </c>
      <c r="U1391">
        <f>IF(Table1[[#This Row],[Subscription Status]]="Yes",1,IF(Table1[[#This Row],[Subscription Status]]="No",0))</f>
        <v>0</v>
      </c>
    </row>
    <row r="1392" spans="1:21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  <c r="S1392" t="str">
        <f>IF(Table1[[#This Row],[Age]]&lt;=25,"Young",IF(Table1[[#This Row],[Age]]&lt;=50,"Adult","Senior"))</f>
        <v>Young</v>
      </c>
      <c r="T1392" s="1">
        <f>Table1[[#This Row],[Purchase Amount (USD)]]</f>
        <v>38</v>
      </c>
      <c r="U1392">
        <f>IF(Table1[[#This Row],[Subscription Status]]="Yes",1,IF(Table1[[#This Row],[Subscription Status]]="No",0))</f>
        <v>0</v>
      </c>
    </row>
    <row r="1393" spans="1:21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  <c r="S1393" t="str">
        <f>IF(Table1[[#This Row],[Age]]&lt;=25,"Young",IF(Table1[[#This Row],[Age]]&lt;=50,"Adult","Senior"))</f>
        <v>Senior</v>
      </c>
      <c r="T1393" s="1">
        <f>Table1[[#This Row],[Purchase Amount (USD)]]</f>
        <v>29</v>
      </c>
      <c r="U1393">
        <f>IF(Table1[[#This Row],[Subscription Status]]="Yes",1,IF(Table1[[#This Row],[Subscription Status]]="No",0))</f>
        <v>0</v>
      </c>
    </row>
    <row r="1394" spans="1:21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  <c r="S1394" t="str">
        <f>IF(Table1[[#This Row],[Age]]&lt;=25,"Young",IF(Table1[[#This Row],[Age]]&lt;=50,"Adult","Senior"))</f>
        <v>Adult</v>
      </c>
      <c r="T1394" s="1">
        <f>Table1[[#This Row],[Purchase Amount (USD)]]</f>
        <v>46</v>
      </c>
      <c r="U1394">
        <f>IF(Table1[[#This Row],[Subscription Status]]="Yes",1,IF(Table1[[#This Row],[Subscription Status]]="No",0))</f>
        <v>0</v>
      </c>
    </row>
    <row r="1395" spans="1:21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  <c r="S1395" t="str">
        <f>IF(Table1[[#This Row],[Age]]&lt;=25,"Young",IF(Table1[[#This Row],[Age]]&lt;=50,"Adult","Senior"))</f>
        <v>Adult</v>
      </c>
      <c r="T1395" s="1">
        <f>Table1[[#This Row],[Purchase Amount (USD)]]</f>
        <v>58</v>
      </c>
      <c r="U1395">
        <f>IF(Table1[[#This Row],[Subscription Status]]="Yes",1,IF(Table1[[#This Row],[Subscription Status]]="No",0))</f>
        <v>0</v>
      </c>
    </row>
    <row r="1396" spans="1:21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  <c r="S1396" t="str">
        <f>IF(Table1[[#This Row],[Age]]&lt;=25,"Young",IF(Table1[[#This Row],[Age]]&lt;=50,"Adult","Senior"))</f>
        <v>Adult</v>
      </c>
      <c r="T1396" s="1">
        <f>Table1[[#This Row],[Purchase Amount (USD)]]</f>
        <v>43</v>
      </c>
      <c r="U1396">
        <f>IF(Table1[[#This Row],[Subscription Status]]="Yes",1,IF(Table1[[#This Row],[Subscription Status]]="No",0))</f>
        <v>0</v>
      </c>
    </row>
    <row r="1397" spans="1:21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  <c r="S1397" t="str">
        <f>IF(Table1[[#This Row],[Age]]&lt;=25,"Young",IF(Table1[[#This Row],[Age]]&lt;=50,"Adult","Senior"))</f>
        <v>Adult</v>
      </c>
      <c r="T1397" s="1">
        <f>Table1[[#This Row],[Purchase Amount (USD)]]</f>
        <v>32</v>
      </c>
      <c r="U1397">
        <f>IF(Table1[[#This Row],[Subscription Status]]="Yes",1,IF(Table1[[#This Row],[Subscription Status]]="No",0))</f>
        <v>0</v>
      </c>
    </row>
    <row r="1398" spans="1:21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  <c r="S1398" t="str">
        <f>IF(Table1[[#This Row],[Age]]&lt;=25,"Young",IF(Table1[[#This Row],[Age]]&lt;=50,"Adult","Senior"))</f>
        <v>Adult</v>
      </c>
      <c r="T1398" s="1">
        <f>Table1[[#This Row],[Purchase Amount (USD)]]</f>
        <v>30</v>
      </c>
      <c r="U1398">
        <f>IF(Table1[[#This Row],[Subscription Status]]="Yes",1,IF(Table1[[#This Row],[Subscription Status]]="No",0))</f>
        <v>0</v>
      </c>
    </row>
    <row r="1399" spans="1:21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  <c r="S1399" t="str">
        <f>IF(Table1[[#This Row],[Age]]&lt;=25,"Young",IF(Table1[[#This Row],[Age]]&lt;=50,"Adult","Senior"))</f>
        <v>Senior</v>
      </c>
      <c r="T1399" s="1">
        <f>Table1[[#This Row],[Purchase Amount (USD)]]</f>
        <v>67</v>
      </c>
      <c r="U1399">
        <f>IF(Table1[[#This Row],[Subscription Status]]="Yes",1,IF(Table1[[#This Row],[Subscription Status]]="No",0))</f>
        <v>0</v>
      </c>
    </row>
    <row r="1400" spans="1:21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  <c r="S1400" t="str">
        <f>IF(Table1[[#This Row],[Age]]&lt;=25,"Young",IF(Table1[[#This Row],[Age]]&lt;=50,"Adult","Senior"))</f>
        <v>Adult</v>
      </c>
      <c r="T1400" s="1">
        <f>Table1[[#This Row],[Purchase Amount (USD)]]</f>
        <v>45</v>
      </c>
      <c r="U1400">
        <f>IF(Table1[[#This Row],[Subscription Status]]="Yes",1,IF(Table1[[#This Row],[Subscription Status]]="No",0))</f>
        <v>0</v>
      </c>
    </row>
    <row r="1401" spans="1:21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  <c r="S1401" t="str">
        <f>IF(Table1[[#This Row],[Age]]&lt;=25,"Young",IF(Table1[[#This Row],[Age]]&lt;=50,"Adult","Senior"))</f>
        <v>Young</v>
      </c>
      <c r="T1401" s="1">
        <f>Table1[[#This Row],[Purchase Amount (USD)]]</f>
        <v>81</v>
      </c>
      <c r="U1401">
        <f>IF(Table1[[#This Row],[Subscription Status]]="Yes",1,IF(Table1[[#This Row],[Subscription Status]]="No",0))</f>
        <v>0</v>
      </c>
    </row>
    <row r="1402" spans="1:21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  <c r="S1402" t="str">
        <f>IF(Table1[[#This Row],[Age]]&lt;=25,"Young",IF(Table1[[#This Row],[Age]]&lt;=50,"Adult","Senior"))</f>
        <v>Adult</v>
      </c>
      <c r="T1402" s="1">
        <f>Table1[[#This Row],[Purchase Amount (USD)]]</f>
        <v>23</v>
      </c>
      <c r="U1402">
        <f>IF(Table1[[#This Row],[Subscription Status]]="Yes",1,IF(Table1[[#This Row],[Subscription Status]]="No",0))</f>
        <v>0</v>
      </c>
    </row>
    <row r="1403" spans="1:21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  <c r="S1403" t="str">
        <f>IF(Table1[[#This Row],[Age]]&lt;=25,"Young",IF(Table1[[#This Row],[Age]]&lt;=50,"Adult","Senior"))</f>
        <v>Young</v>
      </c>
      <c r="T1403" s="1">
        <f>Table1[[#This Row],[Purchase Amount (USD)]]</f>
        <v>59</v>
      </c>
      <c r="U1403">
        <f>IF(Table1[[#This Row],[Subscription Status]]="Yes",1,IF(Table1[[#This Row],[Subscription Status]]="No",0))</f>
        <v>0</v>
      </c>
    </row>
    <row r="1404" spans="1:21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  <c r="S1404" t="str">
        <f>IF(Table1[[#This Row],[Age]]&lt;=25,"Young",IF(Table1[[#This Row],[Age]]&lt;=50,"Adult","Senior"))</f>
        <v>Senior</v>
      </c>
      <c r="T1404" s="1">
        <f>Table1[[#This Row],[Purchase Amount (USD)]]</f>
        <v>21</v>
      </c>
      <c r="U1404">
        <f>IF(Table1[[#This Row],[Subscription Status]]="Yes",1,IF(Table1[[#This Row],[Subscription Status]]="No",0))</f>
        <v>0</v>
      </c>
    </row>
    <row r="1405" spans="1:21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  <c r="S1405" t="str">
        <f>IF(Table1[[#This Row],[Age]]&lt;=25,"Young",IF(Table1[[#This Row],[Age]]&lt;=50,"Adult","Senior"))</f>
        <v>Adult</v>
      </c>
      <c r="T1405" s="1">
        <f>Table1[[#This Row],[Purchase Amount (USD)]]</f>
        <v>20</v>
      </c>
      <c r="U1405">
        <f>IF(Table1[[#This Row],[Subscription Status]]="Yes",1,IF(Table1[[#This Row],[Subscription Status]]="No",0))</f>
        <v>0</v>
      </c>
    </row>
    <row r="1406" spans="1:21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  <c r="S1406" t="str">
        <f>IF(Table1[[#This Row],[Age]]&lt;=25,"Young",IF(Table1[[#This Row],[Age]]&lt;=50,"Adult","Senior"))</f>
        <v>Adult</v>
      </c>
      <c r="T1406" s="1">
        <f>Table1[[#This Row],[Purchase Amount (USD)]]</f>
        <v>28</v>
      </c>
      <c r="U1406">
        <f>IF(Table1[[#This Row],[Subscription Status]]="Yes",1,IF(Table1[[#This Row],[Subscription Status]]="No",0))</f>
        <v>0</v>
      </c>
    </row>
    <row r="1407" spans="1:21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  <c r="S1407" t="str">
        <f>IF(Table1[[#This Row],[Age]]&lt;=25,"Young",IF(Table1[[#This Row],[Age]]&lt;=50,"Adult","Senior"))</f>
        <v>Adult</v>
      </c>
      <c r="T1407" s="1">
        <f>Table1[[#This Row],[Purchase Amount (USD)]]</f>
        <v>100</v>
      </c>
      <c r="U1407">
        <f>IF(Table1[[#This Row],[Subscription Status]]="Yes",1,IF(Table1[[#This Row],[Subscription Status]]="No",0))</f>
        <v>0</v>
      </c>
    </row>
    <row r="1408" spans="1:21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  <c r="S1408" t="str">
        <f>IF(Table1[[#This Row],[Age]]&lt;=25,"Young",IF(Table1[[#This Row],[Age]]&lt;=50,"Adult","Senior"))</f>
        <v>Adult</v>
      </c>
      <c r="T1408" s="1">
        <f>Table1[[#This Row],[Purchase Amount (USD)]]</f>
        <v>46</v>
      </c>
      <c r="U1408">
        <f>IF(Table1[[#This Row],[Subscription Status]]="Yes",1,IF(Table1[[#This Row],[Subscription Status]]="No",0))</f>
        <v>0</v>
      </c>
    </row>
    <row r="1409" spans="1:21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  <c r="S1409" t="str">
        <f>IF(Table1[[#This Row],[Age]]&lt;=25,"Young",IF(Table1[[#This Row],[Age]]&lt;=50,"Adult","Senior"))</f>
        <v>Senior</v>
      </c>
      <c r="T1409" s="1">
        <f>Table1[[#This Row],[Purchase Amount (USD)]]</f>
        <v>61</v>
      </c>
      <c r="U1409">
        <f>IF(Table1[[#This Row],[Subscription Status]]="Yes",1,IF(Table1[[#This Row],[Subscription Status]]="No",0))</f>
        <v>0</v>
      </c>
    </row>
    <row r="1410" spans="1:21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  <c r="S1410" t="str">
        <f>IF(Table1[[#This Row],[Age]]&lt;=25,"Young",IF(Table1[[#This Row],[Age]]&lt;=50,"Adult","Senior"))</f>
        <v>Senior</v>
      </c>
      <c r="T1410" s="1">
        <f>Table1[[#This Row],[Purchase Amount (USD)]]</f>
        <v>58</v>
      </c>
      <c r="U1410">
        <f>IF(Table1[[#This Row],[Subscription Status]]="Yes",1,IF(Table1[[#This Row],[Subscription Status]]="No",0))</f>
        <v>0</v>
      </c>
    </row>
    <row r="1411" spans="1:21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  <c r="S1411" t="str">
        <f>IF(Table1[[#This Row],[Age]]&lt;=25,"Young",IF(Table1[[#This Row],[Age]]&lt;=50,"Adult","Senior"))</f>
        <v>Adult</v>
      </c>
      <c r="T1411" s="1">
        <f>Table1[[#This Row],[Purchase Amount (USD)]]</f>
        <v>50</v>
      </c>
      <c r="U1411">
        <f>IF(Table1[[#This Row],[Subscription Status]]="Yes",1,IF(Table1[[#This Row],[Subscription Status]]="No",0))</f>
        <v>0</v>
      </c>
    </row>
    <row r="1412" spans="1:21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  <c r="S1412" t="str">
        <f>IF(Table1[[#This Row],[Age]]&lt;=25,"Young",IF(Table1[[#This Row],[Age]]&lt;=50,"Adult","Senior"))</f>
        <v>Senior</v>
      </c>
      <c r="T1412" s="1">
        <f>Table1[[#This Row],[Purchase Amount (USD)]]</f>
        <v>93</v>
      </c>
      <c r="U1412">
        <f>IF(Table1[[#This Row],[Subscription Status]]="Yes",1,IF(Table1[[#This Row],[Subscription Status]]="No",0))</f>
        <v>0</v>
      </c>
    </row>
    <row r="1413" spans="1:21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  <c r="S1413" t="str">
        <f>IF(Table1[[#This Row],[Age]]&lt;=25,"Young",IF(Table1[[#This Row],[Age]]&lt;=50,"Adult","Senior"))</f>
        <v>Adult</v>
      </c>
      <c r="T1413" s="1">
        <f>Table1[[#This Row],[Purchase Amount (USD)]]</f>
        <v>24</v>
      </c>
      <c r="U1413">
        <f>IF(Table1[[#This Row],[Subscription Status]]="Yes",1,IF(Table1[[#This Row],[Subscription Status]]="No",0))</f>
        <v>0</v>
      </c>
    </row>
    <row r="1414" spans="1:21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  <c r="S1414" t="str">
        <f>IF(Table1[[#This Row],[Age]]&lt;=25,"Young",IF(Table1[[#This Row],[Age]]&lt;=50,"Adult","Senior"))</f>
        <v>Young</v>
      </c>
      <c r="T1414" s="1">
        <f>Table1[[#This Row],[Purchase Amount (USD)]]</f>
        <v>100</v>
      </c>
      <c r="U1414">
        <f>IF(Table1[[#This Row],[Subscription Status]]="Yes",1,IF(Table1[[#This Row],[Subscription Status]]="No",0))</f>
        <v>0</v>
      </c>
    </row>
    <row r="1415" spans="1:21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  <c r="S1415" t="str">
        <f>IF(Table1[[#This Row],[Age]]&lt;=25,"Young",IF(Table1[[#This Row],[Age]]&lt;=50,"Adult","Senior"))</f>
        <v>Senior</v>
      </c>
      <c r="T1415" s="1">
        <f>Table1[[#This Row],[Purchase Amount (USD)]]</f>
        <v>79</v>
      </c>
      <c r="U1415">
        <f>IF(Table1[[#This Row],[Subscription Status]]="Yes",1,IF(Table1[[#This Row],[Subscription Status]]="No",0))</f>
        <v>0</v>
      </c>
    </row>
    <row r="1416" spans="1:21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  <c r="S1416" t="str">
        <f>IF(Table1[[#This Row],[Age]]&lt;=25,"Young",IF(Table1[[#This Row],[Age]]&lt;=50,"Adult","Senior"))</f>
        <v>Adult</v>
      </c>
      <c r="T1416" s="1">
        <f>Table1[[#This Row],[Purchase Amount (USD)]]</f>
        <v>51</v>
      </c>
      <c r="U1416">
        <f>IF(Table1[[#This Row],[Subscription Status]]="Yes",1,IF(Table1[[#This Row],[Subscription Status]]="No",0))</f>
        <v>0</v>
      </c>
    </row>
    <row r="1417" spans="1:21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  <c r="S1417" t="str">
        <f>IF(Table1[[#This Row],[Age]]&lt;=25,"Young",IF(Table1[[#This Row],[Age]]&lt;=50,"Adult","Senior"))</f>
        <v>Senior</v>
      </c>
      <c r="T1417" s="1">
        <f>Table1[[#This Row],[Purchase Amount (USD)]]</f>
        <v>90</v>
      </c>
      <c r="U1417">
        <f>IF(Table1[[#This Row],[Subscription Status]]="Yes",1,IF(Table1[[#This Row],[Subscription Status]]="No",0))</f>
        <v>0</v>
      </c>
    </row>
    <row r="1418" spans="1:21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  <c r="S1418" t="str">
        <f>IF(Table1[[#This Row],[Age]]&lt;=25,"Young",IF(Table1[[#This Row],[Age]]&lt;=50,"Adult","Senior"))</f>
        <v>Adult</v>
      </c>
      <c r="T1418" s="1">
        <f>Table1[[#This Row],[Purchase Amount (USD)]]</f>
        <v>56</v>
      </c>
      <c r="U1418">
        <f>IF(Table1[[#This Row],[Subscription Status]]="Yes",1,IF(Table1[[#This Row],[Subscription Status]]="No",0))</f>
        <v>0</v>
      </c>
    </row>
    <row r="1419" spans="1:21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  <c r="S1419" t="str">
        <f>IF(Table1[[#This Row],[Age]]&lt;=25,"Young",IF(Table1[[#This Row],[Age]]&lt;=50,"Adult","Senior"))</f>
        <v>Senior</v>
      </c>
      <c r="T1419" s="1">
        <f>Table1[[#This Row],[Purchase Amount (USD)]]</f>
        <v>25</v>
      </c>
      <c r="U1419">
        <f>IF(Table1[[#This Row],[Subscription Status]]="Yes",1,IF(Table1[[#This Row],[Subscription Status]]="No",0))</f>
        <v>0</v>
      </c>
    </row>
    <row r="1420" spans="1:21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  <c r="S1420" t="str">
        <f>IF(Table1[[#This Row],[Age]]&lt;=25,"Young",IF(Table1[[#This Row],[Age]]&lt;=50,"Adult","Senior"))</f>
        <v>Young</v>
      </c>
      <c r="T1420" s="1">
        <f>Table1[[#This Row],[Purchase Amount (USD)]]</f>
        <v>75</v>
      </c>
      <c r="U1420">
        <f>IF(Table1[[#This Row],[Subscription Status]]="Yes",1,IF(Table1[[#This Row],[Subscription Status]]="No",0))</f>
        <v>0</v>
      </c>
    </row>
    <row r="1421" spans="1:21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  <c r="S1421" t="str">
        <f>IF(Table1[[#This Row],[Age]]&lt;=25,"Young",IF(Table1[[#This Row],[Age]]&lt;=50,"Adult","Senior"))</f>
        <v>Adult</v>
      </c>
      <c r="T1421" s="1">
        <f>Table1[[#This Row],[Purchase Amount (USD)]]</f>
        <v>75</v>
      </c>
      <c r="U1421">
        <f>IF(Table1[[#This Row],[Subscription Status]]="Yes",1,IF(Table1[[#This Row],[Subscription Status]]="No",0))</f>
        <v>0</v>
      </c>
    </row>
    <row r="1422" spans="1:21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  <c r="S1422" t="str">
        <f>IF(Table1[[#This Row],[Age]]&lt;=25,"Young",IF(Table1[[#This Row],[Age]]&lt;=50,"Adult","Senior"))</f>
        <v>Young</v>
      </c>
      <c r="T1422" s="1">
        <f>Table1[[#This Row],[Purchase Amount (USD)]]</f>
        <v>53</v>
      </c>
      <c r="U1422">
        <f>IF(Table1[[#This Row],[Subscription Status]]="Yes",1,IF(Table1[[#This Row],[Subscription Status]]="No",0))</f>
        <v>0</v>
      </c>
    </row>
    <row r="1423" spans="1:21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  <c r="S1423" t="str">
        <f>IF(Table1[[#This Row],[Age]]&lt;=25,"Young",IF(Table1[[#This Row],[Age]]&lt;=50,"Adult","Senior"))</f>
        <v>Senior</v>
      </c>
      <c r="T1423" s="1">
        <f>Table1[[#This Row],[Purchase Amount (USD)]]</f>
        <v>100</v>
      </c>
      <c r="U1423">
        <f>IF(Table1[[#This Row],[Subscription Status]]="Yes",1,IF(Table1[[#This Row],[Subscription Status]]="No",0))</f>
        <v>0</v>
      </c>
    </row>
    <row r="1424" spans="1:21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  <c r="S1424" t="str">
        <f>IF(Table1[[#This Row],[Age]]&lt;=25,"Young",IF(Table1[[#This Row],[Age]]&lt;=50,"Adult","Senior"))</f>
        <v>Adult</v>
      </c>
      <c r="T1424" s="1">
        <f>Table1[[#This Row],[Purchase Amount (USD)]]</f>
        <v>27</v>
      </c>
      <c r="U1424">
        <f>IF(Table1[[#This Row],[Subscription Status]]="Yes",1,IF(Table1[[#This Row],[Subscription Status]]="No",0))</f>
        <v>0</v>
      </c>
    </row>
    <row r="1425" spans="1:21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  <c r="S1425" t="str">
        <f>IF(Table1[[#This Row],[Age]]&lt;=25,"Young",IF(Table1[[#This Row],[Age]]&lt;=50,"Adult","Senior"))</f>
        <v>Senior</v>
      </c>
      <c r="T1425" s="1">
        <f>Table1[[#This Row],[Purchase Amount (USD)]]</f>
        <v>60</v>
      </c>
      <c r="U1425">
        <f>IF(Table1[[#This Row],[Subscription Status]]="Yes",1,IF(Table1[[#This Row],[Subscription Status]]="No",0))</f>
        <v>0</v>
      </c>
    </row>
    <row r="1426" spans="1:21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  <c r="S1426" t="str">
        <f>IF(Table1[[#This Row],[Age]]&lt;=25,"Young",IF(Table1[[#This Row],[Age]]&lt;=50,"Adult","Senior"))</f>
        <v>Senior</v>
      </c>
      <c r="T1426" s="1">
        <f>Table1[[#This Row],[Purchase Amount (USD)]]</f>
        <v>23</v>
      </c>
      <c r="U1426">
        <f>IF(Table1[[#This Row],[Subscription Status]]="Yes",1,IF(Table1[[#This Row],[Subscription Status]]="No",0))</f>
        <v>0</v>
      </c>
    </row>
    <row r="1427" spans="1:21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  <c r="S1427" t="str">
        <f>IF(Table1[[#This Row],[Age]]&lt;=25,"Young",IF(Table1[[#This Row],[Age]]&lt;=50,"Adult","Senior"))</f>
        <v>Senior</v>
      </c>
      <c r="T1427" s="1">
        <f>Table1[[#This Row],[Purchase Amount (USD)]]</f>
        <v>40</v>
      </c>
      <c r="U1427">
        <f>IF(Table1[[#This Row],[Subscription Status]]="Yes",1,IF(Table1[[#This Row],[Subscription Status]]="No",0))</f>
        <v>0</v>
      </c>
    </row>
    <row r="1428" spans="1:21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  <c r="S1428" t="str">
        <f>IF(Table1[[#This Row],[Age]]&lt;=25,"Young",IF(Table1[[#This Row],[Age]]&lt;=50,"Adult","Senior"))</f>
        <v>Senior</v>
      </c>
      <c r="T1428" s="1">
        <f>Table1[[#This Row],[Purchase Amount (USD)]]</f>
        <v>38</v>
      </c>
      <c r="U1428">
        <f>IF(Table1[[#This Row],[Subscription Status]]="Yes",1,IF(Table1[[#This Row],[Subscription Status]]="No",0))</f>
        <v>0</v>
      </c>
    </row>
    <row r="1429" spans="1:21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  <c r="S1429" t="str">
        <f>IF(Table1[[#This Row],[Age]]&lt;=25,"Young",IF(Table1[[#This Row],[Age]]&lt;=50,"Adult","Senior"))</f>
        <v>Adult</v>
      </c>
      <c r="T1429" s="1">
        <f>Table1[[#This Row],[Purchase Amount (USD)]]</f>
        <v>90</v>
      </c>
      <c r="U1429">
        <f>IF(Table1[[#This Row],[Subscription Status]]="Yes",1,IF(Table1[[#This Row],[Subscription Status]]="No",0))</f>
        <v>0</v>
      </c>
    </row>
    <row r="1430" spans="1:21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  <c r="S1430" t="str">
        <f>IF(Table1[[#This Row],[Age]]&lt;=25,"Young",IF(Table1[[#This Row],[Age]]&lt;=50,"Adult","Senior"))</f>
        <v>Young</v>
      </c>
      <c r="T1430" s="1">
        <f>Table1[[#This Row],[Purchase Amount (USD)]]</f>
        <v>97</v>
      </c>
      <c r="U1430">
        <f>IF(Table1[[#This Row],[Subscription Status]]="Yes",1,IF(Table1[[#This Row],[Subscription Status]]="No",0))</f>
        <v>0</v>
      </c>
    </row>
    <row r="1431" spans="1:21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  <c r="S1431" t="str">
        <f>IF(Table1[[#This Row],[Age]]&lt;=25,"Young",IF(Table1[[#This Row],[Age]]&lt;=50,"Adult","Senior"))</f>
        <v>Young</v>
      </c>
      <c r="T1431" s="1">
        <f>Table1[[#This Row],[Purchase Amount (USD)]]</f>
        <v>38</v>
      </c>
      <c r="U1431">
        <f>IF(Table1[[#This Row],[Subscription Status]]="Yes",1,IF(Table1[[#This Row],[Subscription Status]]="No",0))</f>
        <v>0</v>
      </c>
    </row>
    <row r="1432" spans="1:21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  <c r="S1432" t="str">
        <f>IF(Table1[[#This Row],[Age]]&lt;=25,"Young",IF(Table1[[#This Row],[Age]]&lt;=50,"Adult","Senior"))</f>
        <v>Adult</v>
      </c>
      <c r="T1432" s="1">
        <f>Table1[[#This Row],[Purchase Amount (USD)]]</f>
        <v>30</v>
      </c>
      <c r="U1432">
        <f>IF(Table1[[#This Row],[Subscription Status]]="Yes",1,IF(Table1[[#This Row],[Subscription Status]]="No",0))</f>
        <v>0</v>
      </c>
    </row>
    <row r="1433" spans="1:21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  <c r="S1433" t="str">
        <f>IF(Table1[[#This Row],[Age]]&lt;=25,"Young",IF(Table1[[#This Row],[Age]]&lt;=50,"Adult","Senior"))</f>
        <v>Adult</v>
      </c>
      <c r="T1433" s="1">
        <f>Table1[[#This Row],[Purchase Amount (USD)]]</f>
        <v>88</v>
      </c>
      <c r="U1433">
        <f>IF(Table1[[#This Row],[Subscription Status]]="Yes",1,IF(Table1[[#This Row],[Subscription Status]]="No",0))</f>
        <v>0</v>
      </c>
    </row>
    <row r="1434" spans="1:21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  <c r="S1434" t="str">
        <f>IF(Table1[[#This Row],[Age]]&lt;=25,"Young",IF(Table1[[#This Row],[Age]]&lt;=50,"Adult","Senior"))</f>
        <v>Adult</v>
      </c>
      <c r="T1434" s="1">
        <f>Table1[[#This Row],[Purchase Amount (USD)]]</f>
        <v>33</v>
      </c>
      <c r="U1434">
        <f>IF(Table1[[#This Row],[Subscription Status]]="Yes",1,IF(Table1[[#This Row],[Subscription Status]]="No",0))</f>
        <v>0</v>
      </c>
    </row>
    <row r="1435" spans="1:21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  <c r="S1435" t="str">
        <f>IF(Table1[[#This Row],[Age]]&lt;=25,"Young",IF(Table1[[#This Row],[Age]]&lt;=50,"Adult","Senior"))</f>
        <v>Senior</v>
      </c>
      <c r="T1435" s="1">
        <f>Table1[[#This Row],[Purchase Amount (USD)]]</f>
        <v>60</v>
      </c>
      <c r="U1435">
        <f>IF(Table1[[#This Row],[Subscription Status]]="Yes",1,IF(Table1[[#This Row],[Subscription Status]]="No",0))</f>
        <v>0</v>
      </c>
    </row>
    <row r="1436" spans="1:21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  <c r="S1436" t="str">
        <f>IF(Table1[[#This Row],[Age]]&lt;=25,"Young",IF(Table1[[#This Row],[Age]]&lt;=50,"Adult","Senior"))</f>
        <v>Senior</v>
      </c>
      <c r="T1436" s="1">
        <f>Table1[[#This Row],[Purchase Amount (USD)]]</f>
        <v>64</v>
      </c>
      <c r="U1436">
        <f>IF(Table1[[#This Row],[Subscription Status]]="Yes",1,IF(Table1[[#This Row],[Subscription Status]]="No",0))</f>
        <v>0</v>
      </c>
    </row>
    <row r="1437" spans="1:21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  <c r="S1437" t="str">
        <f>IF(Table1[[#This Row],[Age]]&lt;=25,"Young",IF(Table1[[#This Row],[Age]]&lt;=50,"Adult","Senior"))</f>
        <v>Adult</v>
      </c>
      <c r="T1437" s="1">
        <f>Table1[[#This Row],[Purchase Amount (USD)]]</f>
        <v>95</v>
      </c>
      <c r="U1437">
        <f>IF(Table1[[#This Row],[Subscription Status]]="Yes",1,IF(Table1[[#This Row],[Subscription Status]]="No",0))</f>
        <v>0</v>
      </c>
    </row>
    <row r="1438" spans="1:21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  <c r="S1438" t="str">
        <f>IF(Table1[[#This Row],[Age]]&lt;=25,"Young",IF(Table1[[#This Row],[Age]]&lt;=50,"Adult","Senior"))</f>
        <v>Adult</v>
      </c>
      <c r="T1438" s="1">
        <f>Table1[[#This Row],[Purchase Amount (USD)]]</f>
        <v>83</v>
      </c>
      <c r="U1438">
        <f>IF(Table1[[#This Row],[Subscription Status]]="Yes",1,IF(Table1[[#This Row],[Subscription Status]]="No",0))</f>
        <v>0</v>
      </c>
    </row>
    <row r="1439" spans="1:21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  <c r="S1439" t="str">
        <f>IF(Table1[[#This Row],[Age]]&lt;=25,"Young",IF(Table1[[#This Row],[Age]]&lt;=50,"Adult","Senior"))</f>
        <v>Senior</v>
      </c>
      <c r="T1439" s="1">
        <f>Table1[[#This Row],[Purchase Amount (USD)]]</f>
        <v>97</v>
      </c>
      <c r="U1439">
        <f>IF(Table1[[#This Row],[Subscription Status]]="Yes",1,IF(Table1[[#This Row],[Subscription Status]]="No",0))</f>
        <v>0</v>
      </c>
    </row>
    <row r="1440" spans="1:21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  <c r="S1440" t="str">
        <f>IF(Table1[[#This Row],[Age]]&lt;=25,"Young",IF(Table1[[#This Row],[Age]]&lt;=50,"Adult","Senior"))</f>
        <v>Senior</v>
      </c>
      <c r="T1440" s="1">
        <f>Table1[[#This Row],[Purchase Amount (USD)]]</f>
        <v>38</v>
      </c>
      <c r="U1440">
        <f>IF(Table1[[#This Row],[Subscription Status]]="Yes",1,IF(Table1[[#This Row],[Subscription Status]]="No",0))</f>
        <v>0</v>
      </c>
    </row>
    <row r="1441" spans="1:21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  <c r="S1441" t="str">
        <f>IF(Table1[[#This Row],[Age]]&lt;=25,"Young",IF(Table1[[#This Row],[Age]]&lt;=50,"Adult","Senior"))</f>
        <v>Young</v>
      </c>
      <c r="T1441" s="1">
        <f>Table1[[#This Row],[Purchase Amount (USD)]]</f>
        <v>48</v>
      </c>
      <c r="U1441">
        <f>IF(Table1[[#This Row],[Subscription Status]]="Yes",1,IF(Table1[[#This Row],[Subscription Status]]="No",0))</f>
        <v>0</v>
      </c>
    </row>
    <row r="1442" spans="1:21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  <c r="S1442" t="str">
        <f>IF(Table1[[#This Row],[Age]]&lt;=25,"Young",IF(Table1[[#This Row],[Age]]&lt;=50,"Adult","Senior"))</f>
        <v>Adult</v>
      </c>
      <c r="T1442" s="1">
        <f>Table1[[#This Row],[Purchase Amount (USD)]]</f>
        <v>76</v>
      </c>
      <c r="U1442">
        <f>IF(Table1[[#This Row],[Subscription Status]]="Yes",1,IF(Table1[[#This Row],[Subscription Status]]="No",0))</f>
        <v>0</v>
      </c>
    </row>
    <row r="1443" spans="1:21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  <c r="S1443" t="str">
        <f>IF(Table1[[#This Row],[Age]]&lt;=25,"Young",IF(Table1[[#This Row],[Age]]&lt;=50,"Adult","Senior"))</f>
        <v>Adult</v>
      </c>
      <c r="T1443" s="1">
        <f>Table1[[#This Row],[Purchase Amount (USD)]]</f>
        <v>25</v>
      </c>
      <c r="U1443">
        <f>IF(Table1[[#This Row],[Subscription Status]]="Yes",1,IF(Table1[[#This Row],[Subscription Status]]="No",0))</f>
        <v>0</v>
      </c>
    </row>
    <row r="1444" spans="1:21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  <c r="S1444" t="str">
        <f>IF(Table1[[#This Row],[Age]]&lt;=25,"Young",IF(Table1[[#This Row],[Age]]&lt;=50,"Adult","Senior"))</f>
        <v>Senior</v>
      </c>
      <c r="T1444" s="1">
        <f>Table1[[#This Row],[Purchase Amount (USD)]]</f>
        <v>92</v>
      </c>
      <c r="U1444">
        <f>IF(Table1[[#This Row],[Subscription Status]]="Yes",1,IF(Table1[[#This Row],[Subscription Status]]="No",0))</f>
        <v>0</v>
      </c>
    </row>
    <row r="1445" spans="1:21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  <c r="S1445" t="str">
        <f>IF(Table1[[#This Row],[Age]]&lt;=25,"Young",IF(Table1[[#This Row],[Age]]&lt;=50,"Adult","Senior"))</f>
        <v>Senior</v>
      </c>
      <c r="T1445" s="1">
        <f>Table1[[#This Row],[Purchase Amount (USD)]]</f>
        <v>47</v>
      </c>
      <c r="U1445">
        <f>IF(Table1[[#This Row],[Subscription Status]]="Yes",1,IF(Table1[[#This Row],[Subscription Status]]="No",0))</f>
        <v>0</v>
      </c>
    </row>
    <row r="1446" spans="1:21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  <c r="S1446" t="str">
        <f>IF(Table1[[#This Row],[Age]]&lt;=25,"Young",IF(Table1[[#This Row],[Age]]&lt;=50,"Adult","Senior"))</f>
        <v>Adult</v>
      </c>
      <c r="T1446" s="1">
        <f>Table1[[#This Row],[Purchase Amount (USD)]]</f>
        <v>36</v>
      </c>
      <c r="U1446">
        <f>IF(Table1[[#This Row],[Subscription Status]]="Yes",1,IF(Table1[[#This Row],[Subscription Status]]="No",0))</f>
        <v>0</v>
      </c>
    </row>
    <row r="1447" spans="1:21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  <c r="S1447" t="str">
        <f>IF(Table1[[#This Row],[Age]]&lt;=25,"Young",IF(Table1[[#This Row],[Age]]&lt;=50,"Adult","Senior"))</f>
        <v>Senior</v>
      </c>
      <c r="T1447" s="1">
        <f>Table1[[#This Row],[Purchase Amount (USD)]]</f>
        <v>51</v>
      </c>
      <c r="U1447">
        <f>IF(Table1[[#This Row],[Subscription Status]]="Yes",1,IF(Table1[[#This Row],[Subscription Status]]="No",0))</f>
        <v>0</v>
      </c>
    </row>
    <row r="1448" spans="1:21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  <c r="S1448" t="str">
        <f>IF(Table1[[#This Row],[Age]]&lt;=25,"Young",IF(Table1[[#This Row],[Age]]&lt;=50,"Adult","Senior"))</f>
        <v>Senior</v>
      </c>
      <c r="T1448" s="1">
        <f>Table1[[#This Row],[Purchase Amount (USD)]]</f>
        <v>35</v>
      </c>
      <c r="U1448">
        <f>IF(Table1[[#This Row],[Subscription Status]]="Yes",1,IF(Table1[[#This Row],[Subscription Status]]="No",0))</f>
        <v>0</v>
      </c>
    </row>
    <row r="1449" spans="1:21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  <c r="S1449" t="str">
        <f>IF(Table1[[#This Row],[Age]]&lt;=25,"Young",IF(Table1[[#This Row],[Age]]&lt;=50,"Adult","Senior"))</f>
        <v>Young</v>
      </c>
      <c r="T1449" s="1">
        <f>Table1[[#This Row],[Purchase Amount (USD)]]</f>
        <v>57</v>
      </c>
      <c r="U1449">
        <f>IF(Table1[[#This Row],[Subscription Status]]="Yes",1,IF(Table1[[#This Row],[Subscription Status]]="No",0))</f>
        <v>0</v>
      </c>
    </row>
    <row r="1450" spans="1:21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  <c r="S1450" t="str">
        <f>IF(Table1[[#This Row],[Age]]&lt;=25,"Young",IF(Table1[[#This Row],[Age]]&lt;=50,"Adult","Senior"))</f>
        <v>Senior</v>
      </c>
      <c r="T1450" s="1">
        <f>Table1[[#This Row],[Purchase Amount (USD)]]</f>
        <v>95</v>
      </c>
      <c r="U1450">
        <f>IF(Table1[[#This Row],[Subscription Status]]="Yes",1,IF(Table1[[#This Row],[Subscription Status]]="No",0))</f>
        <v>0</v>
      </c>
    </row>
    <row r="1451" spans="1:21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  <c r="S1451" t="str">
        <f>IF(Table1[[#This Row],[Age]]&lt;=25,"Young",IF(Table1[[#This Row],[Age]]&lt;=50,"Adult","Senior"))</f>
        <v>Young</v>
      </c>
      <c r="T1451" s="1">
        <f>Table1[[#This Row],[Purchase Amount (USD)]]</f>
        <v>41</v>
      </c>
      <c r="U1451">
        <f>IF(Table1[[#This Row],[Subscription Status]]="Yes",1,IF(Table1[[#This Row],[Subscription Status]]="No",0))</f>
        <v>0</v>
      </c>
    </row>
    <row r="1452" spans="1:21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  <c r="S1452" t="str">
        <f>IF(Table1[[#This Row],[Age]]&lt;=25,"Young",IF(Table1[[#This Row],[Age]]&lt;=50,"Adult","Senior"))</f>
        <v>Young</v>
      </c>
      <c r="T1452" s="1">
        <f>Table1[[#This Row],[Purchase Amount (USD)]]</f>
        <v>44</v>
      </c>
      <c r="U1452">
        <f>IF(Table1[[#This Row],[Subscription Status]]="Yes",1,IF(Table1[[#This Row],[Subscription Status]]="No",0))</f>
        <v>0</v>
      </c>
    </row>
    <row r="1453" spans="1:21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  <c r="S1453" t="str">
        <f>IF(Table1[[#This Row],[Age]]&lt;=25,"Young",IF(Table1[[#This Row],[Age]]&lt;=50,"Adult","Senior"))</f>
        <v>Senior</v>
      </c>
      <c r="T1453" s="1">
        <f>Table1[[#This Row],[Purchase Amount (USD)]]</f>
        <v>34</v>
      </c>
      <c r="U1453">
        <f>IF(Table1[[#This Row],[Subscription Status]]="Yes",1,IF(Table1[[#This Row],[Subscription Status]]="No",0))</f>
        <v>0</v>
      </c>
    </row>
    <row r="1454" spans="1:21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  <c r="S1454" t="str">
        <f>IF(Table1[[#This Row],[Age]]&lt;=25,"Young",IF(Table1[[#This Row],[Age]]&lt;=50,"Adult","Senior"))</f>
        <v>Senior</v>
      </c>
      <c r="T1454" s="1">
        <f>Table1[[#This Row],[Purchase Amount (USD)]]</f>
        <v>25</v>
      </c>
      <c r="U1454">
        <f>IF(Table1[[#This Row],[Subscription Status]]="Yes",1,IF(Table1[[#This Row],[Subscription Status]]="No",0))</f>
        <v>0</v>
      </c>
    </row>
    <row r="1455" spans="1:21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  <c r="S1455" t="str">
        <f>IF(Table1[[#This Row],[Age]]&lt;=25,"Young",IF(Table1[[#This Row],[Age]]&lt;=50,"Adult","Senior"))</f>
        <v>Adult</v>
      </c>
      <c r="T1455" s="1">
        <f>Table1[[#This Row],[Purchase Amount (USD)]]</f>
        <v>93</v>
      </c>
      <c r="U1455">
        <f>IF(Table1[[#This Row],[Subscription Status]]="Yes",1,IF(Table1[[#This Row],[Subscription Status]]="No",0))</f>
        <v>0</v>
      </c>
    </row>
    <row r="1456" spans="1:21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  <c r="S1456" t="str">
        <f>IF(Table1[[#This Row],[Age]]&lt;=25,"Young",IF(Table1[[#This Row],[Age]]&lt;=50,"Adult","Senior"))</f>
        <v>Senior</v>
      </c>
      <c r="T1456" s="1">
        <f>Table1[[#This Row],[Purchase Amount (USD)]]</f>
        <v>50</v>
      </c>
      <c r="U1456">
        <f>IF(Table1[[#This Row],[Subscription Status]]="Yes",1,IF(Table1[[#This Row],[Subscription Status]]="No",0))</f>
        <v>0</v>
      </c>
    </row>
    <row r="1457" spans="1:21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  <c r="S1457" t="str">
        <f>IF(Table1[[#This Row],[Age]]&lt;=25,"Young",IF(Table1[[#This Row],[Age]]&lt;=50,"Adult","Senior"))</f>
        <v>Senior</v>
      </c>
      <c r="T1457" s="1">
        <f>Table1[[#This Row],[Purchase Amount (USD)]]</f>
        <v>79</v>
      </c>
      <c r="U1457">
        <f>IF(Table1[[#This Row],[Subscription Status]]="Yes",1,IF(Table1[[#This Row],[Subscription Status]]="No",0))</f>
        <v>0</v>
      </c>
    </row>
    <row r="1458" spans="1:21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  <c r="S1458" t="str">
        <f>IF(Table1[[#This Row],[Age]]&lt;=25,"Young",IF(Table1[[#This Row],[Age]]&lt;=50,"Adult","Senior"))</f>
        <v>Senior</v>
      </c>
      <c r="T1458" s="1">
        <f>Table1[[#This Row],[Purchase Amount (USD)]]</f>
        <v>100</v>
      </c>
      <c r="U1458">
        <f>IF(Table1[[#This Row],[Subscription Status]]="Yes",1,IF(Table1[[#This Row],[Subscription Status]]="No",0))</f>
        <v>0</v>
      </c>
    </row>
    <row r="1459" spans="1:21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  <c r="S1459" t="str">
        <f>IF(Table1[[#This Row],[Age]]&lt;=25,"Young",IF(Table1[[#This Row],[Age]]&lt;=50,"Adult","Senior"))</f>
        <v>Senior</v>
      </c>
      <c r="T1459" s="1">
        <f>Table1[[#This Row],[Purchase Amount (USD)]]</f>
        <v>57</v>
      </c>
      <c r="U1459">
        <f>IF(Table1[[#This Row],[Subscription Status]]="Yes",1,IF(Table1[[#This Row],[Subscription Status]]="No",0))</f>
        <v>0</v>
      </c>
    </row>
    <row r="1460" spans="1:21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  <c r="S1460" t="str">
        <f>IF(Table1[[#This Row],[Age]]&lt;=25,"Young",IF(Table1[[#This Row],[Age]]&lt;=50,"Adult","Senior"))</f>
        <v>Adult</v>
      </c>
      <c r="T1460" s="1">
        <f>Table1[[#This Row],[Purchase Amount (USD)]]</f>
        <v>28</v>
      </c>
      <c r="U1460">
        <f>IF(Table1[[#This Row],[Subscription Status]]="Yes",1,IF(Table1[[#This Row],[Subscription Status]]="No",0))</f>
        <v>0</v>
      </c>
    </row>
    <row r="1461" spans="1:21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  <c r="S1461" t="str">
        <f>IF(Table1[[#This Row],[Age]]&lt;=25,"Young",IF(Table1[[#This Row],[Age]]&lt;=50,"Adult","Senior"))</f>
        <v>Young</v>
      </c>
      <c r="T1461" s="1">
        <f>Table1[[#This Row],[Purchase Amount (USD)]]</f>
        <v>35</v>
      </c>
      <c r="U1461">
        <f>IF(Table1[[#This Row],[Subscription Status]]="Yes",1,IF(Table1[[#This Row],[Subscription Status]]="No",0))</f>
        <v>0</v>
      </c>
    </row>
    <row r="1462" spans="1:21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  <c r="S1462" t="str">
        <f>IF(Table1[[#This Row],[Age]]&lt;=25,"Young",IF(Table1[[#This Row],[Age]]&lt;=50,"Adult","Senior"))</f>
        <v>Senior</v>
      </c>
      <c r="T1462" s="1">
        <f>Table1[[#This Row],[Purchase Amount (USD)]]</f>
        <v>85</v>
      </c>
      <c r="U1462">
        <f>IF(Table1[[#This Row],[Subscription Status]]="Yes",1,IF(Table1[[#This Row],[Subscription Status]]="No",0))</f>
        <v>0</v>
      </c>
    </row>
    <row r="1463" spans="1:21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  <c r="S1463" t="str">
        <f>IF(Table1[[#This Row],[Age]]&lt;=25,"Young",IF(Table1[[#This Row],[Age]]&lt;=50,"Adult","Senior"))</f>
        <v>Senior</v>
      </c>
      <c r="T1463" s="1">
        <f>Table1[[#This Row],[Purchase Amount (USD)]]</f>
        <v>95</v>
      </c>
      <c r="U1463">
        <f>IF(Table1[[#This Row],[Subscription Status]]="Yes",1,IF(Table1[[#This Row],[Subscription Status]]="No",0))</f>
        <v>0</v>
      </c>
    </row>
    <row r="1464" spans="1:21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  <c r="S1464" t="str">
        <f>IF(Table1[[#This Row],[Age]]&lt;=25,"Young",IF(Table1[[#This Row],[Age]]&lt;=50,"Adult","Senior"))</f>
        <v>Adult</v>
      </c>
      <c r="T1464" s="1">
        <f>Table1[[#This Row],[Purchase Amount (USD)]]</f>
        <v>90</v>
      </c>
      <c r="U1464">
        <f>IF(Table1[[#This Row],[Subscription Status]]="Yes",1,IF(Table1[[#This Row],[Subscription Status]]="No",0))</f>
        <v>0</v>
      </c>
    </row>
    <row r="1465" spans="1:21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  <c r="S1465" t="str">
        <f>IF(Table1[[#This Row],[Age]]&lt;=25,"Young",IF(Table1[[#This Row],[Age]]&lt;=50,"Adult","Senior"))</f>
        <v>Senior</v>
      </c>
      <c r="T1465" s="1">
        <f>Table1[[#This Row],[Purchase Amount (USD)]]</f>
        <v>49</v>
      </c>
      <c r="U1465">
        <f>IF(Table1[[#This Row],[Subscription Status]]="Yes",1,IF(Table1[[#This Row],[Subscription Status]]="No",0))</f>
        <v>0</v>
      </c>
    </row>
    <row r="1466" spans="1:21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  <c r="S1466" t="str">
        <f>IF(Table1[[#This Row],[Age]]&lt;=25,"Young",IF(Table1[[#This Row],[Age]]&lt;=50,"Adult","Senior"))</f>
        <v>Adult</v>
      </c>
      <c r="T1466" s="1">
        <f>Table1[[#This Row],[Purchase Amount (USD)]]</f>
        <v>92</v>
      </c>
      <c r="U1466">
        <f>IF(Table1[[#This Row],[Subscription Status]]="Yes",1,IF(Table1[[#This Row],[Subscription Status]]="No",0))</f>
        <v>0</v>
      </c>
    </row>
    <row r="1467" spans="1:21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  <c r="S1467" t="str">
        <f>IF(Table1[[#This Row],[Age]]&lt;=25,"Young",IF(Table1[[#This Row],[Age]]&lt;=50,"Adult","Senior"))</f>
        <v>Adult</v>
      </c>
      <c r="T1467" s="1">
        <f>Table1[[#This Row],[Purchase Amount (USD)]]</f>
        <v>72</v>
      </c>
      <c r="U1467">
        <f>IF(Table1[[#This Row],[Subscription Status]]="Yes",1,IF(Table1[[#This Row],[Subscription Status]]="No",0))</f>
        <v>0</v>
      </c>
    </row>
    <row r="1468" spans="1:21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  <c r="S1468" t="str">
        <f>IF(Table1[[#This Row],[Age]]&lt;=25,"Young",IF(Table1[[#This Row],[Age]]&lt;=50,"Adult","Senior"))</f>
        <v>Senior</v>
      </c>
      <c r="T1468" s="1">
        <f>Table1[[#This Row],[Purchase Amount (USD)]]</f>
        <v>71</v>
      </c>
      <c r="U1468">
        <f>IF(Table1[[#This Row],[Subscription Status]]="Yes",1,IF(Table1[[#This Row],[Subscription Status]]="No",0))</f>
        <v>0</v>
      </c>
    </row>
    <row r="1469" spans="1:21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  <c r="S1469" t="str">
        <f>IF(Table1[[#This Row],[Age]]&lt;=25,"Young",IF(Table1[[#This Row],[Age]]&lt;=50,"Adult","Senior"))</f>
        <v>Adult</v>
      </c>
      <c r="T1469" s="1">
        <f>Table1[[#This Row],[Purchase Amount (USD)]]</f>
        <v>27</v>
      </c>
      <c r="U1469">
        <f>IF(Table1[[#This Row],[Subscription Status]]="Yes",1,IF(Table1[[#This Row],[Subscription Status]]="No",0))</f>
        <v>0</v>
      </c>
    </row>
    <row r="1470" spans="1:21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  <c r="S1470" t="str">
        <f>IF(Table1[[#This Row],[Age]]&lt;=25,"Young",IF(Table1[[#This Row],[Age]]&lt;=50,"Adult","Senior"))</f>
        <v>Adult</v>
      </c>
      <c r="T1470" s="1">
        <f>Table1[[#This Row],[Purchase Amount (USD)]]</f>
        <v>39</v>
      </c>
      <c r="U1470">
        <f>IF(Table1[[#This Row],[Subscription Status]]="Yes",1,IF(Table1[[#This Row],[Subscription Status]]="No",0))</f>
        <v>0</v>
      </c>
    </row>
    <row r="1471" spans="1:21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  <c r="S1471" t="str">
        <f>IF(Table1[[#This Row],[Age]]&lt;=25,"Young",IF(Table1[[#This Row],[Age]]&lt;=50,"Adult","Senior"))</f>
        <v>Adult</v>
      </c>
      <c r="T1471" s="1">
        <f>Table1[[#This Row],[Purchase Amount (USD)]]</f>
        <v>98</v>
      </c>
      <c r="U1471">
        <f>IF(Table1[[#This Row],[Subscription Status]]="Yes",1,IF(Table1[[#This Row],[Subscription Status]]="No",0))</f>
        <v>0</v>
      </c>
    </row>
    <row r="1472" spans="1:21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  <c r="S1472" t="str">
        <f>IF(Table1[[#This Row],[Age]]&lt;=25,"Young",IF(Table1[[#This Row],[Age]]&lt;=50,"Adult","Senior"))</f>
        <v>Adult</v>
      </c>
      <c r="T1472" s="1">
        <f>Table1[[#This Row],[Purchase Amount (USD)]]</f>
        <v>27</v>
      </c>
      <c r="U1472">
        <f>IF(Table1[[#This Row],[Subscription Status]]="Yes",1,IF(Table1[[#This Row],[Subscription Status]]="No",0))</f>
        <v>0</v>
      </c>
    </row>
    <row r="1473" spans="1:21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  <c r="S1473" t="str">
        <f>IF(Table1[[#This Row],[Age]]&lt;=25,"Young",IF(Table1[[#This Row],[Age]]&lt;=50,"Adult","Senior"))</f>
        <v>Adult</v>
      </c>
      <c r="T1473" s="1">
        <f>Table1[[#This Row],[Purchase Amount (USD)]]</f>
        <v>71</v>
      </c>
      <c r="U1473">
        <f>IF(Table1[[#This Row],[Subscription Status]]="Yes",1,IF(Table1[[#This Row],[Subscription Status]]="No",0))</f>
        <v>0</v>
      </c>
    </row>
    <row r="1474" spans="1:21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  <c r="S1474" t="str">
        <f>IF(Table1[[#This Row],[Age]]&lt;=25,"Young",IF(Table1[[#This Row],[Age]]&lt;=50,"Adult","Senior"))</f>
        <v>Adult</v>
      </c>
      <c r="T1474" s="1">
        <f>Table1[[#This Row],[Purchase Amount (USD)]]</f>
        <v>24</v>
      </c>
      <c r="U1474">
        <f>IF(Table1[[#This Row],[Subscription Status]]="Yes",1,IF(Table1[[#This Row],[Subscription Status]]="No",0))</f>
        <v>0</v>
      </c>
    </row>
    <row r="1475" spans="1:21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  <c r="S1475" t="str">
        <f>IF(Table1[[#This Row],[Age]]&lt;=25,"Young",IF(Table1[[#This Row],[Age]]&lt;=50,"Adult","Senior"))</f>
        <v>Senior</v>
      </c>
      <c r="T1475" s="1">
        <f>Table1[[#This Row],[Purchase Amount (USD)]]</f>
        <v>63</v>
      </c>
      <c r="U1475">
        <f>IF(Table1[[#This Row],[Subscription Status]]="Yes",1,IF(Table1[[#This Row],[Subscription Status]]="No",0))</f>
        <v>0</v>
      </c>
    </row>
    <row r="1476" spans="1:21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  <c r="S1476" t="str">
        <f>IF(Table1[[#This Row],[Age]]&lt;=25,"Young",IF(Table1[[#This Row],[Age]]&lt;=50,"Adult","Senior"))</f>
        <v>Adult</v>
      </c>
      <c r="T1476" s="1">
        <f>Table1[[#This Row],[Purchase Amount (USD)]]</f>
        <v>72</v>
      </c>
      <c r="U1476">
        <f>IF(Table1[[#This Row],[Subscription Status]]="Yes",1,IF(Table1[[#This Row],[Subscription Status]]="No",0))</f>
        <v>0</v>
      </c>
    </row>
    <row r="1477" spans="1:21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  <c r="S1477" t="str">
        <f>IF(Table1[[#This Row],[Age]]&lt;=25,"Young",IF(Table1[[#This Row],[Age]]&lt;=50,"Adult","Senior"))</f>
        <v>Adult</v>
      </c>
      <c r="T1477" s="1">
        <f>Table1[[#This Row],[Purchase Amount (USD)]]</f>
        <v>61</v>
      </c>
      <c r="U1477">
        <f>IF(Table1[[#This Row],[Subscription Status]]="Yes",1,IF(Table1[[#This Row],[Subscription Status]]="No",0))</f>
        <v>0</v>
      </c>
    </row>
    <row r="1478" spans="1:21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  <c r="S1478" t="str">
        <f>IF(Table1[[#This Row],[Age]]&lt;=25,"Young",IF(Table1[[#This Row],[Age]]&lt;=50,"Adult","Senior"))</f>
        <v>Adult</v>
      </c>
      <c r="T1478" s="1">
        <f>Table1[[#This Row],[Purchase Amount (USD)]]</f>
        <v>56</v>
      </c>
      <c r="U1478">
        <f>IF(Table1[[#This Row],[Subscription Status]]="Yes",1,IF(Table1[[#This Row],[Subscription Status]]="No",0))</f>
        <v>0</v>
      </c>
    </row>
    <row r="1479" spans="1:21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  <c r="S1479" t="str">
        <f>IF(Table1[[#This Row],[Age]]&lt;=25,"Young",IF(Table1[[#This Row],[Age]]&lt;=50,"Adult","Senior"))</f>
        <v>Young</v>
      </c>
      <c r="T1479" s="1">
        <f>Table1[[#This Row],[Purchase Amount (USD)]]</f>
        <v>32</v>
      </c>
      <c r="U1479">
        <f>IF(Table1[[#This Row],[Subscription Status]]="Yes",1,IF(Table1[[#This Row],[Subscription Status]]="No",0))</f>
        <v>0</v>
      </c>
    </row>
    <row r="1480" spans="1:21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  <c r="S1480" t="str">
        <f>IF(Table1[[#This Row],[Age]]&lt;=25,"Young",IF(Table1[[#This Row],[Age]]&lt;=50,"Adult","Senior"))</f>
        <v>Adult</v>
      </c>
      <c r="T1480" s="1">
        <f>Table1[[#This Row],[Purchase Amount (USD)]]</f>
        <v>23</v>
      </c>
      <c r="U1480">
        <f>IF(Table1[[#This Row],[Subscription Status]]="Yes",1,IF(Table1[[#This Row],[Subscription Status]]="No",0))</f>
        <v>0</v>
      </c>
    </row>
    <row r="1481" spans="1:21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  <c r="S1481" t="str">
        <f>IF(Table1[[#This Row],[Age]]&lt;=25,"Young",IF(Table1[[#This Row],[Age]]&lt;=50,"Adult","Senior"))</f>
        <v>Adult</v>
      </c>
      <c r="T1481" s="1">
        <f>Table1[[#This Row],[Purchase Amount (USD)]]</f>
        <v>100</v>
      </c>
      <c r="U1481">
        <f>IF(Table1[[#This Row],[Subscription Status]]="Yes",1,IF(Table1[[#This Row],[Subscription Status]]="No",0))</f>
        <v>0</v>
      </c>
    </row>
    <row r="1482" spans="1:21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  <c r="S1482" t="str">
        <f>IF(Table1[[#This Row],[Age]]&lt;=25,"Young",IF(Table1[[#This Row],[Age]]&lt;=50,"Adult","Senior"))</f>
        <v>Adult</v>
      </c>
      <c r="T1482" s="1">
        <f>Table1[[#This Row],[Purchase Amount (USD)]]</f>
        <v>74</v>
      </c>
      <c r="U1482">
        <f>IF(Table1[[#This Row],[Subscription Status]]="Yes",1,IF(Table1[[#This Row],[Subscription Status]]="No",0))</f>
        <v>0</v>
      </c>
    </row>
    <row r="1483" spans="1:21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  <c r="S1483" t="str">
        <f>IF(Table1[[#This Row],[Age]]&lt;=25,"Young",IF(Table1[[#This Row],[Age]]&lt;=50,"Adult","Senior"))</f>
        <v>Senior</v>
      </c>
      <c r="T1483" s="1">
        <f>Table1[[#This Row],[Purchase Amount (USD)]]</f>
        <v>33</v>
      </c>
      <c r="U1483">
        <f>IF(Table1[[#This Row],[Subscription Status]]="Yes",1,IF(Table1[[#This Row],[Subscription Status]]="No",0))</f>
        <v>0</v>
      </c>
    </row>
    <row r="1484" spans="1:21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  <c r="S1484" t="str">
        <f>IF(Table1[[#This Row],[Age]]&lt;=25,"Young",IF(Table1[[#This Row],[Age]]&lt;=50,"Adult","Senior"))</f>
        <v>Adult</v>
      </c>
      <c r="T1484" s="1">
        <f>Table1[[#This Row],[Purchase Amount (USD)]]</f>
        <v>67</v>
      </c>
      <c r="U1484">
        <f>IF(Table1[[#This Row],[Subscription Status]]="Yes",1,IF(Table1[[#This Row],[Subscription Status]]="No",0))</f>
        <v>0</v>
      </c>
    </row>
    <row r="1485" spans="1:21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  <c r="S1485" t="str">
        <f>IF(Table1[[#This Row],[Age]]&lt;=25,"Young",IF(Table1[[#This Row],[Age]]&lt;=50,"Adult","Senior"))</f>
        <v>Adult</v>
      </c>
      <c r="T1485" s="1">
        <f>Table1[[#This Row],[Purchase Amount (USD)]]</f>
        <v>61</v>
      </c>
      <c r="U1485">
        <f>IF(Table1[[#This Row],[Subscription Status]]="Yes",1,IF(Table1[[#This Row],[Subscription Status]]="No",0))</f>
        <v>0</v>
      </c>
    </row>
    <row r="1486" spans="1:21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  <c r="S1486" t="str">
        <f>IF(Table1[[#This Row],[Age]]&lt;=25,"Young",IF(Table1[[#This Row],[Age]]&lt;=50,"Adult","Senior"))</f>
        <v>Adult</v>
      </c>
      <c r="T1486" s="1">
        <f>Table1[[#This Row],[Purchase Amount (USD)]]</f>
        <v>46</v>
      </c>
      <c r="U1486">
        <f>IF(Table1[[#This Row],[Subscription Status]]="Yes",1,IF(Table1[[#This Row],[Subscription Status]]="No",0))</f>
        <v>0</v>
      </c>
    </row>
    <row r="1487" spans="1:21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  <c r="S1487" t="str">
        <f>IF(Table1[[#This Row],[Age]]&lt;=25,"Young",IF(Table1[[#This Row],[Age]]&lt;=50,"Adult","Senior"))</f>
        <v>Young</v>
      </c>
      <c r="T1487" s="1">
        <f>Table1[[#This Row],[Purchase Amount (USD)]]</f>
        <v>56</v>
      </c>
      <c r="U1487">
        <f>IF(Table1[[#This Row],[Subscription Status]]="Yes",1,IF(Table1[[#This Row],[Subscription Status]]="No",0))</f>
        <v>0</v>
      </c>
    </row>
    <row r="1488" spans="1:21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  <c r="S1488" t="str">
        <f>IF(Table1[[#This Row],[Age]]&lt;=25,"Young",IF(Table1[[#This Row],[Age]]&lt;=50,"Adult","Senior"))</f>
        <v>Young</v>
      </c>
      <c r="T1488" s="1">
        <f>Table1[[#This Row],[Purchase Amount (USD)]]</f>
        <v>73</v>
      </c>
      <c r="U1488">
        <f>IF(Table1[[#This Row],[Subscription Status]]="Yes",1,IF(Table1[[#This Row],[Subscription Status]]="No",0))</f>
        <v>0</v>
      </c>
    </row>
    <row r="1489" spans="1:21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  <c r="S1489" t="str">
        <f>IF(Table1[[#This Row],[Age]]&lt;=25,"Young",IF(Table1[[#This Row],[Age]]&lt;=50,"Adult","Senior"))</f>
        <v>Adult</v>
      </c>
      <c r="T1489" s="1">
        <f>Table1[[#This Row],[Purchase Amount (USD)]]</f>
        <v>44</v>
      </c>
      <c r="U1489">
        <f>IF(Table1[[#This Row],[Subscription Status]]="Yes",1,IF(Table1[[#This Row],[Subscription Status]]="No",0))</f>
        <v>0</v>
      </c>
    </row>
    <row r="1490" spans="1:21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  <c r="S1490" t="str">
        <f>IF(Table1[[#This Row],[Age]]&lt;=25,"Young",IF(Table1[[#This Row],[Age]]&lt;=50,"Adult","Senior"))</f>
        <v>Young</v>
      </c>
      <c r="T1490" s="1">
        <f>Table1[[#This Row],[Purchase Amount (USD)]]</f>
        <v>44</v>
      </c>
      <c r="U1490">
        <f>IF(Table1[[#This Row],[Subscription Status]]="Yes",1,IF(Table1[[#This Row],[Subscription Status]]="No",0))</f>
        <v>0</v>
      </c>
    </row>
    <row r="1491" spans="1:21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  <c r="S1491" t="str">
        <f>IF(Table1[[#This Row],[Age]]&lt;=25,"Young",IF(Table1[[#This Row],[Age]]&lt;=50,"Adult","Senior"))</f>
        <v>Young</v>
      </c>
      <c r="T1491" s="1">
        <f>Table1[[#This Row],[Purchase Amount (USD)]]</f>
        <v>26</v>
      </c>
      <c r="U1491">
        <f>IF(Table1[[#This Row],[Subscription Status]]="Yes",1,IF(Table1[[#This Row],[Subscription Status]]="No",0))</f>
        <v>0</v>
      </c>
    </row>
    <row r="1492" spans="1:21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  <c r="S1492" t="str">
        <f>IF(Table1[[#This Row],[Age]]&lt;=25,"Young",IF(Table1[[#This Row],[Age]]&lt;=50,"Adult","Senior"))</f>
        <v>Senior</v>
      </c>
      <c r="T1492" s="1">
        <f>Table1[[#This Row],[Purchase Amount (USD)]]</f>
        <v>52</v>
      </c>
      <c r="U1492">
        <f>IF(Table1[[#This Row],[Subscription Status]]="Yes",1,IF(Table1[[#This Row],[Subscription Status]]="No",0))</f>
        <v>0</v>
      </c>
    </row>
    <row r="1493" spans="1:21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  <c r="S1493" t="str">
        <f>IF(Table1[[#This Row],[Age]]&lt;=25,"Young",IF(Table1[[#This Row],[Age]]&lt;=50,"Adult","Senior"))</f>
        <v>Adult</v>
      </c>
      <c r="T1493" s="1">
        <f>Table1[[#This Row],[Purchase Amount (USD)]]</f>
        <v>54</v>
      </c>
      <c r="U1493">
        <f>IF(Table1[[#This Row],[Subscription Status]]="Yes",1,IF(Table1[[#This Row],[Subscription Status]]="No",0))</f>
        <v>0</v>
      </c>
    </row>
    <row r="1494" spans="1:21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  <c r="S1494" t="str">
        <f>IF(Table1[[#This Row],[Age]]&lt;=25,"Young",IF(Table1[[#This Row],[Age]]&lt;=50,"Adult","Senior"))</f>
        <v>Senior</v>
      </c>
      <c r="T1494" s="1">
        <f>Table1[[#This Row],[Purchase Amount (USD)]]</f>
        <v>38</v>
      </c>
      <c r="U1494">
        <f>IF(Table1[[#This Row],[Subscription Status]]="Yes",1,IF(Table1[[#This Row],[Subscription Status]]="No",0))</f>
        <v>0</v>
      </c>
    </row>
    <row r="1495" spans="1:21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  <c r="S1495" t="str">
        <f>IF(Table1[[#This Row],[Age]]&lt;=25,"Young",IF(Table1[[#This Row],[Age]]&lt;=50,"Adult","Senior"))</f>
        <v>Senior</v>
      </c>
      <c r="T1495" s="1">
        <f>Table1[[#This Row],[Purchase Amount (USD)]]</f>
        <v>44</v>
      </c>
      <c r="U1495">
        <f>IF(Table1[[#This Row],[Subscription Status]]="Yes",1,IF(Table1[[#This Row],[Subscription Status]]="No",0))</f>
        <v>0</v>
      </c>
    </row>
    <row r="1496" spans="1:21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  <c r="S1496" t="str">
        <f>IF(Table1[[#This Row],[Age]]&lt;=25,"Young",IF(Table1[[#This Row],[Age]]&lt;=50,"Adult","Senior"))</f>
        <v>Adult</v>
      </c>
      <c r="T1496" s="1">
        <f>Table1[[#This Row],[Purchase Amount (USD)]]</f>
        <v>76</v>
      </c>
      <c r="U1496">
        <f>IF(Table1[[#This Row],[Subscription Status]]="Yes",1,IF(Table1[[#This Row],[Subscription Status]]="No",0))</f>
        <v>0</v>
      </c>
    </row>
    <row r="1497" spans="1:21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  <c r="S1497" t="str">
        <f>IF(Table1[[#This Row],[Age]]&lt;=25,"Young",IF(Table1[[#This Row],[Age]]&lt;=50,"Adult","Senior"))</f>
        <v>Adult</v>
      </c>
      <c r="T1497" s="1">
        <f>Table1[[#This Row],[Purchase Amount (USD)]]</f>
        <v>23</v>
      </c>
      <c r="U1497">
        <f>IF(Table1[[#This Row],[Subscription Status]]="Yes",1,IF(Table1[[#This Row],[Subscription Status]]="No",0))</f>
        <v>0</v>
      </c>
    </row>
    <row r="1498" spans="1:21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  <c r="S1498" t="str">
        <f>IF(Table1[[#This Row],[Age]]&lt;=25,"Young",IF(Table1[[#This Row],[Age]]&lt;=50,"Adult","Senior"))</f>
        <v>Senior</v>
      </c>
      <c r="T1498" s="1">
        <f>Table1[[#This Row],[Purchase Amount (USD)]]</f>
        <v>98</v>
      </c>
      <c r="U1498">
        <f>IF(Table1[[#This Row],[Subscription Status]]="Yes",1,IF(Table1[[#This Row],[Subscription Status]]="No",0))</f>
        <v>0</v>
      </c>
    </row>
    <row r="1499" spans="1:21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  <c r="S1499" t="str">
        <f>IF(Table1[[#This Row],[Age]]&lt;=25,"Young",IF(Table1[[#This Row],[Age]]&lt;=50,"Adult","Senior"))</f>
        <v>Senior</v>
      </c>
      <c r="T1499" s="1">
        <f>Table1[[#This Row],[Purchase Amount (USD)]]</f>
        <v>33</v>
      </c>
      <c r="U1499">
        <f>IF(Table1[[#This Row],[Subscription Status]]="Yes",1,IF(Table1[[#This Row],[Subscription Status]]="No",0))</f>
        <v>0</v>
      </c>
    </row>
    <row r="1500" spans="1:21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  <c r="S1500" t="str">
        <f>IF(Table1[[#This Row],[Age]]&lt;=25,"Young",IF(Table1[[#This Row],[Age]]&lt;=50,"Adult","Senior"))</f>
        <v>Senior</v>
      </c>
      <c r="T1500" s="1">
        <f>Table1[[#This Row],[Purchase Amount (USD)]]</f>
        <v>32</v>
      </c>
      <c r="U1500">
        <f>IF(Table1[[#This Row],[Subscription Status]]="Yes",1,IF(Table1[[#This Row],[Subscription Status]]="No",0))</f>
        <v>0</v>
      </c>
    </row>
    <row r="1501" spans="1:21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  <c r="S1501" t="str">
        <f>IF(Table1[[#This Row],[Age]]&lt;=25,"Young",IF(Table1[[#This Row],[Age]]&lt;=50,"Adult","Senior"))</f>
        <v>Young</v>
      </c>
      <c r="T1501" s="1">
        <f>Table1[[#This Row],[Purchase Amount (USD)]]</f>
        <v>85</v>
      </c>
      <c r="U1501">
        <f>IF(Table1[[#This Row],[Subscription Status]]="Yes",1,IF(Table1[[#This Row],[Subscription Status]]="No",0))</f>
        <v>0</v>
      </c>
    </row>
    <row r="1502" spans="1:21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  <c r="S1502" t="str">
        <f>IF(Table1[[#This Row],[Age]]&lt;=25,"Young",IF(Table1[[#This Row],[Age]]&lt;=50,"Adult","Senior"))</f>
        <v>Senior</v>
      </c>
      <c r="T1502" s="1">
        <f>Table1[[#This Row],[Purchase Amount (USD)]]</f>
        <v>69</v>
      </c>
      <c r="U1502">
        <f>IF(Table1[[#This Row],[Subscription Status]]="Yes",1,IF(Table1[[#This Row],[Subscription Status]]="No",0))</f>
        <v>0</v>
      </c>
    </row>
    <row r="1503" spans="1:21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  <c r="S1503" t="str">
        <f>IF(Table1[[#This Row],[Age]]&lt;=25,"Young",IF(Table1[[#This Row],[Age]]&lt;=50,"Adult","Senior"))</f>
        <v>Adult</v>
      </c>
      <c r="T1503" s="1">
        <f>Table1[[#This Row],[Purchase Amount (USD)]]</f>
        <v>55</v>
      </c>
      <c r="U1503">
        <f>IF(Table1[[#This Row],[Subscription Status]]="Yes",1,IF(Table1[[#This Row],[Subscription Status]]="No",0))</f>
        <v>0</v>
      </c>
    </row>
    <row r="1504" spans="1:21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  <c r="S1504" t="str">
        <f>IF(Table1[[#This Row],[Age]]&lt;=25,"Young",IF(Table1[[#This Row],[Age]]&lt;=50,"Adult","Senior"))</f>
        <v>Adult</v>
      </c>
      <c r="T1504" s="1">
        <f>Table1[[#This Row],[Purchase Amount (USD)]]</f>
        <v>66</v>
      </c>
      <c r="U1504">
        <f>IF(Table1[[#This Row],[Subscription Status]]="Yes",1,IF(Table1[[#This Row],[Subscription Status]]="No",0))</f>
        <v>0</v>
      </c>
    </row>
    <row r="1505" spans="1:21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  <c r="S1505" t="str">
        <f>IF(Table1[[#This Row],[Age]]&lt;=25,"Young",IF(Table1[[#This Row],[Age]]&lt;=50,"Adult","Senior"))</f>
        <v>Adult</v>
      </c>
      <c r="T1505" s="1">
        <f>Table1[[#This Row],[Purchase Amount (USD)]]</f>
        <v>30</v>
      </c>
      <c r="U1505">
        <f>IF(Table1[[#This Row],[Subscription Status]]="Yes",1,IF(Table1[[#This Row],[Subscription Status]]="No",0))</f>
        <v>0</v>
      </c>
    </row>
    <row r="1506" spans="1:21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  <c r="S1506" t="str">
        <f>IF(Table1[[#This Row],[Age]]&lt;=25,"Young",IF(Table1[[#This Row],[Age]]&lt;=50,"Adult","Senior"))</f>
        <v>Senior</v>
      </c>
      <c r="T1506" s="1">
        <f>Table1[[#This Row],[Purchase Amount (USD)]]</f>
        <v>80</v>
      </c>
      <c r="U1506">
        <f>IF(Table1[[#This Row],[Subscription Status]]="Yes",1,IF(Table1[[#This Row],[Subscription Status]]="No",0))</f>
        <v>0</v>
      </c>
    </row>
    <row r="1507" spans="1:21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  <c r="S1507" t="str">
        <f>IF(Table1[[#This Row],[Age]]&lt;=25,"Young",IF(Table1[[#This Row],[Age]]&lt;=50,"Adult","Senior"))</f>
        <v>Adult</v>
      </c>
      <c r="T1507" s="1">
        <f>Table1[[#This Row],[Purchase Amount (USD)]]</f>
        <v>20</v>
      </c>
      <c r="U1507">
        <f>IF(Table1[[#This Row],[Subscription Status]]="Yes",1,IF(Table1[[#This Row],[Subscription Status]]="No",0))</f>
        <v>0</v>
      </c>
    </row>
    <row r="1508" spans="1:21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  <c r="S1508" t="str">
        <f>IF(Table1[[#This Row],[Age]]&lt;=25,"Young",IF(Table1[[#This Row],[Age]]&lt;=50,"Adult","Senior"))</f>
        <v>Adult</v>
      </c>
      <c r="T1508" s="1">
        <f>Table1[[#This Row],[Purchase Amount (USD)]]</f>
        <v>30</v>
      </c>
      <c r="U1508">
        <f>IF(Table1[[#This Row],[Subscription Status]]="Yes",1,IF(Table1[[#This Row],[Subscription Status]]="No",0))</f>
        <v>0</v>
      </c>
    </row>
    <row r="1509" spans="1:21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  <c r="S1509" t="str">
        <f>IF(Table1[[#This Row],[Age]]&lt;=25,"Young",IF(Table1[[#This Row],[Age]]&lt;=50,"Adult","Senior"))</f>
        <v>Senior</v>
      </c>
      <c r="T1509" s="1">
        <f>Table1[[#This Row],[Purchase Amount (USD)]]</f>
        <v>86</v>
      </c>
      <c r="U1509">
        <f>IF(Table1[[#This Row],[Subscription Status]]="Yes",1,IF(Table1[[#This Row],[Subscription Status]]="No",0))</f>
        <v>0</v>
      </c>
    </row>
    <row r="1510" spans="1:21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  <c r="S1510" t="str">
        <f>IF(Table1[[#This Row],[Age]]&lt;=25,"Young",IF(Table1[[#This Row],[Age]]&lt;=50,"Adult","Senior"))</f>
        <v>Adult</v>
      </c>
      <c r="T1510" s="1">
        <f>Table1[[#This Row],[Purchase Amount (USD)]]</f>
        <v>84</v>
      </c>
      <c r="U1510">
        <f>IF(Table1[[#This Row],[Subscription Status]]="Yes",1,IF(Table1[[#This Row],[Subscription Status]]="No",0))</f>
        <v>0</v>
      </c>
    </row>
    <row r="1511" spans="1:21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  <c r="S1511" t="str">
        <f>IF(Table1[[#This Row],[Age]]&lt;=25,"Young",IF(Table1[[#This Row],[Age]]&lt;=50,"Adult","Senior"))</f>
        <v>Young</v>
      </c>
      <c r="T1511" s="1">
        <f>Table1[[#This Row],[Purchase Amount (USD)]]</f>
        <v>54</v>
      </c>
      <c r="U1511">
        <f>IF(Table1[[#This Row],[Subscription Status]]="Yes",1,IF(Table1[[#This Row],[Subscription Status]]="No",0))</f>
        <v>0</v>
      </c>
    </row>
    <row r="1512" spans="1:21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  <c r="S1512" t="str">
        <f>IF(Table1[[#This Row],[Age]]&lt;=25,"Young",IF(Table1[[#This Row],[Age]]&lt;=50,"Adult","Senior"))</f>
        <v>Senior</v>
      </c>
      <c r="T1512" s="1">
        <f>Table1[[#This Row],[Purchase Amount (USD)]]</f>
        <v>30</v>
      </c>
      <c r="U1512">
        <f>IF(Table1[[#This Row],[Subscription Status]]="Yes",1,IF(Table1[[#This Row],[Subscription Status]]="No",0))</f>
        <v>0</v>
      </c>
    </row>
    <row r="1513" spans="1:21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  <c r="S1513" t="str">
        <f>IF(Table1[[#This Row],[Age]]&lt;=25,"Young",IF(Table1[[#This Row],[Age]]&lt;=50,"Adult","Senior"))</f>
        <v>Adult</v>
      </c>
      <c r="T1513" s="1">
        <f>Table1[[#This Row],[Purchase Amount (USD)]]</f>
        <v>91</v>
      </c>
      <c r="U1513">
        <f>IF(Table1[[#This Row],[Subscription Status]]="Yes",1,IF(Table1[[#This Row],[Subscription Status]]="No",0))</f>
        <v>0</v>
      </c>
    </row>
    <row r="1514" spans="1:21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  <c r="S1514" t="str">
        <f>IF(Table1[[#This Row],[Age]]&lt;=25,"Young",IF(Table1[[#This Row],[Age]]&lt;=50,"Adult","Senior"))</f>
        <v>Senior</v>
      </c>
      <c r="T1514" s="1">
        <f>Table1[[#This Row],[Purchase Amount (USD)]]</f>
        <v>23</v>
      </c>
      <c r="U1514">
        <f>IF(Table1[[#This Row],[Subscription Status]]="Yes",1,IF(Table1[[#This Row],[Subscription Status]]="No",0))</f>
        <v>0</v>
      </c>
    </row>
    <row r="1515" spans="1:21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  <c r="S1515" t="str">
        <f>IF(Table1[[#This Row],[Age]]&lt;=25,"Young",IF(Table1[[#This Row],[Age]]&lt;=50,"Adult","Senior"))</f>
        <v>Young</v>
      </c>
      <c r="T1515" s="1">
        <f>Table1[[#This Row],[Purchase Amount (USD)]]</f>
        <v>35</v>
      </c>
      <c r="U1515">
        <f>IF(Table1[[#This Row],[Subscription Status]]="Yes",1,IF(Table1[[#This Row],[Subscription Status]]="No",0))</f>
        <v>0</v>
      </c>
    </row>
    <row r="1516" spans="1:21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  <c r="S1516" t="str">
        <f>IF(Table1[[#This Row],[Age]]&lt;=25,"Young",IF(Table1[[#This Row],[Age]]&lt;=50,"Adult","Senior"))</f>
        <v>Adult</v>
      </c>
      <c r="T1516" s="1">
        <f>Table1[[#This Row],[Purchase Amount (USD)]]</f>
        <v>90</v>
      </c>
      <c r="U1516">
        <f>IF(Table1[[#This Row],[Subscription Status]]="Yes",1,IF(Table1[[#This Row],[Subscription Status]]="No",0))</f>
        <v>0</v>
      </c>
    </row>
    <row r="1517" spans="1:21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  <c r="S1517" t="str">
        <f>IF(Table1[[#This Row],[Age]]&lt;=25,"Young",IF(Table1[[#This Row],[Age]]&lt;=50,"Adult","Senior"))</f>
        <v>Adult</v>
      </c>
      <c r="T1517" s="1">
        <f>Table1[[#This Row],[Purchase Amount (USD)]]</f>
        <v>93</v>
      </c>
      <c r="U1517">
        <f>IF(Table1[[#This Row],[Subscription Status]]="Yes",1,IF(Table1[[#This Row],[Subscription Status]]="No",0))</f>
        <v>0</v>
      </c>
    </row>
    <row r="1518" spans="1:21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  <c r="S1518" t="str">
        <f>IF(Table1[[#This Row],[Age]]&lt;=25,"Young",IF(Table1[[#This Row],[Age]]&lt;=50,"Adult","Senior"))</f>
        <v>Young</v>
      </c>
      <c r="T1518" s="1">
        <f>Table1[[#This Row],[Purchase Amount (USD)]]</f>
        <v>68</v>
      </c>
      <c r="U1518">
        <f>IF(Table1[[#This Row],[Subscription Status]]="Yes",1,IF(Table1[[#This Row],[Subscription Status]]="No",0))</f>
        <v>0</v>
      </c>
    </row>
    <row r="1519" spans="1:21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  <c r="S1519" t="str">
        <f>IF(Table1[[#This Row],[Age]]&lt;=25,"Young",IF(Table1[[#This Row],[Age]]&lt;=50,"Adult","Senior"))</f>
        <v>Senior</v>
      </c>
      <c r="T1519" s="1">
        <f>Table1[[#This Row],[Purchase Amount (USD)]]</f>
        <v>41</v>
      </c>
      <c r="U1519">
        <f>IF(Table1[[#This Row],[Subscription Status]]="Yes",1,IF(Table1[[#This Row],[Subscription Status]]="No",0))</f>
        <v>0</v>
      </c>
    </row>
    <row r="1520" spans="1:21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  <c r="S1520" t="str">
        <f>IF(Table1[[#This Row],[Age]]&lt;=25,"Young",IF(Table1[[#This Row],[Age]]&lt;=50,"Adult","Senior"))</f>
        <v>Senior</v>
      </c>
      <c r="T1520" s="1">
        <f>Table1[[#This Row],[Purchase Amount (USD)]]</f>
        <v>73</v>
      </c>
      <c r="U1520">
        <f>IF(Table1[[#This Row],[Subscription Status]]="Yes",1,IF(Table1[[#This Row],[Subscription Status]]="No",0))</f>
        <v>0</v>
      </c>
    </row>
    <row r="1521" spans="1:21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  <c r="S1521" t="str">
        <f>IF(Table1[[#This Row],[Age]]&lt;=25,"Young",IF(Table1[[#This Row],[Age]]&lt;=50,"Adult","Senior"))</f>
        <v>Adult</v>
      </c>
      <c r="T1521" s="1">
        <f>Table1[[#This Row],[Purchase Amount (USD)]]</f>
        <v>73</v>
      </c>
      <c r="U1521">
        <f>IF(Table1[[#This Row],[Subscription Status]]="Yes",1,IF(Table1[[#This Row],[Subscription Status]]="No",0))</f>
        <v>0</v>
      </c>
    </row>
    <row r="1522" spans="1:21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  <c r="S1522" t="str">
        <f>IF(Table1[[#This Row],[Age]]&lt;=25,"Young",IF(Table1[[#This Row],[Age]]&lt;=50,"Adult","Senior"))</f>
        <v>Young</v>
      </c>
      <c r="T1522" s="1">
        <f>Table1[[#This Row],[Purchase Amount (USD)]]</f>
        <v>66</v>
      </c>
      <c r="U1522">
        <f>IF(Table1[[#This Row],[Subscription Status]]="Yes",1,IF(Table1[[#This Row],[Subscription Status]]="No",0))</f>
        <v>0</v>
      </c>
    </row>
    <row r="1523" spans="1:21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  <c r="S1523" t="str">
        <f>IF(Table1[[#This Row],[Age]]&lt;=25,"Young",IF(Table1[[#This Row],[Age]]&lt;=50,"Adult","Senior"))</f>
        <v>Adult</v>
      </c>
      <c r="T1523" s="1">
        <f>Table1[[#This Row],[Purchase Amount (USD)]]</f>
        <v>59</v>
      </c>
      <c r="U1523">
        <f>IF(Table1[[#This Row],[Subscription Status]]="Yes",1,IF(Table1[[#This Row],[Subscription Status]]="No",0))</f>
        <v>0</v>
      </c>
    </row>
    <row r="1524" spans="1:21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  <c r="S1524" t="str">
        <f>IF(Table1[[#This Row],[Age]]&lt;=25,"Young",IF(Table1[[#This Row],[Age]]&lt;=50,"Adult","Senior"))</f>
        <v>Adult</v>
      </c>
      <c r="T1524" s="1">
        <f>Table1[[#This Row],[Purchase Amount (USD)]]</f>
        <v>72</v>
      </c>
      <c r="U1524">
        <f>IF(Table1[[#This Row],[Subscription Status]]="Yes",1,IF(Table1[[#This Row],[Subscription Status]]="No",0))</f>
        <v>0</v>
      </c>
    </row>
    <row r="1525" spans="1:21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  <c r="S1525" t="str">
        <f>IF(Table1[[#This Row],[Age]]&lt;=25,"Young",IF(Table1[[#This Row],[Age]]&lt;=50,"Adult","Senior"))</f>
        <v>Senior</v>
      </c>
      <c r="T1525" s="1">
        <f>Table1[[#This Row],[Purchase Amount (USD)]]</f>
        <v>88</v>
      </c>
      <c r="U1525">
        <f>IF(Table1[[#This Row],[Subscription Status]]="Yes",1,IF(Table1[[#This Row],[Subscription Status]]="No",0))</f>
        <v>0</v>
      </c>
    </row>
    <row r="1526" spans="1:21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  <c r="S1526" t="str">
        <f>IF(Table1[[#This Row],[Age]]&lt;=25,"Young",IF(Table1[[#This Row],[Age]]&lt;=50,"Adult","Senior"))</f>
        <v>Young</v>
      </c>
      <c r="T1526" s="1">
        <f>Table1[[#This Row],[Purchase Amount (USD)]]</f>
        <v>76</v>
      </c>
      <c r="U1526">
        <f>IF(Table1[[#This Row],[Subscription Status]]="Yes",1,IF(Table1[[#This Row],[Subscription Status]]="No",0))</f>
        <v>0</v>
      </c>
    </row>
    <row r="1527" spans="1:21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  <c r="S1527" t="str">
        <f>IF(Table1[[#This Row],[Age]]&lt;=25,"Young",IF(Table1[[#This Row],[Age]]&lt;=50,"Adult","Senior"))</f>
        <v>Adult</v>
      </c>
      <c r="T1527" s="1">
        <f>Table1[[#This Row],[Purchase Amount (USD)]]</f>
        <v>31</v>
      </c>
      <c r="U1527">
        <f>IF(Table1[[#This Row],[Subscription Status]]="Yes",1,IF(Table1[[#This Row],[Subscription Status]]="No",0))</f>
        <v>0</v>
      </c>
    </row>
    <row r="1528" spans="1:21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  <c r="S1528" t="str">
        <f>IF(Table1[[#This Row],[Age]]&lt;=25,"Young",IF(Table1[[#This Row],[Age]]&lt;=50,"Adult","Senior"))</f>
        <v>Adult</v>
      </c>
      <c r="T1528" s="1">
        <f>Table1[[#This Row],[Purchase Amount (USD)]]</f>
        <v>22</v>
      </c>
      <c r="U1528">
        <f>IF(Table1[[#This Row],[Subscription Status]]="Yes",1,IF(Table1[[#This Row],[Subscription Status]]="No",0))</f>
        <v>0</v>
      </c>
    </row>
    <row r="1529" spans="1:21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  <c r="S1529" t="str">
        <f>IF(Table1[[#This Row],[Age]]&lt;=25,"Young",IF(Table1[[#This Row],[Age]]&lt;=50,"Adult","Senior"))</f>
        <v>Adult</v>
      </c>
      <c r="T1529" s="1">
        <f>Table1[[#This Row],[Purchase Amount (USD)]]</f>
        <v>75</v>
      </c>
      <c r="U1529">
        <f>IF(Table1[[#This Row],[Subscription Status]]="Yes",1,IF(Table1[[#This Row],[Subscription Status]]="No",0))</f>
        <v>0</v>
      </c>
    </row>
    <row r="1530" spans="1:21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  <c r="S1530" t="str">
        <f>IF(Table1[[#This Row],[Age]]&lt;=25,"Young",IF(Table1[[#This Row],[Age]]&lt;=50,"Adult","Senior"))</f>
        <v>Senior</v>
      </c>
      <c r="T1530" s="1">
        <f>Table1[[#This Row],[Purchase Amount (USD)]]</f>
        <v>75</v>
      </c>
      <c r="U1530">
        <f>IF(Table1[[#This Row],[Subscription Status]]="Yes",1,IF(Table1[[#This Row],[Subscription Status]]="No",0))</f>
        <v>0</v>
      </c>
    </row>
    <row r="1531" spans="1:21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  <c r="S1531" t="str">
        <f>IF(Table1[[#This Row],[Age]]&lt;=25,"Young",IF(Table1[[#This Row],[Age]]&lt;=50,"Adult","Senior"))</f>
        <v>Young</v>
      </c>
      <c r="T1531" s="1">
        <f>Table1[[#This Row],[Purchase Amount (USD)]]</f>
        <v>63</v>
      </c>
      <c r="U1531">
        <f>IF(Table1[[#This Row],[Subscription Status]]="Yes",1,IF(Table1[[#This Row],[Subscription Status]]="No",0))</f>
        <v>0</v>
      </c>
    </row>
    <row r="1532" spans="1:21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  <c r="S1532" t="str">
        <f>IF(Table1[[#This Row],[Age]]&lt;=25,"Young",IF(Table1[[#This Row],[Age]]&lt;=50,"Adult","Senior"))</f>
        <v>Senior</v>
      </c>
      <c r="T1532" s="1">
        <f>Table1[[#This Row],[Purchase Amount (USD)]]</f>
        <v>21</v>
      </c>
      <c r="U1532">
        <f>IF(Table1[[#This Row],[Subscription Status]]="Yes",1,IF(Table1[[#This Row],[Subscription Status]]="No",0))</f>
        <v>0</v>
      </c>
    </row>
    <row r="1533" spans="1:21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  <c r="S1533" t="str">
        <f>IF(Table1[[#This Row],[Age]]&lt;=25,"Young",IF(Table1[[#This Row],[Age]]&lt;=50,"Adult","Senior"))</f>
        <v>Senior</v>
      </c>
      <c r="T1533" s="1">
        <f>Table1[[#This Row],[Purchase Amount (USD)]]</f>
        <v>83</v>
      </c>
      <c r="U1533">
        <f>IF(Table1[[#This Row],[Subscription Status]]="Yes",1,IF(Table1[[#This Row],[Subscription Status]]="No",0))</f>
        <v>0</v>
      </c>
    </row>
    <row r="1534" spans="1:21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  <c r="S1534" t="str">
        <f>IF(Table1[[#This Row],[Age]]&lt;=25,"Young",IF(Table1[[#This Row],[Age]]&lt;=50,"Adult","Senior"))</f>
        <v>Senior</v>
      </c>
      <c r="T1534" s="1">
        <f>Table1[[#This Row],[Purchase Amount (USD)]]</f>
        <v>46</v>
      </c>
      <c r="U1534">
        <f>IF(Table1[[#This Row],[Subscription Status]]="Yes",1,IF(Table1[[#This Row],[Subscription Status]]="No",0))</f>
        <v>0</v>
      </c>
    </row>
    <row r="1535" spans="1:21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  <c r="S1535" t="str">
        <f>IF(Table1[[#This Row],[Age]]&lt;=25,"Young",IF(Table1[[#This Row],[Age]]&lt;=50,"Adult","Senior"))</f>
        <v>Adult</v>
      </c>
      <c r="T1535" s="1">
        <f>Table1[[#This Row],[Purchase Amount (USD)]]</f>
        <v>59</v>
      </c>
      <c r="U1535">
        <f>IF(Table1[[#This Row],[Subscription Status]]="Yes",1,IF(Table1[[#This Row],[Subscription Status]]="No",0))</f>
        <v>0</v>
      </c>
    </row>
    <row r="1536" spans="1:21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  <c r="S1536" t="str">
        <f>IF(Table1[[#This Row],[Age]]&lt;=25,"Young",IF(Table1[[#This Row],[Age]]&lt;=50,"Adult","Senior"))</f>
        <v>Senior</v>
      </c>
      <c r="T1536" s="1">
        <f>Table1[[#This Row],[Purchase Amount (USD)]]</f>
        <v>66</v>
      </c>
      <c r="U1536">
        <f>IF(Table1[[#This Row],[Subscription Status]]="Yes",1,IF(Table1[[#This Row],[Subscription Status]]="No",0))</f>
        <v>0</v>
      </c>
    </row>
    <row r="1537" spans="1:21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  <c r="S1537" t="str">
        <f>IF(Table1[[#This Row],[Age]]&lt;=25,"Young",IF(Table1[[#This Row],[Age]]&lt;=50,"Adult","Senior"))</f>
        <v>Adult</v>
      </c>
      <c r="T1537" s="1">
        <f>Table1[[#This Row],[Purchase Amount (USD)]]</f>
        <v>74</v>
      </c>
      <c r="U1537">
        <f>IF(Table1[[#This Row],[Subscription Status]]="Yes",1,IF(Table1[[#This Row],[Subscription Status]]="No",0))</f>
        <v>0</v>
      </c>
    </row>
    <row r="1538" spans="1:21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  <c r="S1538" t="str">
        <f>IF(Table1[[#This Row],[Age]]&lt;=25,"Young",IF(Table1[[#This Row],[Age]]&lt;=50,"Adult","Senior"))</f>
        <v>Young</v>
      </c>
      <c r="T1538" s="1">
        <f>Table1[[#This Row],[Purchase Amount (USD)]]</f>
        <v>82</v>
      </c>
      <c r="U1538">
        <f>IF(Table1[[#This Row],[Subscription Status]]="Yes",1,IF(Table1[[#This Row],[Subscription Status]]="No",0))</f>
        <v>0</v>
      </c>
    </row>
    <row r="1539" spans="1:21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  <c r="S1539" t="str">
        <f>IF(Table1[[#This Row],[Age]]&lt;=25,"Young",IF(Table1[[#This Row],[Age]]&lt;=50,"Adult","Senior"))</f>
        <v>Senior</v>
      </c>
      <c r="T1539" s="1">
        <f>Table1[[#This Row],[Purchase Amount (USD)]]</f>
        <v>89</v>
      </c>
      <c r="U1539">
        <f>IF(Table1[[#This Row],[Subscription Status]]="Yes",1,IF(Table1[[#This Row],[Subscription Status]]="No",0))</f>
        <v>0</v>
      </c>
    </row>
    <row r="1540" spans="1:21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  <c r="S1540" t="str">
        <f>IF(Table1[[#This Row],[Age]]&lt;=25,"Young",IF(Table1[[#This Row],[Age]]&lt;=50,"Adult","Senior"))</f>
        <v>Senior</v>
      </c>
      <c r="T1540" s="1">
        <f>Table1[[#This Row],[Purchase Amount (USD)]]</f>
        <v>65</v>
      </c>
      <c r="U1540">
        <f>IF(Table1[[#This Row],[Subscription Status]]="Yes",1,IF(Table1[[#This Row],[Subscription Status]]="No",0))</f>
        <v>0</v>
      </c>
    </row>
    <row r="1541" spans="1:21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  <c r="S1541" t="str">
        <f>IF(Table1[[#This Row],[Age]]&lt;=25,"Young",IF(Table1[[#This Row],[Age]]&lt;=50,"Adult","Senior"))</f>
        <v>Adult</v>
      </c>
      <c r="T1541" s="1">
        <f>Table1[[#This Row],[Purchase Amount (USD)]]</f>
        <v>55</v>
      </c>
      <c r="U1541">
        <f>IF(Table1[[#This Row],[Subscription Status]]="Yes",1,IF(Table1[[#This Row],[Subscription Status]]="No",0))</f>
        <v>0</v>
      </c>
    </row>
    <row r="1542" spans="1:21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  <c r="S1542" t="str">
        <f>IF(Table1[[#This Row],[Age]]&lt;=25,"Young",IF(Table1[[#This Row],[Age]]&lt;=50,"Adult","Senior"))</f>
        <v>Adult</v>
      </c>
      <c r="T1542" s="1">
        <f>Table1[[#This Row],[Purchase Amount (USD)]]</f>
        <v>95</v>
      </c>
      <c r="U1542">
        <f>IF(Table1[[#This Row],[Subscription Status]]="Yes",1,IF(Table1[[#This Row],[Subscription Status]]="No",0))</f>
        <v>0</v>
      </c>
    </row>
    <row r="1543" spans="1:21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  <c r="S1543" t="str">
        <f>IF(Table1[[#This Row],[Age]]&lt;=25,"Young",IF(Table1[[#This Row],[Age]]&lt;=50,"Adult","Senior"))</f>
        <v>Young</v>
      </c>
      <c r="T1543" s="1">
        <f>Table1[[#This Row],[Purchase Amount (USD)]]</f>
        <v>77</v>
      </c>
      <c r="U1543">
        <f>IF(Table1[[#This Row],[Subscription Status]]="Yes",1,IF(Table1[[#This Row],[Subscription Status]]="No",0))</f>
        <v>0</v>
      </c>
    </row>
    <row r="1544" spans="1:21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  <c r="S1544" t="str">
        <f>IF(Table1[[#This Row],[Age]]&lt;=25,"Young",IF(Table1[[#This Row],[Age]]&lt;=50,"Adult","Senior"))</f>
        <v>Senior</v>
      </c>
      <c r="T1544" s="1">
        <f>Table1[[#This Row],[Purchase Amount (USD)]]</f>
        <v>44</v>
      </c>
      <c r="U1544">
        <f>IF(Table1[[#This Row],[Subscription Status]]="Yes",1,IF(Table1[[#This Row],[Subscription Status]]="No",0))</f>
        <v>0</v>
      </c>
    </row>
    <row r="1545" spans="1:21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  <c r="S1545" t="str">
        <f>IF(Table1[[#This Row],[Age]]&lt;=25,"Young",IF(Table1[[#This Row],[Age]]&lt;=50,"Adult","Senior"))</f>
        <v>Senior</v>
      </c>
      <c r="T1545" s="1">
        <f>Table1[[#This Row],[Purchase Amount (USD)]]</f>
        <v>89</v>
      </c>
      <c r="U1545">
        <f>IF(Table1[[#This Row],[Subscription Status]]="Yes",1,IF(Table1[[#This Row],[Subscription Status]]="No",0))</f>
        <v>0</v>
      </c>
    </row>
    <row r="1546" spans="1:21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  <c r="S1546" t="str">
        <f>IF(Table1[[#This Row],[Age]]&lt;=25,"Young",IF(Table1[[#This Row],[Age]]&lt;=50,"Adult","Senior"))</f>
        <v>Adult</v>
      </c>
      <c r="T1546" s="1">
        <f>Table1[[#This Row],[Purchase Amount (USD)]]</f>
        <v>24</v>
      </c>
      <c r="U1546">
        <f>IF(Table1[[#This Row],[Subscription Status]]="Yes",1,IF(Table1[[#This Row],[Subscription Status]]="No",0))</f>
        <v>0</v>
      </c>
    </row>
    <row r="1547" spans="1:21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  <c r="S1547" t="str">
        <f>IF(Table1[[#This Row],[Age]]&lt;=25,"Young",IF(Table1[[#This Row],[Age]]&lt;=50,"Adult","Senior"))</f>
        <v>Adult</v>
      </c>
      <c r="T1547" s="1">
        <f>Table1[[#This Row],[Purchase Amount (USD)]]</f>
        <v>43</v>
      </c>
      <c r="U1547">
        <f>IF(Table1[[#This Row],[Subscription Status]]="Yes",1,IF(Table1[[#This Row],[Subscription Status]]="No",0))</f>
        <v>0</v>
      </c>
    </row>
    <row r="1548" spans="1:21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  <c r="S1548" t="str">
        <f>IF(Table1[[#This Row],[Age]]&lt;=25,"Young",IF(Table1[[#This Row],[Age]]&lt;=50,"Adult","Senior"))</f>
        <v>Senior</v>
      </c>
      <c r="T1548" s="1">
        <f>Table1[[#This Row],[Purchase Amount (USD)]]</f>
        <v>51</v>
      </c>
      <c r="U1548">
        <f>IF(Table1[[#This Row],[Subscription Status]]="Yes",1,IF(Table1[[#This Row],[Subscription Status]]="No",0))</f>
        <v>0</v>
      </c>
    </row>
    <row r="1549" spans="1:21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  <c r="S1549" t="str">
        <f>IF(Table1[[#This Row],[Age]]&lt;=25,"Young",IF(Table1[[#This Row],[Age]]&lt;=50,"Adult","Senior"))</f>
        <v>Adult</v>
      </c>
      <c r="T1549" s="1">
        <f>Table1[[#This Row],[Purchase Amount (USD)]]</f>
        <v>46</v>
      </c>
      <c r="U1549">
        <f>IF(Table1[[#This Row],[Subscription Status]]="Yes",1,IF(Table1[[#This Row],[Subscription Status]]="No",0))</f>
        <v>0</v>
      </c>
    </row>
    <row r="1550" spans="1:21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  <c r="S1550" t="str">
        <f>IF(Table1[[#This Row],[Age]]&lt;=25,"Young",IF(Table1[[#This Row],[Age]]&lt;=50,"Adult","Senior"))</f>
        <v>Senior</v>
      </c>
      <c r="T1550" s="1">
        <f>Table1[[#This Row],[Purchase Amount (USD)]]</f>
        <v>32</v>
      </c>
      <c r="U1550">
        <f>IF(Table1[[#This Row],[Subscription Status]]="Yes",1,IF(Table1[[#This Row],[Subscription Status]]="No",0))</f>
        <v>0</v>
      </c>
    </row>
    <row r="1551" spans="1:21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  <c r="S1551" t="str">
        <f>IF(Table1[[#This Row],[Age]]&lt;=25,"Young",IF(Table1[[#This Row],[Age]]&lt;=50,"Adult","Senior"))</f>
        <v>Young</v>
      </c>
      <c r="T1551" s="1">
        <f>Table1[[#This Row],[Purchase Amount (USD)]]</f>
        <v>55</v>
      </c>
      <c r="U1551">
        <f>IF(Table1[[#This Row],[Subscription Status]]="Yes",1,IF(Table1[[#This Row],[Subscription Status]]="No",0))</f>
        <v>0</v>
      </c>
    </row>
    <row r="1552" spans="1:21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  <c r="S1552" t="str">
        <f>IF(Table1[[#This Row],[Age]]&lt;=25,"Young",IF(Table1[[#This Row],[Age]]&lt;=50,"Adult","Senior"))</f>
        <v>Senior</v>
      </c>
      <c r="T1552" s="1">
        <f>Table1[[#This Row],[Purchase Amount (USD)]]</f>
        <v>26</v>
      </c>
      <c r="U1552">
        <f>IF(Table1[[#This Row],[Subscription Status]]="Yes",1,IF(Table1[[#This Row],[Subscription Status]]="No",0))</f>
        <v>0</v>
      </c>
    </row>
    <row r="1553" spans="1:21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  <c r="S1553" t="str">
        <f>IF(Table1[[#This Row],[Age]]&lt;=25,"Young",IF(Table1[[#This Row],[Age]]&lt;=50,"Adult","Senior"))</f>
        <v>Senior</v>
      </c>
      <c r="T1553" s="1">
        <f>Table1[[#This Row],[Purchase Amount (USD)]]</f>
        <v>29</v>
      </c>
      <c r="U1553">
        <f>IF(Table1[[#This Row],[Subscription Status]]="Yes",1,IF(Table1[[#This Row],[Subscription Status]]="No",0))</f>
        <v>0</v>
      </c>
    </row>
    <row r="1554" spans="1:21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  <c r="S1554" t="str">
        <f>IF(Table1[[#This Row],[Age]]&lt;=25,"Young",IF(Table1[[#This Row],[Age]]&lt;=50,"Adult","Senior"))</f>
        <v>Senior</v>
      </c>
      <c r="T1554" s="1">
        <f>Table1[[#This Row],[Purchase Amount (USD)]]</f>
        <v>49</v>
      </c>
      <c r="U1554">
        <f>IF(Table1[[#This Row],[Subscription Status]]="Yes",1,IF(Table1[[#This Row],[Subscription Status]]="No",0))</f>
        <v>0</v>
      </c>
    </row>
    <row r="1555" spans="1:21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  <c r="S1555" t="str">
        <f>IF(Table1[[#This Row],[Age]]&lt;=25,"Young",IF(Table1[[#This Row],[Age]]&lt;=50,"Adult","Senior"))</f>
        <v>Adult</v>
      </c>
      <c r="T1555" s="1">
        <f>Table1[[#This Row],[Purchase Amount (USD)]]</f>
        <v>45</v>
      </c>
      <c r="U1555">
        <f>IF(Table1[[#This Row],[Subscription Status]]="Yes",1,IF(Table1[[#This Row],[Subscription Status]]="No",0))</f>
        <v>0</v>
      </c>
    </row>
    <row r="1556" spans="1:21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  <c r="S1556" t="str">
        <f>IF(Table1[[#This Row],[Age]]&lt;=25,"Young",IF(Table1[[#This Row],[Age]]&lt;=50,"Adult","Senior"))</f>
        <v>Senior</v>
      </c>
      <c r="T1556" s="1">
        <f>Table1[[#This Row],[Purchase Amount (USD)]]</f>
        <v>48</v>
      </c>
      <c r="U1556">
        <f>IF(Table1[[#This Row],[Subscription Status]]="Yes",1,IF(Table1[[#This Row],[Subscription Status]]="No",0))</f>
        <v>0</v>
      </c>
    </row>
    <row r="1557" spans="1:21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  <c r="S1557" t="str">
        <f>IF(Table1[[#This Row],[Age]]&lt;=25,"Young",IF(Table1[[#This Row],[Age]]&lt;=50,"Adult","Senior"))</f>
        <v>Adult</v>
      </c>
      <c r="T1557" s="1">
        <f>Table1[[#This Row],[Purchase Amount (USD)]]</f>
        <v>47</v>
      </c>
      <c r="U1557">
        <f>IF(Table1[[#This Row],[Subscription Status]]="Yes",1,IF(Table1[[#This Row],[Subscription Status]]="No",0))</f>
        <v>0</v>
      </c>
    </row>
    <row r="1558" spans="1:21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  <c r="S1558" t="str">
        <f>IF(Table1[[#This Row],[Age]]&lt;=25,"Young",IF(Table1[[#This Row],[Age]]&lt;=50,"Adult","Senior"))</f>
        <v>Adult</v>
      </c>
      <c r="T1558" s="1">
        <f>Table1[[#This Row],[Purchase Amount (USD)]]</f>
        <v>57</v>
      </c>
      <c r="U1558">
        <f>IF(Table1[[#This Row],[Subscription Status]]="Yes",1,IF(Table1[[#This Row],[Subscription Status]]="No",0))</f>
        <v>0</v>
      </c>
    </row>
    <row r="1559" spans="1:21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  <c r="S1559" t="str">
        <f>IF(Table1[[#This Row],[Age]]&lt;=25,"Young",IF(Table1[[#This Row],[Age]]&lt;=50,"Adult","Senior"))</f>
        <v>Adult</v>
      </c>
      <c r="T1559" s="1">
        <f>Table1[[#This Row],[Purchase Amount (USD)]]</f>
        <v>34</v>
      </c>
      <c r="U1559">
        <f>IF(Table1[[#This Row],[Subscription Status]]="Yes",1,IF(Table1[[#This Row],[Subscription Status]]="No",0))</f>
        <v>0</v>
      </c>
    </row>
    <row r="1560" spans="1:21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  <c r="S1560" t="str">
        <f>IF(Table1[[#This Row],[Age]]&lt;=25,"Young",IF(Table1[[#This Row],[Age]]&lt;=50,"Adult","Senior"))</f>
        <v>Adult</v>
      </c>
      <c r="T1560" s="1">
        <f>Table1[[#This Row],[Purchase Amount (USD)]]</f>
        <v>75</v>
      </c>
      <c r="U1560">
        <f>IF(Table1[[#This Row],[Subscription Status]]="Yes",1,IF(Table1[[#This Row],[Subscription Status]]="No",0))</f>
        <v>0</v>
      </c>
    </row>
    <row r="1561" spans="1:21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  <c r="S1561" t="str">
        <f>IF(Table1[[#This Row],[Age]]&lt;=25,"Young",IF(Table1[[#This Row],[Age]]&lt;=50,"Adult","Senior"))</f>
        <v>Adult</v>
      </c>
      <c r="T1561" s="1">
        <f>Table1[[#This Row],[Purchase Amount (USD)]]</f>
        <v>94</v>
      </c>
      <c r="U1561">
        <f>IF(Table1[[#This Row],[Subscription Status]]="Yes",1,IF(Table1[[#This Row],[Subscription Status]]="No",0))</f>
        <v>0</v>
      </c>
    </row>
    <row r="1562" spans="1:21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  <c r="S1562" t="str">
        <f>IF(Table1[[#This Row],[Age]]&lt;=25,"Young",IF(Table1[[#This Row],[Age]]&lt;=50,"Adult","Senior"))</f>
        <v>Senior</v>
      </c>
      <c r="T1562" s="1">
        <f>Table1[[#This Row],[Purchase Amount (USD)]]</f>
        <v>84</v>
      </c>
      <c r="U1562">
        <f>IF(Table1[[#This Row],[Subscription Status]]="Yes",1,IF(Table1[[#This Row],[Subscription Status]]="No",0))</f>
        <v>0</v>
      </c>
    </row>
    <row r="1563" spans="1:21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  <c r="S1563" t="str">
        <f>IF(Table1[[#This Row],[Age]]&lt;=25,"Young",IF(Table1[[#This Row],[Age]]&lt;=50,"Adult","Senior"))</f>
        <v>Adult</v>
      </c>
      <c r="T1563" s="1">
        <f>Table1[[#This Row],[Purchase Amount (USD)]]</f>
        <v>38</v>
      </c>
      <c r="U1563">
        <f>IF(Table1[[#This Row],[Subscription Status]]="Yes",1,IF(Table1[[#This Row],[Subscription Status]]="No",0))</f>
        <v>0</v>
      </c>
    </row>
    <row r="1564" spans="1:21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  <c r="S1564" t="str">
        <f>IF(Table1[[#This Row],[Age]]&lt;=25,"Young",IF(Table1[[#This Row],[Age]]&lt;=50,"Adult","Senior"))</f>
        <v>Adult</v>
      </c>
      <c r="T1564" s="1">
        <f>Table1[[#This Row],[Purchase Amount (USD)]]</f>
        <v>75</v>
      </c>
      <c r="U1564">
        <f>IF(Table1[[#This Row],[Subscription Status]]="Yes",1,IF(Table1[[#This Row],[Subscription Status]]="No",0))</f>
        <v>0</v>
      </c>
    </row>
    <row r="1565" spans="1:21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  <c r="S1565" t="str">
        <f>IF(Table1[[#This Row],[Age]]&lt;=25,"Young",IF(Table1[[#This Row],[Age]]&lt;=50,"Adult","Senior"))</f>
        <v>Senior</v>
      </c>
      <c r="T1565" s="1">
        <f>Table1[[#This Row],[Purchase Amount (USD)]]</f>
        <v>44</v>
      </c>
      <c r="U1565">
        <f>IF(Table1[[#This Row],[Subscription Status]]="Yes",1,IF(Table1[[#This Row],[Subscription Status]]="No",0))</f>
        <v>0</v>
      </c>
    </row>
    <row r="1566" spans="1:21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  <c r="S1566" t="str">
        <f>IF(Table1[[#This Row],[Age]]&lt;=25,"Young",IF(Table1[[#This Row],[Age]]&lt;=50,"Adult","Senior"))</f>
        <v>Young</v>
      </c>
      <c r="T1566" s="1">
        <f>Table1[[#This Row],[Purchase Amount (USD)]]</f>
        <v>33</v>
      </c>
      <c r="U1566">
        <f>IF(Table1[[#This Row],[Subscription Status]]="Yes",1,IF(Table1[[#This Row],[Subscription Status]]="No",0))</f>
        <v>0</v>
      </c>
    </row>
    <row r="1567" spans="1:21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  <c r="S1567" t="str">
        <f>IF(Table1[[#This Row],[Age]]&lt;=25,"Young",IF(Table1[[#This Row],[Age]]&lt;=50,"Adult","Senior"))</f>
        <v>Senior</v>
      </c>
      <c r="T1567" s="1">
        <f>Table1[[#This Row],[Purchase Amount (USD)]]</f>
        <v>93</v>
      </c>
      <c r="U1567">
        <f>IF(Table1[[#This Row],[Subscription Status]]="Yes",1,IF(Table1[[#This Row],[Subscription Status]]="No",0))</f>
        <v>0</v>
      </c>
    </row>
    <row r="1568" spans="1:21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  <c r="S1568" t="str">
        <f>IF(Table1[[#This Row],[Age]]&lt;=25,"Young",IF(Table1[[#This Row],[Age]]&lt;=50,"Adult","Senior"))</f>
        <v>Adult</v>
      </c>
      <c r="T1568" s="1">
        <f>Table1[[#This Row],[Purchase Amount (USD)]]</f>
        <v>99</v>
      </c>
      <c r="U1568">
        <f>IF(Table1[[#This Row],[Subscription Status]]="Yes",1,IF(Table1[[#This Row],[Subscription Status]]="No",0))</f>
        <v>0</v>
      </c>
    </row>
    <row r="1569" spans="1:21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  <c r="S1569" t="str">
        <f>IF(Table1[[#This Row],[Age]]&lt;=25,"Young",IF(Table1[[#This Row],[Age]]&lt;=50,"Adult","Senior"))</f>
        <v>Adult</v>
      </c>
      <c r="T1569" s="1">
        <f>Table1[[#This Row],[Purchase Amount (USD)]]</f>
        <v>33</v>
      </c>
      <c r="U1569">
        <f>IF(Table1[[#This Row],[Subscription Status]]="Yes",1,IF(Table1[[#This Row],[Subscription Status]]="No",0))</f>
        <v>0</v>
      </c>
    </row>
    <row r="1570" spans="1:21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  <c r="S1570" t="str">
        <f>IF(Table1[[#This Row],[Age]]&lt;=25,"Young",IF(Table1[[#This Row],[Age]]&lt;=50,"Adult","Senior"))</f>
        <v>Senior</v>
      </c>
      <c r="T1570" s="1">
        <f>Table1[[#This Row],[Purchase Amount (USD)]]</f>
        <v>76</v>
      </c>
      <c r="U1570">
        <f>IF(Table1[[#This Row],[Subscription Status]]="Yes",1,IF(Table1[[#This Row],[Subscription Status]]="No",0))</f>
        <v>0</v>
      </c>
    </row>
    <row r="1571" spans="1:21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  <c r="S1571" t="str">
        <f>IF(Table1[[#This Row],[Age]]&lt;=25,"Young",IF(Table1[[#This Row],[Age]]&lt;=50,"Adult","Senior"))</f>
        <v>Young</v>
      </c>
      <c r="T1571" s="1">
        <f>Table1[[#This Row],[Purchase Amount (USD)]]</f>
        <v>63</v>
      </c>
      <c r="U1571">
        <f>IF(Table1[[#This Row],[Subscription Status]]="Yes",1,IF(Table1[[#This Row],[Subscription Status]]="No",0))</f>
        <v>0</v>
      </c>
    </row>
    <row r="1572" spans="1:21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  <c r="S1572" t="str">
        <f>IF(Table1[[#This Row],[Age]]&lt;=25,"Young",IF(Table1[[#This Row],[Age]]&lt;=50,"Adult","Senior"))</f>
        <v>Adult</v>
      </c>
      <c r="T1572" s="1">
        <f>Table1[[#This Row],[Purchase Amount (USD)]]</f>
        <v>41</v>
      </c>
      <c r="U1572">
        <f>IF(Table1[[#This Row],[Subscription Status]]="Yes",1,IF(Table1[[#This Row],[Subscription Status]]="No",0))</f>
        <v>0</v>
      </c>
    </row>
    <row r="1573" spans="1:21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  <c r="S1573" t="str">
        <f>IF(Table1[[#This Row],[Age]]&lt;=25,"Young",IF(Table1[[#This Row],[Age]]&lt;=50,"Adult","Senior"))</f>
        <v>Adult</v>
      </c>
      <c r="T1573" s="1">
        <f>Table1[[#This Row],[Purchase Amount (USD)]]</f>
        <v>88</v>
      </c>
      <c r="U1573">
        <f>IF(Table1[[#This Row],[Subscription Status]]="Yes",1,IF(Table1[[#This Row],[Subscription Status]]="No",0))</f>
        <v>0</v>
      </c>
    </row>
    <row r="1574" spans="1:21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  <c r="S1574" t="str">
        <f>IF(Table1[[#This Row],[Age]]&lt;=25,"Young",IF(Table1[[#This Row],[Age]]&lt;=50,"Adult","Senior"))</f>
        <v>Adult</v>
      </c>
      <c r="T1574" s="1">
        <f>Table1[[#This Row],[Purchase Amount (USD)]]</f>
        <v>92</v>
      </c>
      <c r="U1574">
        <f>IF(Table1[[#This Row],[Subscription Status]]="Yes",1,IF(Table1[[#This Row],[Subscription Status]]="No",0))</f>
        <v>0</v>
      </c>
    </row>
    <row r="1575" spans="1:21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  <c r="S1575" t="str">
        <f>IF(Table1[[#This Row],[Age]]&lt;=25,"Young",IF(Table1[[#This Row],[Age]]&lt;=50,"Adult","Senior"))</f>
        <v>Adult</v>
      </c>
      <c r="T1575" s="1">
        <f>Table1[[#This Row],[Purchase Amount (USD)]]</f>
        <v>31</v>
      </c>
      <c r="U1575">
        <f>IF(Table1[[#This Row],[Subscription Status]]="Yes",1,IF(Table1[[#This Row],[Subscription Status]]="No",0))</f>
        <v>0</v>
      </c>
    </row>
    <row r="1576" spans="1:21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  <c r="S1576" t="str">
        <f>IF(Table1[[#This Row],[Age]]&lt;=25,"Young",IF(Table1[[#This Row],[Age]]&lt;=50,"Adult","Senior"))</f>
        <v>Young</v>
      </c>
      <c r="T1576" s="1">
        <f>Table1[[#This Row],[Purchase Amount (USD)]]</f>
        <v>25</v>
      </c>
      <c r="U1576">
        <f>IF(Table1[[#This Row],[Subscription Status]]="Yes",1,IF(Table1[[#This Row],[Subscription Status]]="No",0))</f>
        <v>0</v>
      </c>
    </row>
    <row r="1577" spans="1:21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  <c r="S1577" t="str">
        <f>IF(Table1[[#This Row],[Age]]&lt;=25,"Young",IF(Table1[[#This Row],[Age]]&lt;=50,"Adult","Senior"))</f>
        <v>Senior</v>
      </c>
      <c r="T1577" s="1">
        <f>Table1[[#This Row],[Purchase Amount (USD)]]</f>
        <v>28</v>
      </c>
      <c r="U1577">
        <f>IF(Table1[[#This Row],[Subscription Status]]="Yes",1,IF(Table1[[#This Row],[Subscription Status]]="No",0))</f>
        <v>0</v>
      </c>
    </row>
    <row r="1578" spans="1:21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  <c r="S1578" t="str">
        <f>IF(Table1[[#This Row],[Age]]&lt;=25,"Young",IF(Table1[[#This Row],[Age]]&lt;=50,"Adult","Senior"))</f>
        <v>Senior</v>
      </c>
      <c r="T1578" s="1">
        <f>Table1[[#This Row],[Purchase Amount (USD)]]</f>
        <v>75</v>
      </c>
      <c r="U1578">
        <f>IF(Table1[[#This Row],[Subscription Status]]="Yes",1,IF(Table1[[#This Row],[Subscription Status]]="No",0))</f>
        <v>0</v>
      </c>
    </row>
    <row r="1579" spans="1:21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  <c r="S1579" t="str">
        <f>IF(Table1[[#This Row],[Age]]&lt;=25,"Young",IF(Table1[[#This Row],[Age]]&lt;=50,"Adult","Senior"))</f>
        <v>Senior</v>
      </c>
      <c r="T1579" s="1">
        <f>Table1[[#This Row],[Purchase Amount (USD)]]</f>
        <v>34</v>
      </c>
      <c r="U1579">
        <f>IF(Table1[[#This Row],[Subscription Status]]="Yes",1,IF(Table1[[#This Row],[Subscription Status]]="No",0))</f>
        <v>0</v>
      </c>
    </row>
    <row r="1580" spans="1:21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  <c r="S1580" t="str">
        <f>IF(Table1[[#This Row],[Age]]&lt;=25,"Young",IF(Table1[[#This Row],[Age]]&lt;=50,"Adult","Senior"))</f>
        <v>Senior</v>
      </c>
      <c r="T1580" s="1">
        <f>Table1[[#This Row],[Purchase Amount (USD)]]</f>
        <v>97</v>
      </c>
      <c r="U1580">
        <f>IF(Table1[[#This Row],[Subscription Status]]="Yes",1,IF(Table1[[#This Row],[Subscription Status]]="No",0))</f>
        <v>0</v>
      </c>
    </row>
    <row r="1581" spans="1:21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  <c r="S1581" t="str">
        <f>IF(Table1[[#This Row],[Age]]&lt;=25,"Young",IF(Table1[[#This Row],[Age]]&lt;=50,"Adult","Senior"))</f>
        <v>Adult</v>
      </c>
      <c r="T1581" s="1">
        <f>Table1[[#This Row],[Purchase Amount (USD)]]</f>
        <v>80</v>
      </c>
      <c r="U1581">
        <f>IF(Table1[[#This Row],[Subscription Status]]="Yes",1,IF(Table1[[#This Row],[Subscription Status]]="No",0))</f>
        <v>0</v>
      </c>
    </row>
    <row r="1582" spans="1:21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  <c r="S1582" t="str">
        <f>IF(Table1[[#This Row],[Age]]&lt;=25,"Young",IF(Table1[[#This Row],[Age]]&lt;=50,"Adult","Senior"))</f>
        <v>Senior</v>
      </c>
      <c r="T1582" s="1">
        <f>Table1[[#This Row],[Purchase Amount (USD)]]</f>
        <v>71</v>
      </c>
      <c r="U1582">
        <f>IF(Table1[[#This Row],[Subscription Status]]="Yes",1,IF(Table1[[#This Row],[Subscription Status]]="No",0))</f>
        <v>0</v>
      </c>
    </row>
    <row r="1583" spans="1:21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  <c r="S1583" t="str">
        <f>IF(Table1[[#This Row],[Age]]&lt;=25,"Young",IF(Table1[[#This Row],[Age]]&lt;=50,"Adult","Senior"))</f>
        <v>Senior</v>
      </c>
      <c r="T1583" s="1">
        <f>Table1[[#This Row],[Purchase Amount (USD)]]</f>
        <v>77</v>
      </c>
      <c r="U1583">
        <f>IF(Table1[[#This Row],[Subscription Status]]="Yes",1,IF(Table1[[#This Row],[Subscription Status]]="No",0))</f>
        <v>0</v>
      </c>
    </row>
    <row r="1584" spans="1:21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  <c r="S1584" t="str">
        <f>IF(Table1[[#This Row],[Age]]&lt;=25,"Young",IF(Table1[[#This Row],[Age]]&lt;=50,"Adult","Senior"))</f>
        <v>Adult</v>
      </c>
      <c r="T1584" s="1">
        <f>Table1[[#This Row],[Purchase Amount (USD)]]</f>
        <v>41</v>
      </c>
      <c r="U1584">
        <f>IF(Table1[[#This Row],[Subscription Status]]="Yes",1,IF(Table1[[#This Row],[Subscription Status]]="No",0))</f>
        <v>0</v>
      </c>
    </row>
    <row r="1585" spans="1:21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  <c r="S1585" t="str">
        <f>IF(Table1[[#This Row],[Age]]&lt;=25,"Young",IF(Table1[[#This Row],[Age]]&lt;=50,"Adult","Senior"))</f>
        <v>Adult</v>
      </c>
      <c r="T1585" s="1">
        <f>Table1[[#This Row],[Purchase Amount (USD)]]</f>
        <v>92</v>
      </c>
      <c r="U1585">
        <f>IF(Table1[[#This Row],[Subscription Status]]="Yes",1,IF(Table1[[#This Row],[Subscription Status]]="No",0))</f>
        <v>0</v>
      </c>
    </row>
    <row r="1586" spans="1:21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  <c r="S1586" t="str">
        <f>IF(Table1[[#This Row],[Age]]&lt;=25,"Young",IF(Table1[[#This Row],[Age]]&lt;=50,"Adult","Senior"))</f>
        <v>Adult</v>
      </c>
      <c r="T1586" s="1">
        <f>Table1[[#This Row],[Purchase Amount (USD)]]</f>
        <v>95</v>
      </c>
      <c r="U1586">
        <f>IF(Table1[[#This Row],[Subscription Status]]="Yes",1,IF(Table1[[#This Row],[Subscription Status]]="No",0))</f>
        <v>0</v>
      </c>
    </row>
    <row r="1587" spans="1:21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  <c r="S1587" t="str">
        <f>IF(Table1[[#This Row],[Age]]&lt;=25,"Young",IF(Table1[[#This Row],[Age]]&lt;=50,"Adult","Senior"))</f>
        <v>Adult</v>
      </c>
      <c r="T1587" s="1">
        <f>Table1[[#This Row],[Purchase Amount (USD)]]</f>
        <v>25</v>
      </c>
      <c r="U1587">
        <f>IF(Table1[[#This Row],[Subscription Status]]="Yes",1,IF(Table1[[#This Row],[Subscription Status]]="No",0))</f>
        <v>0</v>
      </c>
    </row>
    <row r="1588" spans="1:21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  <c r="S1588" t="str">
        <f>IF(Table1[[#This Row],[Age]]&lt;=25,"Young",IF(Table1[[#This Row],[Age]]&lt;=50,"Adult","Senior"))</f>
        <v>Young</v>
      </c>
      <c r="T1588" s="1">
        <f>Table1[[#This Row],[Purchase Amount (USD)]]</f>
        <v>77</v>
      </c>
      <c r="U1588">
        <f>IF(Table1[[#This Row],[Subscription Status]]="Yes",1,IF(Table1[[#This Row],[Subscription Status]]="No",0))</f>
        <v>0</v>
      </c>
    </row>
    <row r="1589" spans="1:21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  <c r="S1589" t="str">
        <f>IF(Table1[[#This Row],[Age]]&lt;=25,"Young",IF(Table1[[#This Row],[Age]]&lt;=50,"Adult","Senior"))</f>
        <v>Adult</v>
      </c>
      <c r="T1589" s="1">
        <f>Table1[[#This Row],[Purchase Amount (USD)]]</f>
        <v>99</v>
      </c>
      <c r="U1589">
        <f>IF(Table1[[#This Row],[Subscription Status]]="Yes",1,IF(Table1[[#This Row],[Subscription Status]]="No",0))</f>
        <v>0</v>
      </c>
    </row>
    <row r="1590" spans="1:21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  <c r="S1590" t="str">
        <f>IF(Table1[[#This Row],[Age]]&lt;=25,"Young",IF(Table1[[#This Row],[Age]]&lt;=50,"Adult","Senior"))</f>
        <v>Adult</v>
      </c>
      <c r="T1590" s="1">
        <f>Table1[[#This Row],[Purchase Amount (USD)]]</f>
        <v>24</v>
      </c>
      <c r="U1590">
        <f>IF(Table1[[#This Row],[Subscription Status]]="Yes",1,IF(Table1[[#This Row],[Subscription Status]]="No",0))</f>
        <v>0</v>
      </c>
    </row>
    <row r="1591" spans="1:21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  <c r="S1591" t="str">
        <f>IF(Table1[[#This Row],[Age]]&lt;=25,"Young",IF(Table1[[#This Row],[Age]]&lt;=50,"Adult","Senior"))</f>
        <v>Adult</v>
      </c>
      <c r="T1591" s="1">
        <f>Table1[[#This Row],[Purchase Amount (USD)]]</f>
        <v>72</v>
      </c>
      <c r="U1591">
        <f>IF(Table1[[#This Row],[Subscription Status]]="Yes",1,IF(Table1[[#This Row],[Subscription Status]]="No",0))</f>
        <v>0</v>
      </c>
    </row>
    <row r="1592" spans="1:21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  <c r="S1592" t="str">
        <f>IF(Table1[[#This Row],[Age]]&lt;=25,"Young",IF(Table1[[#This Row],[Age]]&lt;=50,"Adult","Senior"))</f>
        <v>Senior</v>
      </c>
      <c r="T1592" s="1">
        <f>Table1[[#This Row],[Purchase Amount (USD)]]</f>
        <v>80</v>
      </c>
      <c r="U1592">
        <f>IF(Table1[[#This Row],[Subscription Status]]="Yes",1,IF(Table1[[#This Row],[Subscription Status]]="No",0))</f>
        <v>0</v>
      </c>
    </row>
    <row r="1593" spans="1:21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  <c r="S1593" t="str">
        <f>IF(Table1[[#This Row],[Age]]&lt;=25,"Young",IF(Table1[[#This Row],[Age]]&lt;=50,"Adult","Senior"))</f>
        <v>Young</v>
      </c>
      <c r="T1593" s="1">
        <f>Table1[[#This Row],[Purchase Amount (USD)]]</f>
        <v>100</v>
      </c>
      <c r="U1593">
        <f>IF(Table1[[#This Row],[Subscription Status]]="Yes",1,IF(Table1[[#This Row],[Subscription Status]]="No",0))</f>
        <v>0</v>
      </c>
    </row>
    <row r="1594" spans="1:21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  <c r="S1594" t="str">
        <f>IF(Table1[[#This Row],[Age]]&lt;=25,"Young",IF(Table1[[#This Row],[Age]]&lt;=50,"Adult","Senior"))</f>
        <v>Senior</v>
      </c>
      <c r="T1594" s="1">
        <f>Table1[[#This Row],[Purchase Amount (USD)]]</f>
        <v>83</v>
      </c>
      <c r="U1594">
        <f>IF(Table1[[#This Row],[Subscription Status]]="Yes",1,IF(Table1[[#This Row],[Subscription Status]]="No",0))</f>
        <v>0</v>
      </c>
    </row>
    <row r="1595" spans="1:21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  <c r="S1595" t="str">
        <f>IF(Table1[[#This Row],[Age]]&lt;=25,"Young",IF(Table1[[#This Row],[Age]]&lt;=50,"Adult","Senior"))</f>
        <v>Senior</v>
      </c>
      <c r="T1595" s="1">
        <f>Table1[[#This Row],[Purchase Amount (USD)]]</f>
        <v>95</v>
      </c>
      <c r="U1595">
        <f>IF(Table1[[#This Row],[Subscription Status]]="Yes",1,IF(Table1[[#This Row],[Subscription Status]]="No",0))</f>
        <v>0</v>
      </c>
    </row>
    <row r="1596" spans="1:21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  <c r="S1596" t="str">
        <f>IF(Table1[[#This Row],[Age]]&lt;=25,"Young",IF(Table1[[#This Row],[Age]]&lt;=50,"Adult","Senior"))</f>
        <v>Adult</v>
      </c>
      <c r="T1596" s="1">
        <f>Table1[[#This Row],[Purchase Amount (USD)]]</f>
        <v>41</v>
      </c>
      <c r="U1596">
        <f>IF(Table1[[#This Row],[Subscription Status]]="Yes",1,IF(Table1[[#This Row],[Subscription Status]]="No",0))</f>
        <v>0</v>
      </c>
    </row>
    <row r="1597" spans="1:21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  <c r="S1597" t="str">
        <f>IF(Table1[[#This Row],[Age]]&lt;=25,"Young",IF(Table1[[#This Row],[Age]]&lt;=50,"Adult","Senior"))</f>
        <v>Adult</v>
      </c>
      <c r="T1597" s="1">
        <f>Table1[[#This Row],[Purchase Amount (USD)]]</f>
        <v>35</v>
      </c>
      <c r="U1597">
        <f>IF(Table1[[#This Row],[Subscription Status]]="Yes",1,IF(Table1[[#This Row],[Subscription Status]]="No",0))</f>
        <v>0</v>
      </c>
    </row>
    <row r="1598" spans="1:21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  <c r="S1598" t="str">
        <f>IF(Table1[[#This Row],[Age]]&lt;=25,"Young",IF(Table1[[#This Row],[Age]]&lt;=50,"Adult","Senior"))</f>
        <v>Adult</v>
      </c>
      <c r="T1598" s="1">
        <f>Table1[[#This Row],[Purchase Amount (USD)]]</f>
        <v>30</v>
      </c>
      <c r="U1598">
        <f>IF(Table1[[#This Row],[Subscription Status]]="Yes",1,IF(Table1[[#This Row],[Subscription Status]]="No",0))</f>
        <v>0</v>
      </c>
    </row>
    <row r="1599" spans="1:21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  <c r="S1599" t="str">
        <f>IF(Table1[[#This Row],[Age]]&lt;=25,"Young",IF(Table1[[#This Row],[Age]]&lt;=50,"Adult","Senior"))</f>
        <v>Adult</v>
      </c>
      <c r="T1599" s="1">
        <f>Table1[[#This Row],[Purchase Amount (USD)]]</f>
        <v>21</v>
      </c>
      <c r="U1599">
        <f>IF(Table1[[#This Row],[Subscription Status]]="Yes",1,IF(Table1[[#This Row],[Subscription Status]]="No",0))</f>
        <v>0</v>
      </c>
    </row>
    <row r="1600" spans="1:21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  <c r="S1600" t="str">
        <f>IF(Table1[[#This Row],[Age]]&lt;=25,"Young",IF(Table1[[#This Row],[Age]]&lt;=50,"Adult","Senior"))</f>
        <v>Adult</v>
      </c>
      <c r="T1600" s="1">
        <f>Table1[[#This Row],[Purchase Amount (USD)]]</f>
        <v>85</v>
      </c>
      <c r="U1600">
        <f>IF(Table1[[#This Row],[Subscription Status]]="Yes",1,IF(Table1[[#This Row],[Subscription Status]]="No",0))</f>
        <v>0</v>
      </c>
    </row>
    <row r="1601" spans="1:21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  <c r="S1601" t="str">
        <f>IF(Table1[[#This Row],[Age]]&lt;=25,"Young",IF(Table1[[#This Row],[Age]]&lt;=50,"Adult","Senior"))</f>
        <v>Adult</v>
      </c>
      <c r="T1601" s="1">
        <f>Table1[[#This Row],[Purchase Amount (USD)]]</f>
        <v>54</v>
      </c>
      <c r="U1601">
        <f>IF(Table1[[#This Row],[Subscription Status]]="Yes",1,IF(Table1[[#This Row],[Subscription Status]]="No",0))</f>
        <v>0</v>
      </c>
    </row>
    <row r="1602" spans="1:21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  <c r="S1602" t="str">
        <f>IF(Table1[[#This Row],[Age]]&lt;=25,"Young",IF(Table1[[#This Row],[Age]]&lt;=50,"Adult","Senior"))</f>
        <v>Young</v>
      </c>
      <c r="T1602" s="1">
        <f>Table1[[#This Row],[Purchase Amount (USD)]]</f>
        <v>26</v>
      </c>
      <c r="U1602">
        <f>IF(Table1[[#This Row],[Subscription Status]]="Yes",1,IF(Table1[[#This Row],[Subscription Status]]="No",0))</f>
        <v>0</v>
      </c>
    </row>
    <row r="1603" spans="1:21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  <c r="S1603" t="str">
        <f>IF(Table1[[#This Row],[Age]]&lt;=25,"Young",IF(Table1[[#This Row],[Age]]&lt;=50,"Adult","Senior"))</f>
        <v>Senior</v>
      </c>
      <c r="T1603" s="1">
        <f>Table1[[#This Row],[Purchase Amount (USD)]]</f>
        <v>59</v>
      </c>
      <c r="U1603">
        <f>IF(Table1[[#This Row],[Subscription Status]]="Yes",1,IF(Table1[[#This Row],[Subscription Status]]="No",0))</f>
        <v>0</v>
      </c>
    </row>
    <row r="1604" spans="1:21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  <c r="S1604" t="str">
        <f>IF(Table1[[#This Row],[Age]]&lt;=25,"Young",IF(Table1[[#This Row],[Age]]&lt;=50,"Adult","Senior"))</f>
        <v>Senior</v>
      </c>
      <c r="T1604" s="1">
        <f>Table1[[#This Row],[Purchase Amount (USD)]]</f>
        <v>48</v>
      </c>
      <c r="U1604">
        <f>IF(Table1[[#This Row],[Subscription Status]]="Yes",1,IF(Table1[[#This Row],[Subscription Status]]="No",0))</f>
        <v>0</v>
      </c>
    </row>
    <row r="1605" spans="1:21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  <c r="S1605" t="str">
        <f>IF(Table1[[#This Row],[Age]]&lt;=25,"Young",IF(Table1[[#This Row],[Age]]&lt;=50,"Adult","Senior"))</f>
        <v>Young</v>
      </c>
      <c r="T1605" s="1">
        <f>Table1[[#This Row],[Purchase Amount (USD)]]</f>
        <v>98</v>
      </c>
      <c r="U1605">
        <f>IF(Table1[[#This Row],[Subscription Status]]="Yes",1,IF(Table1[[#This Row],[Subscription Status]]="No",0))</f>
        <v>0</v>
      </c>
    </row>
    <row r="1606" spans="1:21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  <c r="S1606" t="str">
        <f>IF(Table1[[#This Row],[Age]]&lt;=25,"Young",IF(Table1[[#This Row],[Age]]&lt;=50,"Adult","Senior"))</f>
        <v>Young</v>
      </c>
      <c r="T1606" s="1">
        <f>Table1[[#This Row],[Purchase Amount (USD)]]</f>
        <v>92</v>
      </c>
      <c r="U1606">
        <f>IF(Table1[[#This Row],[Subscription Status]]="Yes",1,IF(Table1[[#This Row],[Subscription Status]]="No",0))</f>
        <v>0</v>
      </c>
    </row>
    <row r="1607" spans="1:21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  <c r="S1607" t="str">
        <f>IF(Table1[[#This Row],[Age]]&lt;=25,"Young",IF(Table1[[#This Row],[Age]]&lt;=50,"Adult","Senior"))</f>
        <v>Senior</v>
      </c>
      <c r="T1607" s="1">
        <f>Table1[[#This Row],[Purchase Amount (USD)]]</f>
        <v>46</v>
      </c>
      <c r="U1607">
        <f>IF(Table1[[#This Row],[Subscription Status]]="Yes",1,IF(Table1[[#This Row],[Subscription Status]]="No",0))</f>
        <v>0</v>
      </c>
    </row>
    <row r="1608" spans="1:21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  <c r="S1608" t="str">
        <f>IF(Table1[[#This Row],[Age]]&lt;=25,"Young",IF(Table1[[#This Row],[Age]]&lt;=50,"Adult","Senior"))</f>
        <v>Senior</v>
      </c>
      <c r="T1608" s="1">
        <f>Table1[[#This Row],[Purchase Amount (USD)]]</f>
        <v>21</v>
      </c>
      <c r="U1608">
        <f>IF(Table1[[#This Row],[Subscription Status]]="Yes",1,IF(Table1[[#This Row],[Subscription Status]]="No",0))</f>
        <v>0</v>
      </c>
    </row>
    <row r="1609" spans="1:21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  <c r="S1609" t="str">
        <f>IF(Table1[[#This Row],[Age]]&lt;=25,"Young",IF(Table1[[#This Row],[Age]]&lt;=50,"Adult","Senior"))</f>
        <v>Adult</v>
      </c>
      <c r="T1609" s="1">
        <f>Table1[[#This Row],[Purchase Amount (USD)]]</f>
        <v>72</v>
      </c>
      <c r="U1609">
        <f>IF(Table1[[#This Row],[Subscription Status]]="Yes",1,IF(Table1[[#This Row],[Subscription Status]]="No",0))</f>
        <v>0</v>
      </c>
    </row>
    <row r="1610" spans="1:21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  <c r="S1610" t="str">
        <f>IF(Table1[[#This Row],[Age]]&lt;=25,"Young",IF(Table1[[#This Row],[Age]]&lt;=50,"Adult","Senior"))</f>
        <v>Adult</v>
      </c>
      <c r="T1610" s="1">
        <f>Table1[[#This Row],[Purchase Amount (USD)]]</f>
        <v>58</v>
      </c>
      <c r="U1610">
        <f>IF(Table1[[#This Row],[Subscription Status]]="Yes",1,IF(Table1[[#This Row],[Subscription Status]]="No",0))</f>
        <v>0</v>
      </c>
    </row>
    <row r="1611" spans="1:21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  <c r="S1611" t="str">
        <f>IF(Table1[[#This Row],[Age]]&lt;=25,"Young",IF(Table1[[#This Row],[Age]]&lt;=50,"Adult","Senior"))</f>
        <v>Adult</v>
      </c>
      <c r="T1611" s="1">
        <f>Table1[[#This Row],[Purchase Amount (USD)]]</f>
        <v>93</v>
      </c>
      <c r="U1611">
        <f>IF(Table1[[#This Row],[Subscription Status]]="Yes",1,IF(Table1[[#This Row],[Subscription Status]]="No",0))</f>
        <v>0</v>
      </c>
    </row>
    <row r="1612" spans="1:21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  <c r="S1612" t="str">
        <f>IF(Table1[[#This Row],[Age]]&lt;=25,"Young",IF(Table1[[#This Row],[Age]]&lt;=50,"Adult","Senior"))</f>
        <v>Young</v>
      </c>
      <c r="T1612" s="1">
        <f>Table1[[#This Row],[Purchase Amount (USD)]]</f>
        <v>31</v>
      </c>
      <c r="U1612">
        <f>IF(Table1[[#This Row],[Subscription Status]]="Yes",1,IF(Table1[[#This Row],[Subscription Status]]="No",0))</f>
        <v>0</v>
      </c>
    </row>
    <row r="1613" spans="1:21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  <c r="S1613" t="str">
        <f>IF(Table1[[#This Row],[Age]]&lt;=25,"Young",IF(Table1[[#This Row],[Age]]&lt;=50,"Adult","Senior"))</f>
        <v>Adult</v>
      </c>
      <c r="T1613" s="1">
        <f>Table1[[#This Row],[Purchase Amount (USD)]]</f>
        <v>26</v>
      </c>
      <c r="U1613">
        <f>IF(Table1[[#This Row],[Subscription Status]]="Yes",1,IF(Table1[[#This Row],[Subscription Status]]="No",0))</f>
        <v>0</v>
      </c>
    </row>
    <row r="1614" spans="1:21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  <c r="S1614" t="str">
        <f>IF(Table1[[#This Row],[Age]]&lt;=25,"Young",IF(Table1[[#This Row],[Age]]&lt;=50,"Adult","Senior"))</f>
        <v>Young</v>
      </c>
      <c r="T1614" s="1">
        <f>Table1[[#This Row],[Purchase Amount (USD)]]</f>
        <v>68</v>
      </c>
      <c r="U1614">
        <f>IF(Table1[[#This Row],[Subscription Status]]="Yes",1,IF(Table1[[#This Row],[Subscription Status]]="No",0))</f>
        <v>0</v>
      </c>
    </row>
    <row r="1615" spans="1:21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  <c r="S1615" t="str">
        <f>IF(Table1[[#This Row],[Age]]&lt;=25,"Young",IF(Table1[[#This Row],[Age]]&lt;=50,"Adult","Senior"))</f>
        <v>Adult</v>
      </c>
      <c r="T1615" s="1">
        <f>Table1[[#This Row],[Purchase Amount (USD)]]</f>
        <v>31</v>
      </c>
      <c r="U1615">
        <f>IF(Table1[[#This Row],[Subscription Status]]="Yes",1,IF(Table1[[#This Row],[Subscription Status]]="No",0))</f>
        <v>0</v>
      </c>
    </row>
    <row r="1616" spans="1:21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  <c r="S1616" t="str">
        <f>IF(Table1[[#This Row],[Age]]&lt;=25,"Young",IF(Table1[[#This Row],[Age]]&lt;=50,"Adult","Senior"))</f>
        <v>Adult</v>
      </c>
      <c r="T1616" s="1">
        <f>Table1[[#This Row],[Purchase Amount (USD)]]</f>
        <v>41</v>
      </c>
      <c r="U1616">
        <f>IF(Table1[[#This Row],[Subscription Status]]="Yes",1,IF(Table1[[#This Row],[Subscription Status]]="No",0))</f>
        <v>0</v>
      </c>
    </row>
    <row r="1617" spans="1:21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  <c r="S1617" t="str">
        <f>IF(Table1[[#This Row],[Age]]&lt;=25,"Young",IF(Table1[[#This Row],[Age]]&lt;=50,"Adult","Senior"))</f>
        <v>Senior</v>
      </c>
      <c r="T1617" s="1">
        <f>Table1[[#This Row],[Purchase Amount (USD)]]</f>
        <v>62</v>
      </c>
      <c r="U1617">
        <f>IF(Table1[[#This Row],[Subscription Status]]="Yes",1,IF(Table1[[#This Row],[Subscription Status]]="No",0))</f>
        <v>0</v>
      </c>
    </row>
    <row r="1618" spans="1:21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  <c r="S1618" t="str">
        <f>IF(Table1[[#This Row],[Age]]&lt;=25,"Young",IF(Table1[[#This Row],[Age]]&lt;=50,"Adult","Senior"))</f>
        <v>Adult</v>
      </c>
      <c r="T1618" s="1">
        <f>Table1[[#This Row],[Purchase Amount (USD)]]</f>
        <v>41</v>
      </c>
      <c r="U1618">
        <f>IF(Table1[[#This Row],[Subscription Status]]="Yes",1,IF(Table1[[#This Row],[Subscription Status]]="No",0))</f>
        <v>0</v>
      </c>
    </row>
    <row r="1619" spans="1:21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  <c r="S1619" t="str">
        <f>IF(Table1[[#This Row],[Age]]&lt;=25,"Young",IF(Table1[[#This Row],[Age]]&lt;=50,"Adult","Senior"))</f>
        <v>Adult</v>
      </c>
      <c r="T1619" s="1">
        <f>Table1[[#This Row],[Purchase Amount (USD)]]</f>
        <v>64</v>
      </c>
      <c r="U1619">
        <f>IF(Table1[[#This Row],[Subscription Status]]="Yes",1,IF(Table1[[#This Row],[Subscription Status]]="No",0))</f>
        <v>0</v>
      </c>
    </row>
    <row r="1620" spans="1:21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  <c r="S1620" t="str">
        <f>IF(Table1[[#This Row],[Age]]&lt;=25,"Young",IF(Table1[[#This Row],[Age]]&lt;=50,"Adult","Senior"))</f>
        <v>Senior</v>
      </c>
      <c r="T1620" s="1">
        <f>Table1[[#This Row],[Purchase Amount (USD)]]</f>
        <v>72</v>
      </c>
      <c r="U1620">
        <f>IF(Table1[[#This Row],[Subscription Status]]="Yes",1,IF(Table1[[#This Row],[Subscription Status]]="No",0))</f>
        <v>0</v>
      </c>
    </row>
    <row r="1621" spans="1:21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  <c r="S1621" t="str">
        <f>IF(Table1[[#This Row],[Age]]&lt;=25,"Young",IF(Table1[[#This Row],[Age]]&lt;=50,"Adult","Senior"))</f>
        <v>Senior</v>
      </c>
      <c r="T1621" s="1">
        <f>Table1[[#This Row],[Purchase Amount (USD)]]</f>
        <v>78</v>
      </c>
      <c r="U1621">
        <f>IF(Table1[[#This Row],[Subscription Status]]="Yes",1,IF(Table1[[#This Row],[Subscription Status]]="No",0))</f>
        <v>0</v>
      </c>
    </row>
    <row r="1622" spans="1:21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  <c r="S1622" t="str">
        <f>IF(Table1[[#This Row],[Age]]&lt;=25,"Young",IF(Table1[[#This Row],[Age]]&lt;=50,"Adult","Senior"))</f>
        <v>Young</v>
      </c>
      <c r="T1622" s="1">
        <f>Table1[[#This Row],[Purchase Amount (USD)]]</f>
        <v>47</v>
      </c>
      <c r="U1622">
        <f>IF(Table1[[#This Row],[Subscription Status]]="Yes",1,IF(Table1[[#This Row],[Subscription Status]]="No",0))</f>
        <v>0</v>
      </c>
    </row>
    <row r="1623" spans="1:21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  <c r="S1623" t="str">
        <f>IF(Table1[[#This Row],[Age]]&lt;=25,"Young",IF(Table1[[#This Row],[Age]]&lt;=50,"Adult","Senior"))</f>
        <v>Senior</v>
      </c>
      <c r="T1623" s="1">
        <f>Table1[[#This Row],[Purchase Amount (USD)]]</f>
        <v>46</v>
      </c>
      <c r="U1623">
        <f>IF(Table1[[#This Row],[Subscription Status]]="Yes",1,IF(Table1[[#This Row],[Subscription Status]]="No",0))</f>
        <v>0</v>
      </c>
    </row>
    <row r="1624" spans="1:21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  <c r="S1624" t="str">
        <f>IF(Table1[[#This Row],[Age]]&lt;=25,"Young",IF(Table1[[#This Row],[Age]]&lt;=50,"Adult","Senior"))</f>
        <v>Adult</v>
      </c>
      <c r="T1624" s="1">
        <f>Table1[[#This Row],[Purchase Amount (USD)]]</f>
        <v>43</v>
      </c>
      <c r="U1624">
        <f>IF(Table1[[#This Row],[Subscription Status]]="Yes",1,IF(Table1[[#This Row],[Subscription Status]]="No",0))</f>
        <v>0</v>
      </c>
    </row>
    <row r="1625" spans="1:21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  <c r="S1625" t="str">
        <f>IF(Table1[[#This Row],[Age]]&lt;=25,"Young",IF(Table1[[#This Row],[Age]]&lt;=50,"Adult","Senior"))</f>
        <v>Senior</v>
      </c>
      <c r="T1625" s="1">
        <f>Table1[[#This Row],[Purchase Amount (USD)]]</f>
        <v>58</v>
      </c>
      <c r="U1625">
        <f>IF(Table1[[#This Row],[Subscription Status]]="Yes",1,IF(Table1[[#This Row],[Subscription Status]]="No",0))</f>
        <v>0</v>
      </c>
    </row>
    <row r="1626" spans="1:21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  <c r="S1626" t="str">
        <f>IF(Table1[[#This Row],[Age]]&lt;=25,"Young",IF(Table1[[#This Row],[Age]]&lt;=50,"Adult","Senior"))</f>
        <v>Adult</v>
      </c>
      <c r="T1626" s="1">
        <f>Table1[[#This Row],[Purchase Amount (USD)]]</f>
        <v>32</v>
      </c>
      <c r="U1626">
        <f>IF(Table1[[#This Row],[Subscription Status]]="Yes",1,IF(Table1[[#This Row],[Subscription Status]]="No",0))</f>
        <v>0</v>
      </c>
    </row>
    <row r="1627" spans="1:21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  <c r="S1627" t="str">
        <f>IF(Table1[[#This Row],[Age]]&lt;=25,"Young",IF(Table1[[#This Row],[Age]]&lt;=50,"Adult","Senior"))</f>
        <v>Adult</v>
      </c>
      <c r="T1627" s="1">
        <f>Table1[[#This Row],[Purchase Amount (USD)]]</f>
        <v>45</v>
      </c>
      <c r="U1627">
        <f>IF(Table1[[#This Row],[Subscription Status]]="Yes",1,IF(Table1[[#This Row],[Subscription Status]]="No",0))</f>
        <v>0</v>
      </c>
    </row>
    <row r="1628" spans="1:21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  <c r="S1628" t="str">
        <f>IF(Table1[[#This Row],[Age]]&lt;=25,"Young",IF(Table1[[#This Row],[Age]]&lt;=50,"Adult","Senior"))</f>
        <v>Adult</v>
      </c>
      <c r="T1628" s="1">
        <f>Table1[[#This Row],[Purchase Amount (USD)]]</f>
        <v>35</v>
      </c>
      <c r="U1628">
        <f>IF(Table1[[#This Row],[Subscription Status]]="Yes",1,IF(Table1[[#This Row],[Subscription Status]]="No",0))</f>
        <v>0</v>
      </c>
    </row>
    <row r="1629" spans="1:21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  <c r="S1629" t="str">
        <f>IF(Table1[[#This Row],[Age]]&lt;=25,"Young",IF(Table1[[#This Row],[Age]]&lt;=50,"Adult","Senior"))</f>
        <v>Senior</v>
      </c>
      <c r="T1629" s="1">
        <f>Table1[[#This Row],[Purchase Amount (USD)]]</f>
        <v>21</v>
      </c>
      <c r="U1629">
        <f>IF(Table1[[#This Row],[Subscription Status]]="Yes",1,IF(Table1[[#This Row],[Subscription Status]]="No",0))</f>
        <v>0</v>
      </c>
    </row>
    <row r="1630" spans="1:21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  <c r="S1630" t="str">
        <f>IF(Table1[[#This Row],[Age]]&lt;=25,"Young",IF(Table1[[#This Row],[Age]]&lt;=50,"Adult","Senior"))</f>
        <v>Adult</v>
      </c>
      <c r="T1630" s="1">
        <f>Table1[[#This Row],[Purchase Amount (USD)]]</f>
        <v>64</v>
      </c>
      <c r="U1630">
        <f>IF(Table1[[#This Row],[Subscription Status]]="Yes",1,IF(Table1[[#This Row],[Subscription Status]]="No",0))</f>
        <v>0</v>
      </c>
    </row>
    <row r="1631" spans="1:21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  <c r="S1631" t="str">
        <f>IF(Table1[[#This Row],[Age]]&lt;=25,"Young",IF(Table1[[#This Row],[Age]]&lt;=50,"Adult","Senior"))</f>
        <v>Adult</v>
      </c>
      <c r="T1631" s="1">
        <f>Table1[[#This Row],[Purchase Amount (USD)]]</f>
        <v>88</v>
      </c>
      <c r="U1631">
        <f>IF(Table1[[#This Row],[Subscription Status]]="Yes",1,IF(Table1[[#This Row],[Subscription Status]]="No",0))</f>
        <v>0</v>
      </c>
    </row>
    <row r="1632" spans="1:21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  <c r="S1632" t="str">
        <f>IF(Table1[[#This Row],[Age]]&lt;=25,"Young",IF(Table1[[#This Row],[Age]]&lt;=50,"Adult","Senior"))</f>
        <v>Senior</v>
      </c>
      <c r="T1632" s="1">
        <f>Table1[[#This Row],[Purchase Amount (USD)]]</f>
        <v>48</v>
      </c>
      <c r="U1632">
        <f>IF(Table1[[#This Row],[Subscription Status]]="Yes",1,IF(Table1[[#This Row],[Subscription Status]]="No",0))</f>
        <v>0</v>
      </c>
    </row>
    <row r="1633" spans="1:21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  <c r="S1633" t="str">
        <f>IF(Table1[[#This Row],[Age]]&lt;=25,"Young",IF(Table1[[#This Row],[Age]]&lt;=50,"Adult","Senior"))</f>
        <v>Senior</v>
      </c>
      <c r="T1633" s="1">
        <f>Table1[[#This Row],[Purchase Amount (USD)]]</f>
        <v>36</v>
      </c>
      <c r="U1633">
        <f>IF(Table1[[#This Row],[Subscription Status]]="Yes",1,IF(Table1[[#This Row],[Subscription Status]]="No",0))</f>
        <v>0</v>
      </c>
    </row>
    <row r="1634" spans="1:21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  <c r="S1634" t="str">
        <f>IF(Table1[[#This Row],[Age]]&lt;=25,"Young",IF(Table1[[#This Row],[Age]]&lt;=50,"Adult","Senior"))</f>
        <v>Adult</v>
      </c>
      <c r="T1634" s="1">
        <f>Table1[[#This Row],[Purchase Amount (USD)]]</f>
        <v>28</v>
      </c>
      <c r="U1634">
        <f>IF(Table1[[#This Row],[Subscription Status]]="Yes",1,IF(Table1[[#This Row],[Subscription Status]]="No",0))</f>
        <v>0</v>
      </c>
    </row>
    <row r="1635" spans="1:21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  <c r="S1635" t="str">
        <f>IF(Table1[[#This Row],[Age]]&lt;=25,"Young",IF(Table1[[#This Row],[Age]]&lt;=50,"Adult","Senior"))</f>
        <v>Senior</v>
      </c>
      <c r="T1635" s="1">
        <f>Table1[[#This Row],[Purchase Amount (USD)]]</f>
        <v>80</v>
      </c>
      <c r="U1635">
        <f>IF(Table1[[#This Row],[Subscription Status]]="Yes",1,IF(Table1[[#This Row],[Subscription Status]]="No",0))</f>
        <v>0</v>
      </c>
    </row>
    <row r="1636" spans="1:21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  <c r="S1636" t="str">
        <f>IF(Table1[[#This Row],[Age]]&lt;=25,"Young",IF(Table1[[#This Row],[Age]]&lt;=50,"Adult","Senior"))</f>
        <v>Adult</v>
      </c>
      <c r="T1636" s="1">
        <f>Table1[[#This Row],[Purchase Amount (USD)]]</f>
        <v>23</v>
      </c>
      <c r="U1636">
        <f>IF(Table1[[#This Row],[Subscription Status]]="Yes",1,IF(Table1[[#This Row],[Subscription Status]]="No",0))</f>
        <v>0</v>
      </c>
    </row>
    <row r="1637" spans="1:21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  <c r="S1637" t="str">
        <f>IF(Table1[[#This Row],[Age]]&lt;=25,"Young",IF(Table1[[#This Row],[Age]]&lt;=50,"Adult","Senior"))</f>
        <v>Senior</v>
      </c>
      <c r="T1637" s="1">
        <f>Table1[[#This Row],[Purchase Amount (USD)]]</f>
        <v>24</v>
      </c>
      <c r="U1637">
        <f>IF(Table1[[#This Row],[Subscription Status]]="Yes",1,IF(Table1[[#This Row],[Subscription Status]]="No",0))</f>
        <v>0</v>
      </c>
    </row>
    <row r="1638" spans="1:21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  <c r="S1638" t="str">
        <f>IF(Table1[[#This Row],[Age]]&lt;=25,"Young",IF(Table1[[#This Row],[Age]]&lt;=50,"Adult","Senior"))</f>
        <v>Senior</v>
      </c>
      <c r="T1638" s="1">
        <f>Table1[[#This Row],[Purchase Amount (USD)]]</f>
        <v>22</v>
      </c>
      <c r="U1638">
        <f>IF(Table1[[#This Row],[Subscription Status]]="Yes",1,IF(Table1[[#This Row],[Subscription Status]]="No",0))</f>
        <v>0</v>
      </c>
    </row>
    <row r="1639" spans="1:21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  <c r="S1639" t="str">
        <f>IF(Table1[[#This Row],[Age]]&lt;=25,"Young",IF(Table1[[#This Row],[Age]]&lt;=50,"Adult","Senior"))</f>
        <v>Adult</v>
      </c>
      <c r="T1639" s="1">
        <f>Table1[[#This Row],[Purchase Amount (USD)]]</f>
        <v>21</v>
      </c>
      <c r="U1639">
        <f>IF(Table1[[#This Row],[Subscription Status]]="Yes",1,IF(Table1[[#This Row],[Subscription Status]]="No",0))</f>
        <v>0</v>
      </c>
    </row>
    <row r="1640" spans="1:21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  <c r="S1640" t="str">
        <f>IF(Table1[[#This Row],[Age]]&lt;=25,"Young",IF(Table1[[#This Row],[Age]]&lt;=50,"Adult","Senior"))</f>
        <v>Senior</v>
      </c>
      <c r="T1640" s="1">
        <f>Table1[[#This Row],[Purchase Amount (USD)]]</f>
        <v>51</v>
      </c>
      <c r="U1640">
        <f>IF(Table1[[#This Row],[Subscription Status]]="Yes",1,IF(Table1[[#This Row],[Subscription Status]]="No",0))</f>
        <v>0</v>
      </c>
    </row>
    <row r="1641" spans="1:21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  <c r="S1641" t="str">
        <f>IF(Table1[[#This Row],[Age]]&lt;=25,"Young",IF(Table1[[#This Row],[Age]]&lt;=50,"Adult","Senior"))</f>
        <v>Adult</v>
      </c>
      <c r="T1641" s="1">
        <f>Table1[[#This Row],[Purchase Amount (USD)]]</f>
        <v>65</v>
      </c>
      <c r="U1641">
        <f>IF(Table1[[#This Row],[Subscription Status]]="Yes",1,IF(Table1[[#This Row],[Subscription Status]]="No",0))</f>
        <v>0</v>
      </c>
    </row>
    <row r="1642" spans="1:21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  <c r="S1642" t="str">
        <f>IF(Table1[[#This Row],[Age]]&lt;=25,"Young",IF(Table1[[#This Row],[Age]]&lt;=50,"Adult","Senior"))</f>
        <v>Senior</v>
      </c>
      <c r="T1642" s="1">
        <f>Table1[[#This Row],[Purchase Amount (USD)]]</f>
        <v>51</v>
      </c>
      <c r="U1642">
        <f>IF(Table1[[#This Row],[Subscription Status]]="Yes",1,IF(Table1[[#This Row],[Subscription Status]]="No",0))</f>
        <v>0</v>
      </c>
    </row>
    <row r="1643" spans="1:21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  <c r="S1643" t="str">
        <f>IF(Table1[[#This Row],[Age]]&lt;=25,"Young",IF(Table1[[#This Row],[Age]]&lt;=50,"Adult","Senior"))</f>
        <v>Adult</v>
      </c>
      <c r="T1643" s="1">
        <f>Table1[[#This Row],[Purchase Amount (USD)]]</f>
        <v>32</v>
      </c>
      <c r="U1643">
        <f>IF(Table1[[#This Row],[Subscription Status]]="Yes",1,IF(Table1[[#This Row],[Subscription Status]]="No",0))</f>
        <v>0</v>
      </c>
    </row>
    <row r="1644" spans="1:21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  <c r="S1644" t="str">
        <f>IF(Table1[[#This Row],[Age]]&lt;=25,"Young",IF(Table1[[#This Row],[Age]]&lt;=50,"Adult","Senior"))</f>
        <v>Young</v>
      </c>
      <c r="T1644" s="1">
        <f>Table1[[#This Row],[Purchase Amount (USD)]]</f>
        <v>70</v>
      </c>
      <c r="U1644">
        <f>IF(Table1[[#This Row],[Subscription Status]]="Yes",1,IF(Table1[[#This Row],[Subscription Status]]="No",0))</f>
        <v>0</v>
      </c>
    </row>
    <row r="1645" spans="1:21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  <c r="S1645" t="str">
        <f>IF(Table1[[#This Row],[Age]]&lt;=25,"Young",IF(Table1[[#This Row],[Age]]&lt;=50,"Adult","Senior"))</f>
        <v>Adult</v>
      </c>
      <c r="T1645" s="1">
        <f>Table1[[#This Row],[Purchase Amount (USD)]]</f>
        <v>77</v>
      </c>
      <c r="U1645">
        <f>IF(Table1[[#This Row],[Subscription Status]]="Yes",1,IF(Table1[[#This Row],[Subscription Status]]="No",0))</f>
        <v>0</v>
      </c>
    </row>
    <row r="1646" spans="1:21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  <c r="S1646" t="str">
        <f>IF(Table1[[#This Row],[Age]]&lt;=25,"Young",IF(Table1[[#This Row],[Age]]&lt;=50,"Adult","Senior"))</f>
        <v>Senior</v>
      </c>
      <c r="T1646" s="1">
        <f>Table1[[#This Row],[Purchase Amount (USD)]]</f>
        <v>90</v>
      </c>
      <c r="U1646">
        <f>IF(Table1[[#This Row],[Subscription Status]]="Yes",1,IF(Table1[[#This Row],[Subscription Status]]="No",0))</f>
        <v>0</v>
      </c>
    </row>
    <row r="1647" spans="1:21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  <c r="S1647" t="str">
        <f>IF(Table1[[#This Row],[Age]]&lt;=25,"Young",IF(Table1[[#This Row],[Age]]&lt;=50,"Adult","Senior"))</f>
        <v>Senior</v>
      </c>
      <c r="T1647" s="1">
        <f>Table1[[#This Row],[Purchase Amount (USD)]]</f>
        <v>36</v>
      </c>
      <c r="U1647">
        <f>IF(Table1[[#This Row],[Subscription Status]]="Yes",1,IF(Table1[[#This Row],[Subscription Status]]="No",0))</f>
        <v>0</v>
      </c>
    </row>
    <row r="1648" spans="1:21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  <c r="S1648" t="str">
        <f>IF(Table1[[#This Row],[Age]]&lt;=25,"Young",IF(Table1[[#This Row],[Age]]&lt;=50,"Adult","Senior"))</f>
        <v>Senior</v>
      </c>
      <c r="T1648" s="1">
        <f>Table1[[#This Row],[Purchase Amount (USD)]]</f>
        <v>77</v>
      </c>
      <c r="U1648">
        <f>IF(Table1[[#This Row],[Subscription Status]]="Yes",1,IF(Table1[[#This Row],[Subscription Status]]="No",0))</f>
        <v>0</v>
      </c>
    </row>
    <row r="1649" spans="1:21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  <c r="S1649" t="str">
        <f>IF(Table1[[#This Row],[Age]]&lt;=25,"Young",IF(Table1[[#This Row],[Age]]&lt;=50,"Adult","Senior"))</f>
        <v>Adult</v>
      </c>
      <c r="T1649" s="1">
        <f>Table1[[#This Row],[Purchase Amount (USD)]]</f>
        <v>78</v>
      </c>
      <c r="U1649">
        <f>IF(Table1[[#This Row],[Subscription Status]]="Yes",1,IF(Table1[[#This Row],[Subscription Status]]="No",0))</f>
        <v>0</v>
      </c>
    </row>
    <row r="1650" spans="1:21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  <c r="S1650" t="str">
        <f>IF(Table1[[#This Row],[Age]]&lt;=25,"Young",IF(Table1[[#This Row],[Age]]&lt;=50,"Adult","Senior"))</f>
        <v>Adult</v>
      </c>
      <c r="T1650" s="1">
        <f>Table1[[#This Row],[Purchase Amount (USD)]]</f>
        <v>69</v>
      </c>
      <c r="U1650">
        <f>IF(Table1[[#This Row],[Subscription Status]]="Yes",1,IF(Table1[[#This Row],[Subscription Status]]="No",0))</f>
        <v>0</v>
      </c>
    </row>
    <row r="1651" spans="1:21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  <c r="S1651" t="str">
        <f>IF(Table1[[#This Row],[Age]]&lt;=25,"Young",IF(Table1[[#This Row],[Age]]&lt;=50,"Adult","Senior"))</f>
        <v>Senior</v>
      </c>
      <c r="T1651" s="1">
        <f>Table1[[#This Row],[Purchase Amount (USD)]]</f>
        <v>63</v>
      </c>
      <c r="U1651">
        <f>IF(Table1[[#This Row],[Subscription Status]]="Yes",1,IF(Table1[[#This Row],[Subscription Status]]="No",0))</f>
        <v>0</v>
      </c>
    </row>
    <row r="1652" spans="1:21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  <c r="S1652" t="str">
        <f>IF(Table1[[#This Row],[Age]]&lt;=25,"Young",IF(Table1[[#This Row],[Age]]&lt;=50,"Adult","Senior"))</f>
        <v>Senior</v>
      </c>
      <c r="T1652" s="1">
        <f>Table1[[#This Row],[Purchase Amount (USD)]]</f>
        <v>36</v>
      </c>
      <c r="U1652">
        <f>IF(Table1[[#This Row],[Subscription Status]]="Yes",1,IF(Table1[[#This Row],[Subscription Status]]="No",0))</f>
        <v>0</v>
      </c>
    </row>
    <row r="1653" spans="1:21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  <c r="S1653" t="str">
        <f>IF(Table1[[#This Row],[Age]]&lt;=25,"Young",IF(Table1[[#This Row],[Age]]&lt;=50,"Adult","Senior"))</f>
        <v>Senior</v>
      </c>
      <c r="T1653" s="1">
        <f>Table1[[#This Row],[Purchase Amount (USD)]]</f>
        <v>80</v>
      </c>
      <c r="U1653">
        <f>IF(Table1[[#This Row],[Subscription Status]]="Yes",1,IF(Table1[[#This Row],[Subscription Status]]="No",0))</f>
        <v>0</v>
      </c>
    </row>
    <row r="1654" spans="1:21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  <c r="S1654" t="str">
        <f>IF(Table1[[#This Row],[Age]]&lt;=25,"Young",IF(Table1[[#This Row],[Age]]&lt;=50,"Adult","Senior"))</f>
        <v>Senior</v>
      </c>
      <c r="T1654" s="1">
        <f>Table1[[#This Row],[Purchase Amount (USD)]]</f>
        <v>35</v>
      </c>
      <c r="U1654">
        <f>IF(Table1[[#This Row],[Subscription Status]]="Yes",1,IF(Table1[[#This Row],[Subscription Status]]="No",0))</f>
        <v>0</v>
      </c>
    </row>
    <row r="1655" spans="1:21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  <c r="S1655" t="str">
        <f>IF(Table1[[#This Row],[Age]]&lt;=25,"Young",IF(Table1[[#This Row],[Age]]&lt;=50,"Adult","Senior"))</f>
        <v>Adult</v>
      </c>
      <c r="T1655" s="1">
        <f>Table1[[#This Row],[Purchase Amount (USD)]]</f>
        <v>93</v>
      </c>
      <c r="U1655">
        <f>IF(Table1[[#This Row],[Subscription Status]]="Yes",1,IF(Table1[[#This Row],[Subscription Status]]="No",0))</f>
        <v>0</v>
      </c>
    </row>
    <row r="1656" spans="1:21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  <c r="S1656" t="str">
        <f>IF(Table1[[#This Row],[Age]]&lt;=25,"Young",IF(Table1[[#This Row],[Age]]&lt;=50,"Adult","Senior"))</f>
        <v>Adult</v>
      </c>
      <c r="T1656" s="1">
        <f>Table1[[#This Row],[Purchase Amount (USD)]]</f>
        <v>25</v>
      </c>
      <c r="U1656">
        <f>IF(Table1[[#This Row],[Subscription Status]]="Yes",1,IF(Table1[[#This Row],[Subscription Status]]="No",0))</f>
        <v>0</v>
      </c>
    </row>
    <row r="1657" spans="1:21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  <c r="S1657" t="str">
        <f>IF(Table1[[#This Row],[Age]]&lt;=25,"Young",IF(Table1[[#This Row],[Age]]&lt;=50,"Adult","Senior"))</f>
        <v>Adult</v>
      </c>
      <c r="T1657" s="1">
        <f>Table1[[#This Row],[Purchase Amount (USD)]]</f>
        <v>81</v>
      </c>
      <c r="U1657">
        <f>IF(Table1[[#This Row],[Subscription Status]]="Yes",1,IF(Table1[[#This Row],[Subscription Status]]="No",0))</f>
        <v>0</v>
      </c>
    </row>
    <row r="1658" spans="1:21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  <c r="S1658" t="str">
        <f>IF(Table1[[#This Row],[Age]]&lt;=25,"Young",IF(Table1[[#This Row],[Age]]&lt;=50,"Adult","Senior"))</f>
        <v>Young</v>
      </c>
      <c r="T1658" s="1">
        <f>Table1[[#This Row],[Purchase Amount (USD)]]</f>
        <v>42</v>
      </c>
      <c r="U1658">
        <f>IF(Table1[[#This Row],[Subscription Status]]="Yes",1,IF(Table1[[#This Row],[Subscription Status]]="No",0))</f>
        <v>0</v>
      </c>
    </row>
    <row r="1659" spans="1:21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  <c r="S1659" t="str">
        <f>IF(Table1[[#This Row],[Age]]&lt;=25,"Young",IF(Table1[[#This Row],[Age]]&lt;=50,"Adult","Senior"))</f>
        <v>Senior</v>
      </c>
      <c r="T1659" s="1">
        <f>Table1[[#This Row],[Purchase Amount (USD)]]</f>
        <v>36</v>
      </c>
      <c r="U1659">
        <f>IF(Table1[[#This Row],[Subscription Status]]="Yes",1,IF(Table1[[#This Row],[Subscription Status]]="No",0))</f>
        <v>0</v>
      </c>
    </row>
    <row r="1660" spans="1:21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  <c r="S1660" t="str">
        <f>IF(Table1[[#This Row],[Age]]&lt;=25,"Young",IF(Table1[[#This Row],[Age]]&lt;=50,"Adult","Senior"))</f>
        <v>Adult</v>
      </c>
      <c r="T1660" s="1">
        <f>Table1[[#This Row],[Purchase Amount (USD)]]</f>
        <v>66</v>
      </c>
      <c r="U1660">
        <f>IF(Table1[[#This Row],[Subscription Status]]="Yes",1,IF(Table1[[#This Row],[Subscription Status]]="No",0))</f>
        <v>0</v>
      </c>
    </row>
    <row r="1661" spans="1:21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  <c r="S1661" t="str">
        <f>IF(Table1[[#This Row],[Age]]&lt;=25,"Young",IF(Table1[[#This Row],[Age]]&lt;=50,"Adult","Senior"))</f>
        <v>Senior</v>
      </c>
      <c r="T1661" s="1">
        <f>Table1[[#This Row],[Purchase Amount (USD)]]</f>
        <v>37</v>
      </c>
      <c r="U1661">
        <f>IF(Table1[[#This Row],[Subscription Status]]="Yes",1,IF(Table1[[#This Row],[Subscription Status]]="No",0))</f>
        <v>0</v>
      </c>
    </row>
    <row r="1662" spans="1:21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  <c r="S1662" t="str">
        <f>IF(Table1[[#This Row],[Age]]&lt;=25,"Young",IF(Table1[[#This Row],[Age]]&lt;=50,"Adult","Senior"))</f>
        <v>Senior</v>
      </c>
      <c r="T1662" s="1">
        <f>Table1[[#This Row],[Purchase Amount (USD)]]</f>
        <v>45</v>
      </c>
      <c r="U1662">
        <f>IF(Table1[[#This Row],[Subscription Status]]="Yes",1,IF(Table1[[#This Row],[Subscription Status]]="No",0))</f>
        <v>0</v>
      </c>
    </row>
    <row r="1663" spans="1:21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  <c r="S1663" t="str">
        <f>IF(Table1[[#This Row],[Age]]&lt;=25,"Young",IF(Table1[[#This Row],[Age]]&lt;=50,"Adult","Senior"))</f>
        <v>Senior</v>
      </c>
      <c r="T1663" s="1">
        <f>Table1[[#This Row],[Purchase Amount (USD)]]</f>
        <v>86</v>
      </c>
      <c r="U1663">
        <f>IF(Table1[[#This Row],[Subscription Status]]="Yes",1,IF(Table1[[#This Row],[Subscription Status]]="No",0))</f>
        <v>0</v>
      </c>
    </row>
    <row r="1664" spans="1:21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  <c r="S1664" t="str">
        <f>IF(Table1[[#This Row],[Age]]&lt;=25,"Young",IF(Table1[[#This Row],[Age]]&lt;=50,"Adult","Senior"))</f>
        <v>Senior</v>
      </c>
      <c r="T1664" s="1">
        <f>Table1[[#This Row],[Purchase Amount (USD)]]</f>
        <v>24</v>
      </c>
      <c r="U1664">
        <f>IF(Table1[[#This Row],[Subscription Status]]="Yes",1,IF(Table1[[#This Row],[Subscription Status]]="No",0))</f>
        <v>0</v>
      </c>
    </row>
    <row r="1665" spans="1:21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  <c r="S1665" t="str">
        <f>IF(Table1[[#This Row],[Age]]&lt;=25,"Young",IF(Table1[[#This Row],[Age]]&lt;=50,"Adult","Senior"))</f>
        <v>Adult</v>
      </c>
      <c r="T1665" s="1">
        <f>Table1[[#This Row],[Purchase Amount (USD)]]</f>
        <v>22</v>
      </c>
      <c r="U1665">
        <f>IF(Table1[[#This Row],[Subscription Status]]="Yes",1,IF(Table1[[#This Row],[Subscription Status]]="No",0))</f>
        <v>0</v>
      </c>
    </row>
    <row r="1666" spans="1:21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  <c r="S1666" t="str">
        <f>IF(Table1[[#This Row],[Age]]&lt;=25,"Young",IF(Table1[[#This Row],[Age]]&lt;=50,"Adult","Senior"))</f>
        <v>Young</v>
      </c>
      <c r="T1666" s="1">
        <f>Table1[[#This Row],[Purchase Amount (USD)]]</f>
        <v>53</v>
      </c>
      <c r="U1666">
        <f>IF(Table1[[#This Row],[Subscription Status]]="Yes",1,IF(Table1[[#This Row],[Subscription Status]]="No",0))</f>
        <v>0</v>
      </c>
    </row>
    <row r="1667" spans="1:21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  <c r="S1667" t="str">
        <f>IF(Table1[[#This Row],[Age]]&lt;=25,"Young",IF(Table1[[#This Row],[Age]]&lt;=50,"Adult","Senior"))</f>
        <v>Adult</v>
      </c>
      <c r="T1667" s="1">
        <f>Table1[[#This Row],[Purchase Amount (USD)]]</f>
        <v>41</v>
      </c>
      <c r="U1667">
        <f>IF(Table1[[#This Row],[Subscription Status]]="Yes",1,IF(Table1[[#This Row],[Subscription Status]]="No",0))</f>
        <v>0</v>
      </c>
    </row>
    <row r="1668" spans="1:21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  <c r="S1668" t="str">
        <f>IF(Table1[[#This Row],[Age]]&lt;=25,"Young",IF(Table1[[#This Row],[Age]]&lt;=50,"Adult","Senior"))</f>
        <v>Senior</v>
      </c>
      <c r="T1668" s="1">
        <f>Table1[[#This Row],[Purchase Amount (USD)]]</f>
        <v>64</v>
      </c>
      <c r="U1668">
        <f>IF(Table1[[#This Row],[Subscription Status]]="Yes",1,IF(Table1[[#This Row],[Subscription Status]]="No",0))</f>
        <v>0</v>
      </c>
    </row>
    <row r="1669" spans="1:21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  <c r="S1669" t="str">
        <f>IF(Table1[[#This Row],[Age]]&lt;=25,"Young",IF(Table1[[#This Row],[Age]]&lt;=50,"Adult","Senior"))</f>
        <v>Senior</v>
      </c>
      <c r="T1669" s="1">
        <f>Table1[[#This Row],[Purchase Amount (USD)]]</f>
        <v>40</v>
      </c>
      <c r="U1669">
        <f>IF(Table1[[#This Row],[Subscription Status]]="Yes",1,IF(Table1[[#This Row],[Subscription Status]]="No",0))</f>
        <v>0</v>
      </c>
    </row>
    <row r="1670" spans="1:21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  <c r="S1670" t="str">
        <f>IF(Table1[[#This Row],[Age]]&lt;=25,"Young",IF(Table1[[#This Row],[Age]]&lt;=50,"Adult","Senior"))</f>
        <v>Senior</v>
      </c>
      <c r="T1670" s="1">
        <f>Table1[[#This Row],[Purchase Amount (USD)]]</f>
        <v>33</v>
      </c>
      <c r="U1670">
        <f>IF(Table1[[#This Row],[Subscription Status]]="Yes",1,IF(Table1[[#This Row],[Subscription Status]]="No",0))</f>
        <v>0</v>
      </c>
    </row>
    <row r="1671" spans="1:21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  <c r="S1671" t="str">
        <f>IF(Table1[[#This Row],[Age]]&lt;=25,"Young",IF(Table1[[#This Row],[Age]]&lt;=50,"Adult","Senior"))</f>
        <v>Adult</v>
      </c>
      <c r="T1671" s="1">
        <f>Table1[[#This Row],[Purchase Amount (USD)]]</f>
        <v>59</v>
      </c>
      <c r="U1671">
        <f>IF(Table1[[#This Row],[Subscription Status]]="Yes",1,IF(Table1[[#This Row],[Subscription Status]]="No",0))</f>
        <v>0</v>
      </c>
    </row>
    <row r="1672" spans="1:21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  <c r="S1672" t="str">
        <f>IF(Table1[[#This Row],[Age]]&lt;=25,"Young",IF(Table1[[#This Row],[Age]]&lt;=50,"Adult","Senior"))</f>
        <v>Young</v>
      </c>
      <c r="T1672" s="1">
        <f>Table1[[#This Row],[Purchase Amount (USD)]]</f>
        <v>73</v>
      </c>
      <c r="U1672">
        <f>IF(Table1[[#This Row],[Subscription Status]]="Yes",1,IF(Table1[[#This Row],[Subscription Status]]="No",0))</f>
        <v>0</v>
      </c>
    </row>
    <row r="1673" spans="1:21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  <c r="S1673" t="str">
        <f>IF(Table1[[#This Row],[Age]]&lt;=25,"Young",IF(Table1[[#This Row],[Age]]&lt;=50,"Adult","Senior"))</f>
        <v>Adult</v>
      </c>
      <c r="T1673" s="1">
        <f>Table1[[#This Row],[Purchase Amount (USD)]]</f>
        <v>22</v>
      </c>
      <c r="U1673">
        <f>IF(Table1[[#This Row],[Subscription Status]]="Yes",1,IF(Table1[[#This Row],[Subscription Status]]="No",0))</f>
        <v>0</v>
      </c>
    </row>
    <row r="1674" spans="1:21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  <c r="S1674" t="str">
        <f>IF(Table1[[#This Row],[Age]]&lt;=25,"Young",IF(Table1[[#This Row],[Age]]&lt;=50,"Adult","Senior"))</f>
        <v>Young</v>
      </c>
      <c r="T1674" s="1">
        <f>Table1[[#This Row],[Purchase Amount (USD)]]</f>
        <v>73</v>
      </c>
      <c r="U1674">
        <f>IF(Table1[[#This Row],[Subscription Status]]="Yes",1,IF(Table1[[#This Row],[Subscription Status]]="No",0))</f>
        <v>0</v>
      </c>
    </row>
    <row r="1675" spans="1:21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  <c r="S1675" t="str">
        <f>IF(Table1[[#This Row],[Age]]&lt;=25,"Young",IF(Table1[[#This Row],[Age]]&lt;=50,"Adult","Senior"))</f>
        <v>Young</v>
      </c>
      <c r="T1675" s="1">
        <f>Table1[[#This Row],[Purchase Amount (USD)]]</f>
        <v>62</v>
      </c>
      <c r="U1675">
        <f>IF(Table1[[#This Row],[Subscription Status]]="Yes",1,IF(Table1[[#This Row],[Subscription Status]]="No",0))</f>
        <v>0</v>
      </c>
    </row>
    <row r="1676" spans="1:21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  <c r="S1676" t="str">
        <f>IF(Table1[[#This Row],[Age]]&lt;=25,"Young",IF(Table1[[#This Row],[Age]]&lt;=50,"Adult","Senior"))</f>
        <v>Adult</v>
      </c>
      <c r="T1676" s="1">
        <f>Table1[[#This Row],[Purchase Amount (USD)]]</f>
        <v>56</v>
      </c>
      <c r="U1676">
        <f>IF(Table1[[#This Row],[Subscription Status]]="Yes",1,IF(Table1[[#This Row],[Subscription Status]]="No",0))</f>
        <v>0</v>
      </c>
    </row>
    <row r="1677" spans="1:21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  <c r="S1677" t="str">
        <f>IF(Table1[[#This Row],[Age]]&lt;=25,"Young",IF(Table1[[#This Row],[Age]]&lt;=50,"Adult","Senior"))</f>
        <v>Adult</v>
      </c>
      <c r="T1677" s="1">
        <f>Table1[[#This Row],[Purchase Amount (USD)]]</f>
        <v>90</v>
      </c>
      <c r="U1677">
        <f>IF(Table1[[#This Row],[Subscription Status]]="Yes",1,IF(Table1[[#This Row],[Subscription Status]]="No",0))</f>
        <v>0</v>
      </c>
    </row>
    <row r="1678" spans="1:21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  <c r="S1678" t="str">
        <f>IF(Table1[[#This Row],[Age]]&lt;=25,"Young",IF(Table1[[#This Row],[Age]]&lt;=50,"Adult","Senior"))</f>
        <v>Adult</v>
      </c>
      <c r="T1678" s="1">
        <f>Table1[[#This Row],[Purchase Amount (USD)]]</f>
        <v>44</v>
      </c>
      <c r="U1678">
        <f>IF(Table1[[#This Row],[Subscription Status]]="Yes",1,IF(Table1[[#This Row],[Subscription Status]]="No",0))</f>
        <v>0</v>
      </c>
    </row>
    <row r="1679" spans="1:21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  <c r="S1679" t="str">
        <f>IF(Table1[[#This Row],[Age]]&lt;=25,"Young",IF(Table1[[#This Row],[Age]]&lt;=50,"Adult","Senior"))</f>
        <v>Senior</v>
      </c>
      <c r="T1679" s="1">
        <f>Table1[[#This Row],[Purchase Amount (USD)]]</f>
        <v>35</v>
      </c>
      <c r="U1679">
        <f>IF(Table1[[#This Row],[Subscription Status]]="Yes",1,IF(Table1[[#This Row],[Subscription Status]]="No",0))</f>
        <v>0</v>
      </c>
    </row>
    <row r="1680" spans="1:21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  <c r="S1680" t="str">
        <f>IF(Table1[[#This Row],[Age]]&lt;=25,"Young",IF(Table1[[#This Row],[Age]]&lt;=50,"Adult","Senior"))</f>
        <v>Adult</v>
      </c>
      <c r="T1680" s="1">
        <f>Table1[[#This Row],[Purchase Amount (USD)]]</f>
        <v>71</v>
      </c>
      <c r="U1680">
        <f>IF(Table1[[#This Row],[Subscription Status]]="Yes",1,IF(Table1[[#This Row],[Subscription Status]]="No",0))</f>
        <v>0</v>
      </c>
    </row>
    <row r="1681" spans="1:21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  <c r="S1681" t="str">
        <f>IF(Table1[[#This Row],[Age]]&lt;=25,"Young",IF(Table1[[#This Row],[Age]]&lt;=50,"Adult","Senior"))</f>
        <v>Senior</v>
      </c>
      <c r="T1681" s="1">
        <f>Table1[[#This Row],[Purchase Amount (USD)]]</f>
        <v>52</v>
      </c>
      <c r="U1681">
        <f>IF(Table1[[#This Row],[Subscription Status]]="Yes",1,IF(Table1[[#This Row],[Subscription Status]]="No",0))</f>
        <v>0</v>
      </c>
    </row>
    <row r="1682" spans="1:21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  <c r="S1682" t="str">
        <f>IF(Table1[[#This Row],[Age]]&lt;=25,"Young",IF(Table1[[#This Row],[Age]]&lt;=50,"Adult","Senior"))</f>
        <v>Senior</v>
      </c>
      <c r="T1682" s="1">
        <f>Table1[[#This Row],[Purchase Amount (USD)]]</f>
        <v>37</v>
      </c>
      <c r="U1682">
        <f>IF(Table1[[#This Row],[Subscription Status]]="Yes",1,IF(Table1[[#This Row],[Subscription Status]]="No",0))</f>
        <v>0</v>
      </c>
    </row>
    <row r="1683" spans="1:21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  <c r="S1683" t="str">
        <f>IF(Table1[[#This Row],[Age]]&lt;=25,"Young",IF(Table1[[#This Row],[Age]]&lt;=50,"Adult","Senior"))</f>
        <v>Young</v>
      </c>
      <c r="T1683" s="1">
        <f>Table1[[#This Row],[Purchase Amount (USD)]]</f>
        <v>95</v>
      </c>
      <c r="U1683">
        <f>IF(Table1[[#This Row],[Subscription Status]]="Yes",1,IF(Table1[[#This Row],[Subscription Status]]="No",0))</f>
        <v>0</v>
      </c>
    </row>
    <row r="1684" spans="1:21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  <c r="S1684" t="str">
        <f>IF(Table1[[#This Row],[Age]]&lt;=25,"Young",IF(Table1[[#This Row],[Age]]&lt;=50,"Adult","Senior"))</f>
        <v>Senior</v>
      </c>
      <c r="T1684" s="1">
        <f>Table1[[#This Row],[Purchase Amount (USD)]]</f>
        <v>97</v>
      </c>
      <c r="U1684">
        <f>IF(Table1[[#This Row],[Subscription Status]]="Yes",1,IF(Table1[[#This Row],[Subscription Status]]="No",0))</f>
        <v>0</v>
      </c>
    </row>
    <row r="1685" spans="1:21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  <c r="S1685" t="str">
        <f>IF(Table1[[#This Row],[Age]]&lt;=25,"Young",IF(Table1[[#This Row],[Age]]&lt;=50,"Adult","Senior"))</f>
        <v>Young</v>
      </c>
      <c r="T1685" s="1">
        <f>Table1[[#This Row],[Purchase Amount (USD)]]</f>
        <v>57</v>
      </c>
      <c r="U1685">
        <f>IF(Table1[[#This Row],[Subscription Status]]="Yes",1,IF(Table1[[#This Row],[Subscription Status]]="No",0))</f>
        <v>0</v>
      </c>
    </row>
    <row r="1686" spans="1:21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  <c r="S1686" t="str">
        <f>IF(Table1[[#This Row],[Age]]&lt;=25,"Young",IF(Table1[[#This Row],[Age]]&lt;=50,"Adult","Senior"))</f>
        <v>Adult</v>
      </c>
      <c r="T1686" s="1">
        <f>Table1[[#This Row],[Purchase Amount (USD)]]</f>
        <v>93</v>
      </c>
      <c r="U1686">
        <f>IF(Table1[[#This Row],[Subscription Status]]="Yes",1,IF(Table1[[#This Row],[Subscription Status]]="No",0))</f>
        <v>0</v>
      </c>
    </row>
    <row r="1687" spans="1:21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  <c r="S1687" t="str">
        <f>IF(Table1[[#This Row],[Age]]&lt;=25,"Young",IF(Table1[[#This Row],[Age]]&lt;=50,"Adult","Senior"))</f>
        <v>Adult</v>
      </c>
      <c r="T1687" s="1">
        <f>Table1[[#This Row],[Purchase Amount (USD)]]</f>
        <v>48</v>
      </c>
      <c r="U1687">
        <f>IF(Table1[[#This Row],[Subscription Status]]="Yes",1,IF(Table1[[#This Row],[Subscription Status]]="No",0))</f>
        <v>0</v>
      </c>
    </row>
    <row r="1688" spans="1:21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  <c r="S1688" t="str">
        <f>IF(Table1[[#This Row],[Age]]&lt;=25,"Young",IF(Table1[[#This Row],[Age]]&lt;=50,"Adult","Senior"))</f>
        <v>Young</v>
      </c>
      <c r="T1688" s="1">
        <f>Table1[[#This Row],[Purchase Amount (USD)]]</f>
        <v>75</v>
      </c>
      <c r="U1688">
        <f>IF(Table1[[#This Row],[Subscription Status]]="Yes",1,IF(Table1[[#This Row],[Subscription Status]]="No",0))</f>
        <v>0</v>
      </c>
    </row>
    <row r="1689" spans="1:21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  <c r="S1689" t="str">
        <f>IF(Table1[[#This Row],[Age]]&lt;=25,"Young",IF(Table1[[#This Row],[Age]]&lt;=50,"Adult","Senior"))</f>
        <v>Senior</v>
      </c>
      <c r="T1689" s="1">
        <f>Table1[[#This Row],[Purchase Amount (USD)]]</f>
        <v>70</v>
      </c>
      <c r="U1689">
        <f>IF(Table1[[#This Row],[Subscription Status]]="Yes",1,IF(Table1[[#This Row],[Subscription Status]]="No",0))</f>
        <v>0</v>
      </c>
    </row>
    <row r="1690" spans="1:21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  <c r="S1690" t="str">
        <f>IF(Table1[[#This Row],[Age]]&lt;=25,"Young",IF(Table1[[#This Row],[Age]]&lt;=50,"Adult","Senior"))</f>
        <v>Adult</v>
      </c>
      <c r="T1690" s="1">
        <f>Table1[[#This Row],[Purchase Amount (USD)]]</f>
        <v>26</v>
      </c>
      <c r="U1690">
        <f>IF(Table1[[#This Row],[Subscription Status]]="Yes",1,IF(Table1[[#This Row],[Subscription Status]]="No",0))</f>
        <v>0</v>
      </c>
    </row>
    <row r="1691" spans="1:21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  <c r="S1691" t="str">
        <f>IF(Table1[[#This Row],[Age]]&lt;=25,"Young",IF(Table1[[#This Row],[Age]]&lt;=50,"Adult","Senior"))</f>
        <v>Adult</v>
      </c>
      <c r="T1691" s="1">
        <f>Table1[[#This Row],[Purchase Amount (USD)]]</f>
        <v>73</v>
      </c>
      <c r="U1691">
        <f>IF(Table1[[#This Row],[Subscription Status]]="Yes",1,IF(Table1[[#This Row],[Subscription Status]]="No",0))</f>
        <v>0</v>
      </c>
    </row>
    <row r="1692" spans="1:21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  <c r="S1692" t="str">
        <f>IF(Table1[[#This Row],[Age]]&lt;=25,"Young",IF(Table1[[#This Row],[Age]]&lt;=50,"Adult","Senior"))</f>
        <v>Adult</v>
      </c>
      <c r="T1692" s="1">
        <f>Table1[[#This Row],[Purchase Amount (USD)]]</f>
        <v>30</v>
      </c>
      <c r="U1692">
        <f>IF(Table1[[#This Row],[Subscription Status]]="Yes",1,IF(Table1[[#This Row],[Subscription Status]]="No",0))</f>
        <v>0</v>
      </c>
    </row>
    <row r="1693" spans="1:21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  <c r="S1693" t="str">
        <f>IF(Table1[[#This Row],[Age]]&lt;=25,"Young",IF(Table1[[#This Row],[Age]]&lt;=50,"Adult","Senior"))</f>
        <v>Senior</v>
      </c>
      <c r="T1693" s="1">
        <f>Table1[[#This Row],[Purchase Amount (USD)]]</f>
        <v>61</v>
      </c>
      <c r="U1693">
        <f>IF(Table1[[#This Row],[Subscription Status]]="Yes",1,IF(Table1[[#This Row],[Subscription Status]]="No",0))</f>
        <v>0</v>
      </c>
    </row>
    <row r="1694" spans="1:21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  <c r="S1694" t="str">
        <f>IF(Table1[[#This Row],[Age]]&lt;=25,"Young",IF(Table1[[#This Row],[Age]]&lt;=50,"Adult","Senior"))</f>
        <v>Senior</v>
      </c>
      <c r="T1694" s="1">
        <f>Table1[[#This Row],[Purchase Amount (USD)]]</f>
        <v>75</v>
      </c>
      <c r="U1694">
        <f>IF(Table1[[#This Row],[Subscription Status]]="Yes",1,IF(Table1[[#This Row],[Subscription Status]]="No",0))</f>
        <v>0</v>
      </c>
    </row>
    <row r="1695" spans="1:21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  <c r="S1695" t="str">
        <f>IF(Table1[[#This Row],[Age]]&lt;=25,"Young",IF(Table1[[#This Row],[Age]]&lt;=50,"Adult","Senior"))</f>
        <v>Senior</v>
      </c>
      <c r="T1695" s="1">
        <f>Table1[[#This Row],[Purchase Amount (USD)]]</f>
        <v>88</v>
      </c>
      <c r="U1695">
        <f>IF(Table1[[#This Row],[Subscription Status]]="Yes",1,IF(Table1[[#This Row],[Subscription Status]]="No",0))</f>
        <v>0</v>
      </c>
    </row>
    <row r="1696" spans="1:21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  <c r="S1696" t="str">
        <f>IF(Table1[[#This Row],[Age]]&lt;=25,"Young",IF(Table1[[#This Row],[Age]]&lt;=50,"Adult","Senior"))</f>
        <v>Young</v>
      </c>
      <c r="T1696" s="1">
        <f>Table1[[#This Row],[Purchase Amount (USD)]]</f>
        <v>67</v>
      </c>
      <c r="U1696">
        <f>IF(Table1[[#This Row],[Subscription Status]]="Yes",1,IF(Table1[[#This Row],[Subscription Status]]="No",0))</f>
        <v>0</v>
      </c>
    </row>
    <row r="1697" spans="1:21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  <c r="S1697" t="str">
        <f>IF(Table1[[#This Row],[Age]]&lt;=25,"Young",IF(Table1[[#This Row],[Age]]&lt;=50,"Adult","Senior"))</f>
        <v>Senior</v>
      </c>
      <c r="T1697" s="1">
        <f>Table1[[#This Row],[Purchase Amount (USD)]]</f>
        <v>95</v>
      </c>
      <c r="U1697">
        <f>IF(Table1[[#This Row],[Subscription Status]]="Yes",1,IF(Table1[[#This Row],[Subscription Status]]="No",0))</f>
        <v>0</v>
      </c>
    </row>
    <row r="1698" spans="1:21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  <c r="S1698" t="str">
        <f>IF(Table1[[#This Row],[Age]]&lt;=25,"Young",IF(Table1[[#This Row],[Age]]&lt;=50,"Adult","Senior"))</f>
        <v>Adult</v>
      </c>
      <c r="T1698" s="1">
        <f>Table1[[#This Row],[Purchase Amount (USD)]]</f>
        <v>69</v>
      </c>
      <c r="U1698">
        <f>IF(Table1[[#This Row],[Subscription Status]]="Yes",1,IF(Table1[[#This Row],[Subscription Status]]="No",0))</f>
        <v>0</v>
      </c>
    </row>
    <row r="1699" spans="1:21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  <c r="S1699" t="str">
        <f>IF(Table1[[#This Row],[Age]]&lt;=25,"Young",IF(Table1[[#This Row],[Age]]&lt;=50,"Adult","Senior"))</f>
        <v>Adult</v>
      </c>
      <c r="T1699" s="1">
        <f>Table1[[#This Row],[Purchase Amount (USD)]]</f>
        <v>87</v>
      </c>
      <c r="U1699">
        <f>IF(Table1[[#This Row],[Subscription Status]]="Yes",1,IF(Table1[[#This Row],[Subscription Status]]="No",0))</f>
        <v>0</v>
      </c>
    </row>
    <row r="1700" spans="1:21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  <c r="S1700" t="str">
        <f>IF(Table1[[#This Row],[Age]]&lt;=25,"Young",IF(Table1[[#This Row],[Age]]&lt;=50,"Adult","Senior"))</f>
        <v>Young</v>
      </c>
      <c r="T1700" s="1">
        <f>Table1[[#This Row],[Purchase Amount (USD)]]</f>
        <v>41</v>
      </c>
      <c r="U1700">
        <f>IF(Table1[[#This Row],[Subscription Status]]="Yes",1,IF(Table1[[#This Row],[Subscription Status]]="No",0))</f>
        <v>0</v>
      </c>
    </row>
    <row r="1701" spans="1:21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  <c r="S1701" t="str">
        <f>IF(Table1[[#This Row],[Age]]&lt;=25,"Young",IF(Table1[[#This Row],[Age]]&lt;=50,"Adult","Senior"))</f>
        <v>Young</v>
      </c>
      <c r="T1701" s="1">
        <f>Table1[[#This Row],[Purchase Amount (USD)]]</f>
        <v>67</v>
      </c>
      <c r="U1701">
        <f>IF(Table1[[#This Row],[Subscription Status]]="Yes",1,IF(Table1[[#This Row],[Subscription Status]]="No",0))</f>
        <v>0</v>
      </c>
    </row>
    <row r="1702" spans="1:21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  <c r="S1702" t="str">
        <f>IF(Table1[[#This Row],[Age]]&lt;=25,"Young",IF(Table1[[#This Row],[Age]]&lt;=50,"Adult","Senior"))</f>
        <v>Senior</v>
      </c>
      <c r="T1702" s="1">
        <f>Table1[[#This Row],[Purchase Amount (USD)]]</f>
        <v>70</v>
      </c>
      <c r="U1702">
        <f>IF(Table1[[#This Row],[Subscription Status]]="Yes",1,IF(Table1[[#This Row],[Subscription Status]]="No",0))</f>
        <v>0</v>
      </c>
    </row>
    <row r="1703" spans="1:21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  <c r="S1703" t="str">
        <f>IF(Table1[[#This Row],[Age]]&lt;=25,"Young",IF(Table1[[#This Row],[Age]]&lt;=50,"Adult","Senior"))</f>
        <v>Senior</v>
      </c>
      <c r="T1703" s="1">
        <f>Table1[[#This Row],[Purchase Amount (USD)]]</f>
        <v>41</v>
      </c>
      <c r="U1703">
        <f>IF(Table1[[#This Row],[Subscription Status]]="Yes",1,IF(Table1[[#This Row],[Subscription Status]]="No",0))</f>
        <v>0</v>
      </c>
    </row>
    <row r="1704" spans="1:21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  <c r="S1704" t="str">
        <f>IF(Table1[[#This Row],[Age]]&lt;=25,"Young",IF(Table1[[#This Row],[Age]]&lt;=50,"Adult","Senior"))</f>
        <v>Senior</v>
      </c>
      <c r="T1704" s="1">
        <f>Table1[[#This Row],[Purchase Amount (USD)]]</f>
        <v>83</v>
      </c>
      <c r="U1704">
        <f>IF(Table1[[#This Row],[Subscription Status]]="Yes",1,IF(Table1[[#This Row],[Subscription Status]]="No",0))</f>
        <v>0</v>
      </c>
    </row>
    <row r="1705" spans="1:21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  <c r="S1705" t="str">
        <f>IF(Table1[[#This Row],[Age]]&lt;=25,"Young",IF(Table1[[#This Row],[Age]]&lt;=50,"Adult","Senior"))</f>
        <v>Adult</v>
      </c>
      <c r="T1705" s="1">
        <f>Table1[[#This Row],[Purchase Amount (USD)]]</f>
        <v>22</v>
      </c>
      <c r="U1705">
        <f>IF(Table1[[#This Row],[Subscription Status]]="Yes",1,IF(Table1[[#This Row],[Subscription Status]]="No",0))</f>
        <v>0</v>
      </c>
    </row>
    <row r="1706" spans="1:21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  <c r="S1706" t="str">
        <f>IF(Table1[[#This Row],[Age]]&lt;=25,"Young",IF(Table1[[#This Row],[Age]]&lt;=50,"Adult","Senior"))</f>
        <v>Senior</v>
      </c>
      <c r="T1706" s="1">
        <f>Table1[[#This Row],[Purchase Amount (USD)]]</f>
        <v>20</v>
      </c>
      <c r="U1706">
        <f>IF(Table1[[#This Row],[Subscription Status]]="Yes",1,IF(Table1[[#This Row],[Subscription Status]]="No",0))</f>
        <v>0</v>
      </c>
    </row>
    <row r="1707" spans="1:21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  <c r="S1707" t="str">
        <f>IF(Table1[[#This Row],[Age]]&lt;=25,"Young",IF(Table1[[#This Row],[Age]]&lt;=50,"Adult","Senior"))</f>
        <v>Adult</v>
      </c>
      <c r="T1707" s="1">
        <f>Table1[[#This Row],[Purchase Amount (USD)]]</f>
        <v>29</v>
      </c>
      <c r="U1707">
        <f>IF(Table1[[#This Row],[Subscription Status]]="Yes",1,IF(Table1[[#This Row],[Subscription Status]]="No",0))</f>
        <v>0</v>
      </c>
    </row>
    <row r="1708" spans="1:21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  <c r="S1708" t="str">
        <f>IF(Table1[[#This Row],[Age]]&lt;=25,"Young",IF(Table1[[#This Row],[Age]]&lt;=50,"Adult","Senior"))</f>
        <v>Adult</v>
      </c>
      <c r="T1708" s="1">
        <f>Table1[[#This Row],[Purchase Amount (USD)]]</f>
        <v>87</v>
      </c>
      <c r="U1708">
        <f>IF(Table1[[#This Row],[Subscription Status]]="Yes",1,IF(Table1[[#This Row],[Subscription Status]]="No",0))</f>
        <v>0</v>
      </c>
    </row>
    <row r="1709" spans="1:21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  <c r="S1709" t="str">
        <f>IF(Table1[[#This Row],[Age]]&lt;=25,"Young",IF(Table1[[#This Row],[Age]]&lt;=50,"Adult","Senior"))</f>
        <v>Young</v>
      </c>
      <c r="T1709" s="1">
        <f>Table1[[#This Row],[Purchase Amount (USD)]]</f>
        <v>81</v>
      </c>
      <c r="U1709">
        <f>IF(Table1[[#This Row],[Subscription Status]]="Yes",1,IF(Table1[[#This Row],[Subscription Status]]="No",0))</f>
        <v>0</v>
      </c>
    </row>
    <row r="1710" spans="1:21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  <c r="S1710" t="str">
        <f>IF(Table1[[#This Row],[Age]]&lt;=25,"Young",IF(Table1[[#This Row],[Age]]&lt;=50,"Adult","Senior"))</f>
        <v>Adult</v>
      </c>
      <c r="T1710" s="1">
        <f>Table1[[#This Row],[Purchase Amount (USD)]]</f>
        <v>58</v>
      </c>
      <c r="U1710">
        <f>IF(Table1[[#This Row],[Subscription Status]]="Yes",1,IF(Table1[[#This Row],[Subscription Status]]="No",0))</f>
        <v>0</v>
      </c>
    </row>
    <row r="1711" spans="1:21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  <c r="S1711" t="str">
        <f>IF(Table1[[#This Row],[Age]]&lt;=25,"Young",IF(Table1[[#This Row],[Age]]&lt;=50,"Adult","Senior"))</f>
        <v>Adult</v>
      </c>
      <c r="T1711" s="1">
        <f>Table1[[#This Row],[Purchase Amount (USD)]]</f>
        <v>83</v>
      </c>
      <c r="U1711">
        <f>IF(Table1[[#This Row],[Subscription Status]]="Yes",1,IF(Table1[[#This Row],[Subscription Status]]="No",0))</f>
        <v>0</v>
      </c>
    </row>
    <row r="1712" spans="1:21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  <c r="S1712" t="str">
        <f>IF(Table1[[#This Row],[Age]]&lt;=25,"Young",IF(Table1[[#This Row],[Age]]&lt;=50,"Adult","Senior"))</f>
        <v>Young</v>
      </c>
      <c r="T1712" s="1">
        <f>Table1[[#This Row],[Purchase Amount (USD)]]</f>
        <v>59</v>
      </c>
      <c r="U1712">
        <f>IF(Table1[[#This Row],[Subscription Status]]="Yes",1,IF(Table1[[#This Row],[Subscription Status]]="No",0))</f>
        <v>0</v>
      </c>
    </row>
    <row r="1713" spans="1:21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  <c r="S1713" t="str">
        <f>IF(Table1[[#This Row],[Age]]&lt;=25,"Young",IF(Table1[[#This Row],[Age]]&lt;=50,"Adult","Senior"))</f>
        <v>Young</v>
      </c>
      <c r="T1713" s="1">
        <f>Table1[[#This Row],[Purchase Amount (USD)]]</f>
        <v>93</v>
      </c>
      <c r="U1713">
        <f>IF(Table1[[#This Row],[Subscription Status]]="Yes",1,IF(Table1[[#This Row],[Subscription Status]]="No",0))</f>
        <v>0</v>
      </c>
    </row>
    <row r="1714" spans="1:21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  <c r="S1714" t="str">
        <f>IF(Table1[[#This Row],[Age]]&lt;=25,"Young",IF(Table1[[#This Row],[Age]]&lt;=50,"Adult","Senior"))</f>
        <v>Senior</v>
      </c>
      <c r="T1714" s="1">
        <f>Table1[[#This Row],[Purchase Amount (USD)]]</f>
        <v>87</v>
      </c>
      <c r="U1714">
        <f>IF(Table1[[#This Row],[Subscription Status]]="Yes",1,IF(Table1[[#This Row],[Subscription Status]]="No",0))</f>
        <v>0</v>
      </c>
    </row>
    <row r="1715" spans="1:21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  <c r="S1715" t="str">
        <f>IF(Table1[[#This Row],[Age]]&lt;=25,"Young",IF(Table1[[#This Row],[Age]]&lt;=50,"Adult","Senior"))</f>
        <v>Adult</v>
      </c>
      <c r="T1715" s="1">
        <f>Table1[[#This Row],[Purchase Amount (USD)]]</f>
        <v>22</v>
      </c>
      <c r="U1715">
        <f>IF(Table1[[#This Row],[Subscription Status]]="Yes",1,IF(Table1[[#This Row],[Subscription Status]]="No",0))</f>
        <v>0</v>
      </c>
    </row>
    <row r="1716" spans="1:21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  <c r="S1716" t="str">
        <f>IF(Table1[[#This Row],[Age]]&lt;=25,"Young",IF(Table1[[#This Row],[Age]]&lt;=50,"Adult","Senior"))</f>
        <v>Adult</v>
      </c>
      <c r="T1716" s="1">
        <f>Table1[[#This Row],[Purchase Amount (USD)]]</f>
        <v>71</v>
      </c>
      <c r="U1716">
        <f>IF(Table1[[#This Row],[Subscription Status]]="Yes",1,IF(Table1[[#This Row],[Subscription Status]]="No",0))</f>
        <v>0</v>
      </c>
    </row>
    <row r="1717" spans="1:21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  <c r="S1717" t="str">
        <f>IF(Table1[[#This Row],[Age]]&lt;=25,"Young",IF(Table1[[#This Row],[Age]]&lt;=50,"Adult","Senior"))</f>
        <v>Young</v>
      </c>
      <c r="T1717" s="1">
        <f>Table1[[#This Row],[Purchase Amount (USD)]]</f>
        <v>69</v>
      </c>
      <c r="U1717">
        <f>IF(Table1[[#This Row],[Subscription Status]]="Yes",1,IF(Table1[[#This Row],[Subscription Status]]="No",0))</f>
        <v>0</v>
      </c>
    </row>
    <row r="1718" spans="1:21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  <c r="S1718" t="str">
        <f>IF(Table1[[#This Row],[Age]]&lt;=25,"Young",IF(Table1[[#This Row],[Age]]&lt;=50,"Adult","Senior"))</f>
        <v>Senior</v>
      </c>
      <c r="T1718" s="1">
        <f>Table1[[#This Row],[Purchase Amount (USD)]]</f>
        <v>47</v>
      </c>
      <c r="U1718">
        <f>IF(Table1[[#This Row],[Subscription Status]]="Yes",1,IF(Table1[[#This Row],[Subscription Status]]="No",0))</f>
        <v>0</v>
      </c>
    </row>
    <row r="1719" spans="1:21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  <c r="S1719" t="str">
        <f>IF(Table1[[#This Row],[Age]]&lt;=25,"Young",IF(Table1[[#This Row],[Age]]&lt;=50,"Adult","Senior"))</f>
        <v>Adult</v>
      </c>
      <c r="T1719" s="1">
        <f>Table1[[#This Row],[Purchase Amount (USD)]]</f>
        <v>50</v>
      </c>
      <c r="U1719">
        <f>IF(Table1[[#This Row],[Subscription Status]]="Yes",1,IF(Table1[[#This Row],[Subscription Status]]="No",0))</f>
        <v>0</v>
      </c>
    </row>
    <row r="1720" spans="1:21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  <c r="S1720" t="str">
        <f>IF(Table1[[#This Row],[Age]]&lt;=25,"Young",IF(Table1[[#This Row],[Age]]&lt;=50,"Adult","Senior"))</f>
        <v>Senior</v>
      </c>
      <c r="T1720" s="1">
        <f>Table1[[#This Row],[Purchase Amount (USD)]]</f>
        <v>96</v>
      </c>
      <c r="U1720">
        <f>IF(Table1[[#This Row],[Subscription Status]]="Yes",1,IF(Table1[[#This Row],[Subscription Status]]="No",0))</f>
        <v>0</v>
      </c>
    </row>
    <row r="1721" spans="1:21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  <c r="S1721" t="str">
        <f>IF(Table1[[#This Row],[Age]]&lt;=25,"Young",IF(Table1[[#This Row],[Age]]&lt;=50,"Adult","Senior"))</f>
        <v>Adult</v>
      </c>
      <c r="T1721" s="1">
        <f>Table1[[#This Row],[Purchase Amount (USD)]]</f>
        <v>39</v>
      </c>
      <c r="U1721">
        <f>IF(Table1[[#This Row],[Subscription Status]]="Yes",1,IF(Table1[[#This Row],[Subscription Status]]="No",0))</f>
        <v>0</v>
      </c>
    </row>
    <row r="1722" spans="1:21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  <c r="S1722" t="str">
        <f>IF(Table1[[#This Row],[Age]]&lt;=25,"Young",IF(Table1[[#This Row],[Age]]&lt;=50,"Adult","Senior"))</f>
        <v>Young</v>
      </c>
      <c r="T1722" s="1">
        <f>Table1[[#This Row],[Purchase Amount (USD)]]</f>
        <v>84</v>
      </c>
      <c r="U1722">
        <f>IF(Table1[[#This Row],[Subscription Status]]="Yes",1,IF(Table1[[#This Row],[Subscription Status]]="No",0))</f>
        <v>0</v>
      </c>
    </row>
    <row r="1723" spans="1:21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  <c r="S1723" t="str">
        <f>IF(Table1[[#This Row],[Age]]&lt;=25,"Young",IF(Table1[[#This Row],[Age]]&lt;=50,"Adult","Senior"))</f>
        <v>Adult</v>
      </c>
      <c r="T1723" s="1">
        <f>Table1[[#This Row],[Purchase Amount (USD)]]</f>
        <v>28</v>
      </c>
      <c r="U1723">
        <f>IF(Table1[[#This Row],[Subscription Status]]="Yes",1,IF(Table1[[#This Row],[Subscription Status]]="No",0))</f>
        <v>0</v>
      </c>
    </row>
    <row r="1724" spans="1:21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  <c r="S1724" t="str">
        <f>IF(Table1[[#This Row],[Age]]&lt;=25,"Young",IF(Table1[[#This Row],[Age]]&lt;=50,"Adult","Senior"))</f>
        <v>Adult</v>
      </c>
      <c r="T1724" s="1">
        <f>Table1[[#This Row],[Purchase Amount (USD)]]</f>
        <v>51</v>
      </c>
      <c r="U1724">
        <f>IF(Table1[[#This Row],[Subscription Status]]="Yes",1,IF(Table1[[#This Row],[Subscription Status]]="No",0))</f>
        <v>0</v>
      </c>
    </row>
    <row r="1725" spans="1:21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  <c r="S1725" t="str">
        <f>IF(Table1[[#This Row],[Age]]&lt;=25,"Young",IF(Table1[[#This Row],[Age]]&lt;=50,"Adult","Senior"))</f>
        <v>Senior</v>
      </c>
      <c r="T1725" s="1">
        <f>Table1[[#This Row],[Purchase Amount (USD)]]</f>
        <v>20</v>
      </c>
      <c r="U1725">
        <f>IF(Table1[[#This Row],[Subscription Status]]="Yes",1,IF(Table1[[#This Row],[Subscription Status]]="No",0))</f>
        <v>0</v>
      </c>
    </row>
    <row r="1726" spans="1:21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  <c r="S1726" t="str">
        <f>IF(Table1[[#This Row],[Age]]&lt;=25,"Young",IF(Table1[[#This Row],[Age]]&lt;=50,"Adult","Senior"))</f>
        <v>Adult</v>
      </c>
      <c r="T1726" s="1">
        <f>Table1[[#This Row],[Purchase Amount (USD)]]</f>
        <v>72</v>
      </c>
      <c r="U1726">
        <f>IF(Table1[[#This Row],[Subscription Status]]="Yes",1,IF(Table1[[#This Row],[Subscription Status]]="No",0))</f>
        <v>0</v>
      </c>
    </row>
    <row r="1727" spans="1:21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  <c r="S1727" t="str">
        <f>IF(Table1[[#This Row],[Age]]&lt;=25,"Young",IF(Table1[[#This Row],[Age]]&lt;=50,"Adult","Senior"))</f>
        <v>Adult</v>
      </c>
      <c r="T1727" s="1">
        <f>Table1[[#This Row],[Purchase Amount (USD)]]</f>
        <v>33</v>
      </c>
      <c r="U1727">
        <f>IF(Table1[[#This Row],[Subscription Status]]="Yes",1,IF(Table1[[#This Row],[Subscription Status]]="No",0))</f>
        <v>0</v>
      </c>
    </row>
    <row r="1728" spans="1:21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  <c r="S1728" t="str">
        <f>IF(Table1[[#This Row],[Age]]&lt;=25,"Young",IF(Table1[[#This Row],[Age]]&lt;=50,"Adult","Senior"))</f>
        <v>Senior</v>
      </c>
      <c r="T1728" s="1">
        <f>Table1[[#This Row],[Purchase Amount (USD)]]</f>
        <v>28</v>
      </c>
      <c r="U1728">
        <f>IF(Table1[[#This Row],[Subscription Status]]="Yes",1,IF(Table1[[#This Row],[Subscription Status]]="No",0))</f>
        <v>0</v>
      </c>
    </row>
    <row r="1729" spans="1:21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  <c r="S1729" t="str">
        <f>IF(Table1[[#This Row],[Age]]&lt;=25,"Young",IF(Table1[[#This Row],[Age]]&lt;=50,"Adult","Senior"))</f>
        <v>Adult</v>
      </c>
      <c r="T1729" s="1">
        <f>Table1[[#This Row],[Purchase Amount (USD)]]</f>
        <v>53</v>
      </c>
      <c r="U1729">
        <f>IF(Table1[[#This Row],[Subscription Status]]="Yes",1,IF(Table1[[#This Row],[Subscription Status]]="No",0))</f>
        <v>0</v>
      </c>
    </row>
    <row r="1730" spans="1:21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  <c r="S1730" t="str">
        <f>IF(Table1[[#This Row],[Age]]&lt;=25,"Young",IF(Table1[[#This Row],[Age]]&lt;=50,"Adult","Senior"))</f>
        <v>Young</v>
      </c>
      <c r="T1730" s="1">
        <f>Table1[[#This Row],[Purchase Amount (USD)]]</f>
        <v>48</v>
      </c>
      <c r="U1730">
        <f>IF(Table1[[#This Row],[Subscription Status]]="Yes",1,IF(Table1[[#This Row],[Subscription Status]]="No",0))</f>
        <v>0</v>
      </c>
    </row>
    <row r="1731" spans="1:21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  <c r="S1731" t="str">
        <f>IF(Table1[[#This Row],[Age]]&lt;=25,"Young",IF(Table1[[#This Row],[Age]]&lt;=50,"Adult","Senior"))</f>
        <v>Adult</v>
      </c>
      <c r="T1731" s="1">
        <f>Table1[[#This Row],[Purchase Amount (USD)]]</f>
        <v>21</v>
      </c>
      <c r="U1731">
        <f>IF(Table1[[#This Row],[Subscription Status]]="Yes",1,IF(Table1[[#This Row],[Subscription Status]]="No",0))</f>
        <v>0</v>
      </c>
    </row>
    <row r="1732" spans="1:21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  <c r="S1732" t="str">
        <f>IF(Table1[[#This Row],[Age]]&lt;=25,"Young",IF(Table1[[#This Row],[Age]]&lt;=50,"Adult","Senior"))</f>
        <v>Young</v>
      </c>
      <c r="T1732" s="1">
        <f>Table1[[#This Row],[Purchase Amount (USD)]]</f>
        <v>22</v>
      </c>
      <c r="U1732">
        <f>IF(Table1[[#This Row],[Subscription Status]]="Yes",1,IF(Table1[[#This Row],[Subscription Status]]="No",0))</f>
        <v>0</v>
      </c>
    </row>
    <row r="1733" spans="1:21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  <c r="S1733" t="str">
        <f>IF(Table1[[#This Row],[Age]]&lt;=25,"Young",IF(Table1[[#This Row],[Age]]&lt;=50,"Adult","Senior"))</f>
        <v>Young</v>
      </c>
      <c r="T1733" s="1">
        <f>Table1[[#This Row],[Purchase Amount (USD)]]</f>
        <v>87</v>
      </c>
      <c r="U1733">
        <f>IF(Table1[[#This Row],[Subscription Status]]="Yes",1,IF(Table1[[#This Row],[Subscription Status]]="No",0))</f>
        <v>0</v>
      </c>
    </row>
    <row r="1734" spans="1:21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  <c r="S1734" t="str">
        <f>IF(Table1[[#This Row],[Age]]&lt;=25,"Young",IF(Table1[[#This Row],[Age]]&lt;=50,"Adult","Senior"))</f>
        <v>Adult</v>
      </c>
      <c r="T1734" s="1">
        <f>Table1[[#This Row],[Purchase Amount (USD)]]</f>
        <v>50</v>
      </c>
      <c r="U1734">
        <f>IF(Table1[[#This Row],[Subscription Status]]="Yes",1,IF(Table1[[#This Row],[Subscription Status]]="No",0))</f>
        <v>0</v>
      </c>
    </row>
    <row r="1735" spans="1:21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  <c r="S1735" t="str">
        <f>IF(Table1[[#This Row],[Age]]&lt;=25,"Young",IF(Table1[[#This Row],[Age]]&lt;=50,"Adult","Senior"))</f>
        <v>Senior</v>
      </c>
      <c r="T1735" s="1">
        <f>Table1[[#This Row],[Purchase Amount (USD)]]</f>
        <v>85</v>
      </c>
      <c r="U1735">
        <f>IF(Table1[[#This Row],[Subscription Status]]="Yes",1,IF(Table1[[#This Row],[Subscription Status]]="No",0))</f>
        <v>0</v>
      </c>
    </row>
    <row r="1736" spans="1:21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  <c r="S1736" t="str">
        <f>IF(Table1[[#This Row],[Age]]&lt;=25,"Young",IF(Table1[[#This Row],[Age]]&lt;=50,"Adult","Senior"))</f>
        <v>Adult</v>
      </c>
      <c r="T1736" s="1">
        <f>Table1[[#This Row],[Purchase Amount (USD)]]</f>
        <v>98</v>
      </c>
      <c r="U1736">
        <f>IF(Table1[[#This Row],[Subscription Status]]="Yes",1,IF(Table1[[#This Row],[Subscription Status]]="No",0))</f>
        <v>0</v>
      </c>
    </row>
    <row r="1737" spans="1:21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  <c r="S1737" t="str">
        <f>IF(Table1[[#This Row],[Age]]&lt;=25,"Young",IF(Table1[[#This Row],[Age]]&lt;=50,"Adult","Senior"))</f>
        <v>Senior</v>
      </c>
      <c r="T1737" s="1">
        <f>Table1[[#This Row],[Purchase Amount (USD)]]</f>
        <v>34</v>
      </c>
      <c r="U1737">
        <f>IF(Table1[[#This Row],[Subscription Status]]="Yes",1,IF(Table1[[#This Row],[Subscription Status]]="No",0))</f>
        <v>0</v>
      </c>
    </row>
    <row r="1738" spans="1:21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  <c r="S1738" t="str">
        <f>IF(Table1[[#This Row],[Age]]&lt;=25,"Young",IF(Table1[[#This Row],[Age]]&lt;=50,"Adult","Senior"))</f>
        <v>Senior</v>
      </c>
      <c r="T1738" s="1">
        <f>Table1[[#This Row],[Purchase Amount (USD)]]</f>
        <v>61</v>
      </c>
      <c r="U1738">
        <f>IF(Table1[[#This Row],[Subscription Status]]="Yes",1,IF(Table1[[#This Row],[Subscription Status]]="No",0))</f>
        <v>0</v>
      </c>
    </row>
    <row r="1739" spans="1:21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  <c r="S1739" t="str">
        <f>IF(Table1[[#This Row],[Age]]&lt;=25,"Young",IF(Table1[[#This Row],[Age]]&lt;=50,"Adult","Senior"))</f>
        <v>Adult</v>
      </c>
      <c r="T1739" s="1">
        <f>Table1[[#This Row],[Purchase Amount (USD)]]</f>
        <v>98</v>
      </c>
      <c r="U1739">
        <f>IF(Table1[[#This Row],[Subscription Status]]="Yes",1,IF(Table1[[#This Row],[Subscription Status]]="No",0))</f>
        <v>0</v>
      </c>
    </row>
    <row r="1740" spans="1:21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  <c r="S1740" t="str">
        <f>IF(Table1[[#This Row],[Age]]&lt;=25,"Young",IF(Table1[[#This Row],[Age]]&lt;=50,"Adult","Senior"))</f>
        <v>Senior</v>
      </c>
      <c r="T1740" s="1">
        <f>Table1[[#This Row],[Purchase Amount (USD)]]</f>
        <v>61</v>
      </c>
      <c r="U1740">
        <f>IF(Table1[[#This Row],[Subscription Status]]="Yes",1,IF(Table1[[#This Row],[Subscription Status]]="No",0))</f>
        <v>0</v>
      </c>
    </row>
    <row r="1741" spans="1:21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  <c r="S1741" t="str">
        <f>IF(Table1[[#This Row],[Age]]&lt;=25,"Young",IF(Table1[[#This Row],[Age]]&lt;=50,"Adult","Senior"))</f>
        <v>Young</v>
      </c>
      <c r="T1741" s="1">
        <f>Table1[[#This Row],[Purchase Amount (USD)]]</f>
        <v>98</v>
      </c>
      <c r="U1741">
        <f>IF(Table1[[#This Row],[Subscription Status]]="Yes",1,IF(Table1[[#This Row],[Subscription Status]]="No",0))</f>
        <v>0</v>
      </c>
    </row>
    <row r="1742" spans="1:21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  <c r="S1742" t="str">
        <f>IF(Table1[[#This Row],[Age]]&lt;=25,"Young",IF(Table1[[#This Row],[Age]]&lt;=50,"Adult","Senior"))</f>
        <v>Senior</v>
      </c>
      <c r="T1742" s="1">
        <f>Table1[[#This Row],[Purchase Amount (USD)]]</f>
        <v>21</v>
      </c>
      <c r="U1742">
        <f>IF(Table1[[#This Row],[Subscription Status]]="Yes",1,IF(Table1[[#This Row],[Subscription Status]]="No",0))</f>
        <v>0</v>
      </c>
    </row>
    <row r="1743" spans="1:21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  <c r="S1743" t="str">
        <f>IF(Table1[[#This Row],[Age]]&lt;=25,"Young",IF(Table1[[#This Row],[Age]]&lt;=50,"Adult","Senior"))</f>
        <v>Adult</v>
      </c>
      <c r="T1743" s="1">
        <f>Table1[[#This Row],[Purchase Amount (USD)]]</f>
        <v>51</v>
      </c>
      <c r="U1743">
        <f>IF(Table1[[#This Row],[Subscription Status]]="Yes",1,IF(Table1[[#This Row],[Subscription Status]]="No",0))</f>
        <v>0</v>
      </c>
    </row>
    <row r="1744" spans="1:21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  <c r="S1744" t="str">
        <f>IF(Table1[[#This Row],[Age]]&lt;=25,"Young",IF(Table1[[#This Row],[Age]]&lt;=50,"Adult","Senior"))</f>
        <v>Senior</v>
      </c>
      <c r="T1744" s="1">
        <f>Table1[[#This Row],[Purchase Amount (USD)]]</f>
        <v>80</v>
      </c>
      <c r="U1744">
        <f>IF(Table1[[#This Row],[Subscription Status]]="Yes",1,IF(Table1[[#This Row],[Subscription Status]]="No",0))</f>
        <v>0</v>
      </c>
    </row>
    <row r="1745" spans="1:21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  <c r="S1745" t="str">
        <f>IF(Table1[[#This Row],[Age]]&lt;=25,"Young",IF(Table1[[#This Row],[Age]]&lt;=50,"Adult","Senior"))</f>
        <v>Young</v>
      </c>
      <c r="T1745" s="1">
        <f>Table1[[#This Row],[Purchase Amount (USD)]]</f>
        <v>72</v>
      </c>
      <c r="U1745">
        <f>IF(Table1[[#This Row],[Subscription Status]]="Yes",1,IF(Table1[[#This Row],[Subscription Status]]="No",0))</f>
        <v>0</v>
      </c>
    </row>
    <row r="1746" spans="1:21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  <c r="S1746" t="str">
        <f>IF(Table1[[#This Row],[Age]]&lt;=25,"Young",IF(Table1[[#This Row],[Age]]&lt;=50,"Adult","Senior"))</f>
        <v>Senior</v>
      </c>
      <c r="T1746" s="1">
        <f>Table1[[#This Row],[Purchase Amount (USD)]]</f>
        <v>63</v>
      </c>
      <c r="U1746">
        <f>IF(Table1[[#This Row],[Subscription Status]]="Yes",1,IF(Table1[[#This Row],[Subscription Status]]="No",0))</f>
        <v>0</v>
      </c>
    </row>
    <row r="1747" spans="1:21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  <c r="S1747" t="str">
        <f>IF(Table1[[#This Row],[Age]]&lt;=25,"Young",IF(Table1[[#This Row],[Age]]&lt;=50,"Adult","Senior"))</f>
        <v>Adult</v>
      </c>
      <c r="T1747" s="1">
        <f>Table1[[#This Row],[Purchase Amount (USD)]]</f>
        <v>27</v>
      </c>
      <c r="U1747">
        <f>IF(Table1[[#This Row],[Subscription Status]]="Yes",1,IF(Table1[[#This Row],[Subscription Status]]="No",0))</f>
        <v>0</v>
      </c>
    </row>
    <row r="1748" spans="1:21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  <c r="S1748" t="str">
        <f>IF(Table1[[#This Row],[Age]]&lt;=25,"Young",IF(Table1[[#This Row],[Age]]&lt;=50,"Adult","Senior"))</f>
        <v>Senior</v>
      </c>
      <c r="T1748" s="1">
        <f>Table1[[#This Row],[Purchase Amount (USD)]]</f>
        <v>44</v>
      </c>
      <c r="U1748">
        <f>IF(Table1[[#This Row],[Subscription Status]]="Yes",1,IF(Table1[[#This Row],[Subscription Status]]="No",0))</f>
        <v>0</v>
      </c>
    </row>
    <row r="1749" spans="1:21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  <c r="S1749" t="str">
        <f>IF(Table1[[#This Row],[Age]]&lt;=25,"Young",IF(Table1[[#This Row],[Age]]&lt;=50,"Adult","Senior"))</f>
        <v>Senior</v>
      </c>
      <c r="T1749" s="1">
        <f>Table1[[#This Row],[Purchase Amount (USD)]]</f>
        <v>23</v>
      </c>
      <c r="U1749">
        <f>IF(Table1[[#This Row],[Subscription Status]]="Yes",1,IF(Table1[[#This Row],[Subscription Status]]="No",0))</f>
        <v>0</v>
      </c>
    </row>
    <row r="1750" spans="1:21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  <c r="S1750" t="str">
        <f>IF(Table1[[#This Row],[Age]]&lt;=25,"Young",IF(Table1[[#This Row],[Age]]&lt;=50,"Adult","Senior"))</f>
        <v>Adult</v>
      </c>
      <c r="T1750" s="1">
        <f>Table1[[#This Row],[Purchase Amount (USD)]]</f>
        <v>93</v>
      </c>
      <c r="U1750">
        <f>IF(Table1[[#This Row],[Subscription Status]]="Yes",1,IF(Table1[[#This Row],[Subscription Status]]="No",0))</f>
        <v>0</v>
      </c>
    </row>
    <row r="1751" spans="1:21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  <c r="S1751" t="str">
        <f>IF(Table1[[#This Row],[Age]]&lt;=25,"Young",IF(Table1[[#This Row],[Age]]&lt;=50,"Adult","Senior"))</f>
        <v>Adult</v>
      </c>
      <c r="T1751" s="1">
        <f>Table1[[#This Row],[Purchase Amount (USD)]]</f>
        <v>70</v>
      </c>
      <c r="U1751">
        <f>IF(Table1[[#This Row],[Subscription Status]]="Yes",1,IF(Table1[[#This Row],[Subscription Status]]="No",0))</f>
        <v>0</v>
      </c>
    </row>
    <row r="1752" spans="1:21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  <c r="S1752" t="str">
        <f>IF(Table1[[#This Row],[Age]]&lt;=25,"Young",IF(Table1[[#This Row],[Age]]&lt;=50,"Adult","Senior"))</f>
        <v>Adult</v>
      </c>
      <c r="T1752" s="1">
        <f>Table1[[#This Row],[Purchase Amount (USD)]]</f>
        <v>85</v>
      </c>
      <c r="U1752">
        <f>IF(Table1[[#This Row],[Subscription Status]]="Yes",1,IF(Table1[[#This Row],[Subscription Status]]="No",0))</f>
        <v>0</v>
      </c>
    </row>
    <row r="1753" spans="1:21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  <c r="S1753" t="str">
        <f>IF(Table1[[#This Row],[Age]]&lt;=25,"Young",IF(Table1[[#This Row],[Age]]&lt;=50,"Adult","Senior"))</f>
        <v>Senior</v>
      </c>
      <c r="T1753" s="1">
        <f>Table1[[#This Row],[Purchase Amount (USD)]]</f>
        <v>40</v>
      </c>
      <c r="U1753">
        <f>IF(Table1[[#This Row],[Subscription Status]]="Yes",1,IF(Table1[[#This Row],[Subscription Status]]="No",0))</f>
        <v>0</v>
      </c>
    </row>
    <row r="1754" spans="1:21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  <c r="S1754" t="str">
        <f>IF(Table1[[#This Row],[Age]]&lt;=25,"Young",IF(Table1[[#This Row],[Age]]&lt;=50,"Adult","Senior"))</f>
        <v>Adult</v>
      </c>
      <c r="T1754" s="1">
        <f>Table1[[#This Row],[Purchase Amount (USD)]]</f>
        <v>29</v>
      </c>
      <c r="U1754">
        <f>IF(Table1[[#This Row],[Subscription Status]]="Yes",1,IF(Table1[[#This Row],[Subscription Status]]="No",0))</f>
        <v>0</v>
      </c>
    </row>
    <row r="1755" spans="1:21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  <c r="S1755" t="str">
        <f>IF(Table1[[#This Row],[Age]]&lt;=25,"Young",IF(Table1[[#This Row],[Age]]&lt;=50,"Adult","Senior"))</f>
        <v>Young</v>
      </c>
      <c r="T1755" s="1">
        <f>Table1[[#This Row],[Purchase Amount (USD)]]</f>
        <v>27</v>
      </c>
      <c r="U1755">
        <f>IF(Table1[[#This Row],[Subscription Status]]="Yes",1,IF(Table1[[#This Row],[Subscription Status]]="No",0))</f>
        <v>0</v>
      </c>
    </row>
    <row r="1756" spans="1:21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  <c r="S1756" t="str">
        <f>IF(Table1[[#This Row],[Age]]&lt;=25,"Young",IF(Table1[[#This Row],[Age]]&lt;=50,"Adult","Senior"))</f>
        <v>Senior</v>
      </c>
      <c r="T1756" s="1">
        <f>Table1[[#This Row],[Purchase Amount (USD)]]</f>
        <v>93</v>
      </c>
      <c r="U1756">
        <f>IF(Table1[[#This Row],[Subscription Status]]="Yes",1,IF(Table1[[#This Row],[Subscription Status]]="No",0))</f>
        <v>0</v>
      </c>
    </row>
    <row r="1757" spans="1:21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  <c r="S1757" t="str">
        <f>IF(Table1[[#This Row],[Age]]&lt;=25,"Young",IF(Table1[[#This Row],[Age]]&lt;=50,"Adult","Senior"))</f>
        <v>Senior</v>
      </c>
      <c r="T1757" s="1">
        <f>Table1[[#This Row],[Purchase Amount (USD)]]</f>
        <v>20</v>
      </c>
      <c r="U1757">
        <f>IF(Table1[[#This Row],[Subscription Status]]="Yes",1,IF(Table1[[#This Row],[Subscription Status]]="No",0))</f>
        <v>0</v>
      </c>
    </row>
    <row r="1758" spans="1:21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  <c r="S1758" t="str">
        <f>IF(Table1[[#This Row],[Age]]&lt;=25,"Young",IF(Table1[[#This Row],[Age]]&lt;=50,"Adult","Senior"))</f>
        <v>Adult</v>
      </c>
      <c r="T1758" s="1">
        <f>Table1[[#This Row],[Purchase Amount (USD)]]</f>
        <v>55</v>
      </c>
      <c r="U1758">
        <f>IF(Table1[[#This Row],[Subscription Status]]="Yes",1,IF(Table1[[#This Row],[Subscription Status]]="No",0))</f>
        <v>0</v>
      </c>
    </row>
    <row r="1759" spans="1:21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  <c r="S1759" t="str">
        <f>IF(Table1[[#This Row],[Age]]&lt;=25,"Young",IF(Table1[[#This Row],[Age]]&lt;=50,"Adult","Senior"))</f>
        <v>Young</v>
      </c>
      <c r="T1759" s="1">
        <f>Table1[[#This Row],[Purchase Amount (USD)]]</f>
        <v>94</v>
      </c>
      <c r="U1759">
        <f>IF(Table1[[#This Row],[Subscription Status]]="Yes",1,IF(Table1[[#This Row],[Subscription Status]]="No",0))</f>
        <v>0</v>
      </c>
    </row>
    <row r="1760" spans="1:21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  <c r="S1760" t="str">
        <f>IF(Table1[[#This Row],[Age]]&lt;=25,"Young",IF(Table1[[#This Row],[Age]]&lt;=50,"Adult","Senior"))</f>
        <v>Adult</v>
      </c>
      <c r="T1760" s="1">
        <f>Table1[[#This Row],[Purchase Amount (USD)]]</f>
        <v>56</v>
      </c>
      <c r="U1760">
        <f>IF(Table1[[#This Row],[Subscription Status]]="Yes",1,IF(Table1[[#This Row],[Subscription Status]]="No",0))</f>
        <v>0</v>
      </c>
    </row>
    <row r="1761" spans="1:21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  <c r="S1761" t="str">
        <f>IF(Table1[[#This Row],[Age]]&lt;=25,"Young",IF(Table1[[#This Row],[Age]]&lt;=50,"Adult","Senior"))</f>
        <v>Senior</v>
      </c>
      <c r="T1761" s="1">
        <f>Table1[[#This Row],[Purchase Amount (USD)]]</f>
        <v>58</v>
      </c>
      <c r="U1761">
        <f>IF(Table1[[#This Row],[Subscription Status]]="Yes",1,IF(Table1[[#This Row],[Subscription Status]]="No",0))</f>
        <v>0</v>
      </c>
    </row>
    <row r="1762" spans="1:21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  <c r="S1762" t="str">
        <f>IF(Table1[[#This Row],[Age]]&lt;=25,"Young",IF(Table1[[#This Row],[Age]]&lt;=50,"Adult","Senior"))</f>
        <v>Young</v>
      </c>
      <c r="T1762" s="1">
        <f>Table1[[#This Row],[Purchase Amount (USD)]]</f>
        <v>44</v>
      </c>
      <c r="U1762">
        <f>IF(Table1[[#This Row],[Subscription Status]]="Yes",1,IF(Table1[[#This Row],[Subscription Status]]="No",0))</f>
        <v>0</v>
      </c>
    </row>
    <row r="1763" spans="1:21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  <c r="S1763" t="str">
        <f>IF(Table1[[#This Row],[Age]]&lt;=25,"Young",IF(Table1[[#This Row],[Age]]&lt;=50,"Adult","Senior"))</f>
        <v>Young</v>
      </c>
      <c r="T1763" s="1">
        <f>Table1[[#This Row],[Purchase Amount (USD)]]</f>
        <v>95</v>
      </c>
      <c r="U1763">
        <f>IF(Table1[[#This Row],[Subscription Status]]="Yes",1,IF(Table1[[#This Row],[Subscription Status]]="No",0))</f>
        <v>0</v>
      </c>
    </row>
    <row r="1764" spans="1:21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  <c r="S1764" t="str">
        <f>IF(Table1[[#This Row],[Age]]&lt;=25,"Young",IF(Table1[[#This Row],[Age]]&lt;=50,"Adult","Senior"))</f>
        <v>Adult</v>
      </c>
      <c r="T1764" s="1">
        <f>Table1[[#This Row],[Purchase Amount (USD)]]</f>
        <v>42</v>
      </c>
      <c r="U1764">
        <f>IF(Table1[[#This Row],[Subscription Status]]="Yes",1,IF(Table1[[#This Row],[Subscription Status]]="No",0))</f>
        <v>0</v>
      </c>
    </row>
    <row r="1765" spans="1:21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  <c r="S1765" t="str">
        <f>IF(Table1[[#This Row],[Age]]&lt;=25,"Young",IF(Table1[[#This Row],[Age]]&lt;=50,"Adult","Senior"))</f>
        <v>Adult</v>
      </c>
      <c r="T1765" s="1">
        <f>Table1[[#This Row],[Purchase Amount (USD)]]</f>
        <v>93</v>
      </c>
      <c r="U1765">
        <f>IF(Table1[[#This Row],[Subscription Status]]="Yes",1,IF(Table1[[#This Row],[Subscription Status]]="No",0))</f>
        <v>0</v>
      </c>
    </row>
    <row r="1766" spans="1:21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  <c r="S1766" t="str">
        <f>IF(Table1[[#This Row],[Age]]&lt;=25,"Young",IF(Table1[[#This Row],[Age]]&lt;=50,"Adult","Senior"))</f>
        <v>Senior</v>
      </c>
      <c r="T1766" s="1">
        <f>Table1[[#This Row],[Purchase Amount (USD)]]</f>
        <v>56</v>
      </c>
      <c r="U1766">
        <f>IF(Table1[[#This Row],[Subscription Status]]="Yes",1,IF(Table1[[#This Row],[Subscription Status]]="No",0))</f>
        <v>0</v>
      </c>
    </row>
    <row r="1767" spans="1:21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  <c r="S1767" t="str">
        <f>IF(Table1[[#This Row],[Age]]&lt;=25,"Young",IF(Table1[[#This Row],[Age]]&lt;=50,"Adult","Senior"))</f>
        <v>Senior</v>
      </c>
      <c r="T1767" s="1">
        <f>Table1[[#This Row],[Purchase Amount (USD)]]</f>
        <v>88</v>
      </c>
      <c r="U1767">
        <f>IF(Table1[[#This Row],[Subscription Status]]="Yes",1,IF(Table1[[#This Row],[Subscription Status]]="No",0))</f>
        <v>0</v>
      </c>
    </row>
    <row r="1768" spans="1:21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  <c r="S1768" t="str">
        <f>IF(Table1[[#This Row],[Age]]&lt;=25,"Young",IF(Table1[[#This Row],[Age]]&lt;=50,"Adult","Senior"))</f>
        <v>Senior</v>
      </c>
      <c r="T1768" s="1">
        <f>Table1[[#This Row],[Purchase Amount (USD)]]</f>
        <v>54</v>
      </c>
      <c r="U1768">
        <f>IF(Table1[[#This Row],[Subscription Status]]="Yes",1,IF(Table1[[#This Row],[Subscription Status]]="No",0))</f>
        <v>0</v>
      </c>
    </row>
    <row r="1769" spans="1:21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  <c r="S1769" t="str">
        <f>IF(Table1[[#This Row],[Age]]&lt;=25,"Young",IF(Table1[[#This Row],[Age]]&lt;=50,"Adult","Senior"))</f>
        <v>Senior</v>
      </c>
      <c r="T1769" s="1">
        <f>Table1[[#This Row],[Purchase Amount (USD)]]</f>
        <v>89</v>
      </c>
      <c r="U1769">
        <f>IF(Table1[[#This Row],[Subscription Status]]="Yes",1,IF(Table1[[#This Row],[Subscription Status]]="No",0))</f>
        <v>0</v>
      </c>
    </row>
    <row r="1770" spans="1:21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  <c r="S1770" t="str">
        <f>IF(Table1[[#This Row],[Age]]&lt;=25,"Young",IF(Table1[[#This Row],[Age]]&lt;=50,"Adult","Senior"))</f>
        <v>Young</v>
      </c>
      <c r="T1770" s="1">
        <f>Table1[[#This Row],[Purchase Amount (USD)]]</f>
        <v>45</v>
      </c>
      <c r="U1770">
        <f>IF(Table1[[#This Row],[Subscription Status]]="Yes",1,IF(Table1[[#This Row],[Subscription Status]]="No",0))</f>
        <v>0</v>
      </c>
    </row>
    <row r="1771" spans="1:21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  <c r="S1771" t="str">
        <f>IF(Table1[[#This Row],[Age]]&lt;=25,"Young",IF(Table1[[#This Row],[Age]]&lt;=50,"Adult","Senior"))</f>
        <v>Adult</v>
      </c>
      <c r="T1771" s="1">
        <f>Table1[[#This Row],[Purchase Amount (USD)]]</f>
        <v>75</v>
      </c>
      <c r="U1771">
        <f>IF(Table1[[#This Row],[Subscription Status]]="Yes",1,IF(Table1[[#This Row],[Subscription Status]]="No",0))</f>
        <v>0</v>
      </c>
    </row>
    <row r="1772" spans="1:21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  <c r="S1772" t="str">
        <f>IF(Table1[[#This Row],[Age]]&lt;=25,"Young",IF(Table1[[#This Row],[Age]]&lt;=50,"Adult","Senior"))</f>
        <v>Senior</v>
      </c>
      <c r="T1772" s="1">
        <f>Table1[[#This Row],[Purchase Amount (USD)]]</f>
        <v>22</v>
      </c>
      <c r="U1772">
        <f>IF(Table1[[#This Row],[Subscription Status]]="Yes",1,IF(Table1[[#This Row],[Subscription Status]]="No",0))</f>
        <v>0</v>
      </c>
    </row>
    <row r="1773" spans="1:21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  <c r="S1773" t="str">
        <f>IF(Table1[[#This Row],[Age]]&lt;=25,"Young",IF(Table1[[#This Row],[Age]]&lt;=50,"Adult","Senior"))</f>
        <v>Adult</v>
      </c>
      <c r="T1773" s="1">
        <f>Table1[[#This Row],[Purchase Amount (USD)]]</f>
        <v>82</v>
      </c>
      <c r="U1773">
        <f>IF(Table1[[#This Row],[Subscription Status]]="Yes",1,IF(Table1[[#This Row],[Subscription Status]]="No",0))</f>
        <v>0</v>
      </c>
    </row>
    <row r="1774" spans="1:21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  <c r="S1774" t="str">
        <f>IF(Table1[[#This Row],[Age]]&lt;=25,"Young",IF(Table1[[#This Row],[Age]]&lt;=50,"Adult","Senior"))</f>
        <v>Senior</v>
      </c>
      <c r="T1774" s="1">
        <f>Table1[[#This Row],[Purchase Amount (USD)]]</f>
        <v>34</v>
      </c>
      <c r="U1774">
        <f>IF(Table1[[#This Row],[Subscription Status]]="Yes",1,IF(Table1[[#This Row],[Subscription Status]]="No",0))</f>
        <v>0</v>
      </c>
    </row>
    <row r="1775" spans="1:21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  <c r="S1775" t="str">
        <f>IF(Table1[[#This Row],[Age]]&lt;=25,"Young",IF(Table1[[#This Row],[Age]]&lt;=50,"Adult","Senior"))</f>
        <v>Young</v>
      </c>
      <c r="T1775" s="1">
        <f>Table1[[#This Row],[Purchase Amount (USD)]]</f>
        <v>92</v>
      </c>
      <c r="U1775">
        <f>IF(Table1[[#This Row],[Subscription Status]]="Yes",1,IF(Table1[[#This Row],[Subscription Status]]="No",0))</f>
        <v>0</v>
      </c>
    </row>
    <row r="1776" spans="1:21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  <c r="S1776" t="str">
        <f>IF(Table1[[#This Row],[Age]]&lt;=25,"Young",IF(Table1[[#This Row],[Age]]&lt;=50,"Adult","Senior"))</f>
        <v>Adult</v>
      </c>
      <c r="T1776" s="1">
        <f>Table1[[#This Row],[Purchase Amount (USD)]]</f>
        <v>78</v>
      </c>
      <c r="U1776">
        <f>IF(Table1[[#This Row],[Subscription Status]]="Yes",1,IF(Table1[[#This Row],[Subscription Status]]="No",0))</f>
        <v>0</v>
      </c>
    </row>
    <row r="1777" spans="1:21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  <c r="S1777" t="str">
        <f>IF(Table1[[#This Row],[Age]]&lt;=25,"Young",IF(Table1[[#This Row],[Age]]&lt;=50,"Adult","Senior"))</f>
        <v>Young</v>
      </c>
      <c r="T1777" s="1">
        <f>Table1[[#This Row],[Purchase Amount (USD)]]</f>
        <v>47</v>
      </c>
      <c r="U1777">
        <f>IF(Table1[[#This Row],[Subscription Status]]="Yes",1,IF(Table1[[#This Row],[Subscription Status]]="No",0))</f>
        <v>0</v>
      </c>
    </row>
    <row r="1778" spans="1:21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  <c r="S1778" t="str">
        <f>IF(Table1[[#This Row],[Age]]&lt;=25,"Young",IF(Table1[[#This Row],[Age]]&lt;=50,"Adult","Senior"))</f>
        <v>Senior</v>
      </c>
      <c r="T1778" s="1">
        <f>Table1[[#This Row],[Purchase Amount (USD)]]</f>
        <v>64</v>
      </c>
      <c r="U1778">
        <f>IF(Table1[[#This Row],[Subscription Status]]="Yes",1,IF(Table1[[#This Row],[Subscription Status]]="No",0))</f>
        <v>0</v>
      </c>
    </row>
    <row r="1779" spans="1:21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  <c r="S1779" t="str">
        <f>IF(Table1[[#This Row],[Age]]&lt;=25,"Young",IF(Table1[[#This Row],[Age]]&lt;=50,"Adult","Senior"))</f>
        <v>Young</v>
      </c>
      <c r="T1779" s="1">
        <f>Table1[[#This Row],[Purchase Amount (USD)]]</f>
        <v>44</v>
      </c>
      <c r="U1779">
        <f>IF(Table1[[#This Row],[Subscription Status]]="Yes",1,IF(Table1[[#This Row],[Subscription Status]]="No",0))</f>
        <v>0</v>
      </c>
    </row>
    <row r="1780" spans="1:21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  <c r="S1780" t="str">
        <f>IF(Table1[[#This Row],[Age]]&lt;=25,"Young",IF(Table1[[#This Row],[Age]]&lt;=50,"Adult","Senior"))</f>
        <v>Adult</v>
      </c>
      <c r="T1780" s="1">
        <f>Table1[[#This Row],[Purchase Amount (USD)]]</f>
        <v>94</v>
      </c>
      <c r="U1780">
        <f>IF(Table1[[#This Row],[Subscription Status]]="Yes",1,IF(Table1[[#This Row],[Subscription Status]]="No",0))</f>
        <v>0</v>
      </c>
    </row>
    <row r="1781" spans="1:21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  <c r="S1781" t="str">
        <f>IF(Table1[[#This Row],[Age]]&lt;=25,"Young",IF(Table1[[#This Row],[Age]]&lt;=50,"Adult","Senior"))</f>
        <v>Adult</v>
      </c>
      <c r="T1781" s="1">
        <f>Table1[[#This Row],[Purchase Amount (USD)]]</f>
        <v>62</v>
      </c>
      <c r="U1781">
        <f>IF(Table1[[#This Row],[Subscription Status]]="Yes",1,IF(Table1[[#This Row],[Subscription Status]]="No",0))</f>
        <v>0</v>
      </c>
    </row>
    <row r="1782" spans="1:21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  <c r="S1782" t="str">
        <f>IF(Table1[[#This Row],[Age]]&lt;=25,"Young",IF(Table1[[#This Row],[Age]]&lt;=50,"Adult","Senior"))</f>
        <v>Senior</v>
      </c>
      <c r="T1782" s="1">
        <f>Table1[[#This Row],[Purchase Amount (USD)]]</f>
        <v>81</v>
      </c>
      <c r="U1782">
        <f>IF(Table1[[#This Row],[Subscription Status]]="Yes",1,IF(Table1[[#This Row],[Subscription Status]]="No",0))</f>
        <v>0</v>
      </c>
    </row>
    <row r="1783" spans="1:21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  <c r="S1783" t="str">
        <f>IF(Table1[[#This Row],[Age]]&lt;=25,"Young",IF(Table1[[#This Row],[Age]]&lt;=50,"Adult","Senior"))</f>
        <v>Adult</v>
      </c>
      <c r="T1783" s="1">
        <f>Table1[[#This Row],[Purchase Amount (USD)]]</f>
        <v>33</v>
      </c>
      <c r="U1783">
        <f>IF(Table1[[#This Row],[Subscription Status]]="Yes",1,IF(Table1[[#This Row],[Subscription Status]]="No",0))</f>
        <v>0</v>
      </c>
    </row>
    <row r="1784" spans="1:21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  <c r="S1784" t="str">
        <f>IF(Table1[[#This Row],[Age]]&lt;=25,"Young",IF(Table1[[#This Row],[Age]]&lt;=50,"Adult","Senior"))</f>
        <v>Senior</v>
      </c>
      <c r="T1784" s="1">
        <f>Table1[[#This Row],[Purchase Amount (USD)]]</f>
        <v>88</v>
      </c>
      <c r="U1784">
        <f>IF(Table1[[#This Row],[Subscription Status]]="Yes",1,IF(Table1[[#This Row],[Subscription Status]]="No",0))</f>
        <v>0</v>
      </c>
    </row>
    <row r="1785" spans="1:21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  <c r="S1785" t="str">
        <f>IF(Table1[[#This Row],[Age]]&lt;=25,"Young",IF(Table1[[#This Row],[Age]]&lt;=50,"Adult","Senior"))</f>
        <v>Adult</v>
      </c>
      <c r="T1785" s="1">
        <f>Table1[[#This Row],[Purchase Amount (USD)]]</f>
        <v>49</v>
      </c>
      <c r="U1785">
        <f>IF(Table1[[#This Row],[Subscription Status]]="Yes",1,IF(Table1[[#This Row],[Subscription Status]]="No",0))</f>
        <v>0</v>
      </c>
    </row>
    <row r="1786" spans="1:21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  <c r="S1786" t="str">
        <f>IF(Table1[[#This Row],[Age]]&lt;=25,"Young",IF(Table1[[#This Row],[Age]]&lt;=50,"Adult","Senior"))</f>
        <v>Adult</v>
      </c>
      <c r="T1786" s="1">
        <f>Table1[[#This Row],[Purchase Amount (USD)]]</f>
        <v>31</v>
      </c>
      <c r="U1786">
        <f>IF(Table1[[#This Row],[Subscription Status]]="Yes",1,IF(Table1[[#This Row],[Subscription Status]]="No",0))</f>
        <v>0</v>
      </c>
    </row>
    <row r="1787" spans="1:21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  <c r="S1787" t="str">
        <f>IF(Table1[[#This Row],[Age]]&lt;=25,"Young",IF(Table1[[#This Row],[Age]]&lt;=50,"Adult","Senior"))</f>
        <v>Adult</v>
      </c>
      <c r="T1787" s="1">
        <f>Table1[[#This Row],[Purchase Amount (USD)]]</f>
        <v>29</v>
      </c>
      <c r="U1787">
        <f>IF(Table1[[#This Row],[Subscription Status]]="Yes",1,IF(Table1[[#This Row],[Subscription Status]]="No",0))</f>
        <v>0</v>
      </c>
    </row>
    <row r="1788" spans="1:21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  <c r="S1788" t="str">
        <f>IF(Table1[[#This Row],[Age]]&lt;=25,"Young",IF(Table1[[#This Row],[Age]]&lt;=50,"Adult","Senior"))</f>
        <v>Adult</v>
      </c>
      <c r="T1788" s="1">
        <f>Table1[[#This Row],[Purchase Amount (USD)]]</f>
        <v>34</v>
      </c>
      <c r="U1788">
        <f>IF(Table1[[#This Row],[Subscription Status]]="Yes",1,IF(Table1[[#This Row],[Subscription Status]]="No",0))</f>
        <v>0</v>
      </c>
    </row>
    <row r="1789" spans="1:21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  <c r="S1789" t="str">
        <f>IF(Table1[[#This Row],[Age]]&lt;=25,"Young",IF(Table1[[#This Row],[Age]]&lt;=50,"Adult","Senior"))</f>
        <v>Young</v>
      </c>
      <c r="T1789" s="1">
        <f>Table1[[#This Row],[Purchase Amount (USD)]]</f>
        <v>38</v>
      </c>
      <c r="U1789">
        <f>IF(Table1[[#This Row],[Subscription Status]]="Yes",1,IF(Table1[[#This Row],[Subscription Status]]="No",0))</f>
        <v>0</v>
      </c>
    </row>
    <row r="1790" spans="1:21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  <c r="S1790" t="str">
        <f>IF(Table1[[#This Row],[Age]]&lt;=25,"Young",IF(Table1[[#This Row],[Age]]&lt;=50,"Adult","Senior"))</f>
        <v>Senior</v>
      </c>
      <c r="T1790" s="1">
        <f>Table1[[#This Row],[Purchase Amount (USD)]]</f>
        <v>41</v>
      </c>
      <c r="U1790">
        <f>IF(Table1[[#This Row],[Subscription Status]]="Yes",1,IF(Table1[[#This Row],[Subscription Status]]="No",0))</f>
        <v>0</v>
      </c>
    </row>
    <row r="1791" spans="1:21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  <c r="S1791" t="str">
        <f>IF(Table1[[#This Row],[Age]]&lt;=25,"Young",IF(Table1[[#This Row],[Age]]&lt;=50,"Adult","Senior"))</f>
        <v>Senior</v>
      </c>
      <c r="T1791" s="1">
        <f>Table1[[#This Row],[Purchase Amount (USD)]]</f>
        <v>34</v>
      </c>
      <c r="U1791">
        <f>IF(Table1[[#This Row],[Subscription Status]]="Yes",1,IF(Table1[[#This Row],[Subscription Status]]="No",0))</f>
        <v>0</v>
      </c>
    </row>
    <row r="1792" spans="1:21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  <c r="S1792" t="str">
        <f>IF(Table1[[#This Row],[Age]]&lt;=25,"Young",IF(Table1[[#This Row],[Age]]&lt;=50,"Adult","Senior"))</f>
        <v>Adult</v>
      </c>
      <c r="T1792" s="1">
        <f>Table1[[#This Row],[Purchase Amount (USD)]]</f>
        <v>26</v>
      </c>
      <c r="U1792">
        <f>IF(Table1[[#This Row],[Subscription Status]]="Yes",1,IF(Table1[[#This Row],[Subscription Status]]="No",0))</f>
        <v>0</v>
      </c>
    </row>
    <row r="1793" spans="1:21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  <c r="S1793" t="str">
        <f>IF(Table1[[#This Row],[Age]]&lt;=25,"Young",IF(Table1[[#This Row],[Age]]&lt;=50,"Adult","Senior"))</f>
        <v>Senior</v>
      </c>
      <c r="T1793" s="1">
        <f>Table1[[#This Row],[Purchase Amount (USD)]]</f>
        <v>98</v>
      </c>
      <c r="U1793">
        <f>IF(Table1[[#This Row],[Subscription Status]]="Yes",1,IF(Table1[[#This Row],[Subscription Status]]="No",0))</f>
        <v>0</v>
      </c>
    </row>
    <row r="1794" spans="1:21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  <c r="S1794" t="str">
        <f>IF(Table1[[#This Row],[Age]]&lt;=25,"Young",IF(Table1[[#This Row],[Age]]&lt;=50,"Adult","Senior"))</f>
        <v>Adult</v>
      </c>
      <c r="T1794" s="1">
        <f>Table1[[#This Row],[Purchase Amount (USD)]]</f>
        <v>59</v>
      </c>
      <c r="U1794">
        <f>IF(Table1[[#This Row],[Subscription Status]]="Yes",1,IF(Table1[[#This Row],[Subscription Status]]="No",0))</f>
        <v>0</v>
      </c>
    </row>
    <row r="1795" spans="1:21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  <c r="S1795" t="str">
        <f>IF(Table1[[#This Row],[Age]]&lt;=25,"Young",IF(Table1[[#This Row],[Age]]&lt;=50,"Adult","Senior"))</f>
        <v>Senior</v>
      </c>
      <c r="T1795" s="1">
        <f>Table1[[#This Row],[Purchase Amount (USD)]]</f>
        <v>92</v>
      </c>
      <c r="U1795">
        <f>IF(Table1[[#This Row],[Subscription Status]]="Yes",1,IF(Table1[[#This Row],[Subscription Status]]="No",0))</f>
        <v>0</v>
      </c>
    </row>
    <row r="1796" spans="1:21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  <c r="S1796" t="str">
        <f>IF(Table1[[#This Row],[Age]]&lt;=25,"Young",IF(Table1[[#This Row],[Age]]&lt;=50,"Adult","Senior"))</f>
        <v>Senior</v>
      </c>
      <c r="T1796" s="1">
        <f>Table1[[#This Row],[Purchase Amount (USD)]]</f>
        <v>40</v>
      </c>
      <c r="U1796">
        <f>IF(Table1[[#This Row],[Subscription Status]]="Yes",1,IF(Table1[[#This Row],[Subscription Status]]="No",0))</f>
        <v>0</v>
      </c>
    </row>
    <row r="1797" spans="1:21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  <c r="S1797" t="str">
        <f>IF(Table1[[#This Row],[Age]]&lt;=25,"Young",IF(Table1[[#This Row],[Age]]&lt;=50,"Adult","Senior"))</f>
        <v>Senior</v>
      </c>
      <c r="T1797" s="1">
        <f>Table1[[#This Row],[Purchase Amount (USD)]]</f>
        <v>20</v>
      </c>
      <c r="U1797">
        <f>IF(Table1[[#This Row],[Subscription Status]]="Yes",1,IF(Table1[[#This Row],[Subscription Status]]="No",0))</f>
        <v>0</v>
      </c>
    </row>
    <row r="1798" spans="1:21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  <c r="S1798" t="str">
        <f>IF(Table1[[#This Row],[Age]]&lt;=25,"Young",IF(Table1[[#This Row],[Age]]&lt;=50,"Adult","Senior"))</f>
        <v>Senior</v>
      </c>
      <c r="T1798" s="1">
        <f>Table1[[#This Row],[Purchase Amount (USD)]]</f>
        <v>35</v>
      </c>
      <c r="U1798">
        <f>IF(Table1[[#This Row],[Subscription Status]]="Yes",1,IF(Table1[[#This Row],[Subscription Status]]="No",0))</f>
        <v>0</v>
      </c>
    </row>
    <row r="1799" spans="1:21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  <c r="S1799" t="str">
        <f>IF(Table1[[#This Row],[Age]]&lt;=25,"Young",IF(Table1[[#This Row],[Age]]&lt;=50,"Adult","Senior"))</f>
        <v>Senior</v>
      </c>
      <c r="T1799" s="1">
        <f>Table1[[#This Row],[Purchase Amount (USD)]]</f>
        <v>35</v>
      </c>
      <c r="U1799">
        <f>IF(Table1[[#This Row],[Subscription Status]]="Yes",1,IF(Table1[[#This Row],[Subscription Status]]="No",0))</f>
        <v>0</v>
      </c>
    </row>
    <row r="1800" spans="1:21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  <c r="S1800" t="str">
        <f>IF(Table1[[#This Row],[Age]]&lt;=25,"Young",IF(Table1[[#This Row],[Age]]&lt;=50,"Adult","Senior"))</f>
        <v>Adult</v>
      </c>
      <c r="T1800" s="1">
        <f>Table1[[#This Row],[Purchase Amount (USD)]]</f>
        <v>82</v>
      </c>
      <c r="U1800">
        <f>IF(Table1[[#This Row],[Subscription Status]]="Yes",1,IF(Table1[[#This Row],[Subscription Status]]="No",0))</f>
        <v>0</v>
      </c>
    </row>
    <row r="1801" spans="1:21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  <c r="S1801" t="str">
        <f>IF(Table1[[#This Row],[Age]]&lt;=25,"Young",IF(Table1[[#This Row],[Age]]&lt;=50,"Adult","Senior"))</f>
        <v>Adult</v>
      </c>
      <c r="T1801" s="1">
        <f>Table1[[#This Row],[Purchase Amount (USD)]]</f>
        <v>48</v>
      </c>
      <c r="U1801">
        <f>IF(Table1[[#This Row],[Subscription Status]]="Yes",1,IF(Table1[[#This Row],[Subscription Status]]="No",0))</f>
        <v>0</v>
      </c>
    </row>
    <row r="1802" spans="1:21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  <c r="S1802" t="str">
        <f>IF(Table1[[#This Row],[Age]]&lt;=25,"Young",IF(Table1[[#This Row],[Age]]&lt;=50,"Adult","Senior"))</f>
        <v>Young</v>
      </c>
      <c r="T1802" s="1">
        <f>Table1[[#This Row],[Purchase Amount (USD)]]</f>
        <v>58</v>
      </c>
      <c r="U1802">
        <f>IF(Table1[[#This Row],[Subscription Status]]="Yes",1,IF(Table1[[#This Row],[Subscription Status]]="No",0))</f>
        <v>0</v>
      </c>
    </row>
    <row r="1803" spans="1:21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  <c r="S1803" t="str">
        <f>IF(Table1[[#This Row],[Age]]&lt;=25,"Young",IF(Table1[[#This Row],[Age]]&lt;=50,"Adult","Senior"))</f>
        <v>Adult</v>
      </c>
      <c r="T1803" s="1">
        <f>Table1[[#This Row],[Purchase Amount (USD)]]</f>
        <v>57</v>
      </c>
      <c r="U1803">
        <f>IF(Table1[[#This Row],[Subscription Status]]="Yes",1,IF(Table1[[#This Row],[Subscription Status]]="No",0))</f>
        <v>0</v>
      </c>
    </row>
    <row r="1804" spans="1:21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  <c r="S1804" t="str">
        <f>IF(Table1[[#This Row],[Age]]&lt;=25,"Young",IF(Table1[[#This Row],[Age]]&lt;=50,"Adult","Senior"))</f>
        <v>Senior</v>
      </c>
      <c r="T1804" s="1">
        <f>Table1[[#This Row],[Purchase Amount (USD)]]</f>
        <v>96</v>
      </c>
      <c r="U1804">
        <f>IF(Table1[[#This Row],[Subscription Status]]="Yes",1,IF(Table1[[#This Row],[Subscription Status]]="No",0))</f>
        <v>0</v>
      </c>
    </row>
    <row r="1805" spans="1:21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  <c r="S1805" t="str">
        <f>IF(Table1[[#This Row],[Age]]&lt;=25,"Young",IF(Table1[[#This Row],[Age]]&lt;=50,"Adult","Senior"))</f>
        <v>Senior</v>
      </c>
      <c r="T1805" s="1">
        <f>Table1[[#This Row],[Purchase Amount (USD)]]</f>
        <v>97</v>
      </c>
      <c r="U1805">
        <f>IF(Table1[[#This Row],[Subscription Status]]="Yes",1,IF(Table1[[#This Row],[Subscription Status]]="No",0))</f>
        <v>0</v>
      </c>
    </row>
    <row r="1806" spans="1:21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  <c r="S1806" t="str">
        <f>IF(Table1[[#This Row],[Age]]&lt;=25,"Young",IF(Table1[[#This Row],[Age]]&lt;=50,"Adult","Senior"))</f>
        <v>Adult</v>
      </c>
      <c r="T1806" s="1">
        <f>Table1[[#This Row],[Purchase Amount (USD)]]</f>
        <v>42</v>
      </c>
      <c r="U1806">
        <f>IF(Table1[[#This Row],[Subscription Status]]="Yes",1,IF(Table1[[#This Row],[Subscription Status]]="No",0))</f>
        <v>0</v>
      </c>
    </row>
    <row r="1807" spans="1:21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  <c r="S1807" t="str">
        <f>IF(Table1[[#This Row],[Age]]&lt;=25,"Young",IF(Table1[[#This Row],[Age]]&lt;=50,"Adult","Senior"))</f>
        <v>Adult</v>
      </c>
      <c r="T1807" s="1">
        <f>Table1[[#This Row],[Purchase Amount (USD)]]</f>
        <v>62</v>
      </c>
      <c r="U1807">
        <f>IF(Table1[[#This Row],[Subscription Status]]="Yes",1,IF(Table1[[#This Row],[Subscription Status]]="No",0))</f>
        <v>0</v>
      </c>
    </row>
    <row r="1808" spans="1:21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  <c r="S1808" t="str">
        <f>IF(Table1[[#This Row],[Age]]&lt;=25,"Young",IF(Table1[[#This Row],[Age]]&lt;=50,"Adult","Senior"))</f>
        <v>Senior</v>
      </c>
      <c r="T1808" s="1">
        <f>Table1[[#This Row],[Purchase Amount (USD)]]</f>
        <v>67</v>
      </c>
      <c r="U1808">
        <f>IF(Table1[[#This Row],[Subscription Status]]="Yes",1,IF(Table1[[#This Row],[Subscription Status]]="No",0))</f>
        <v>0</v>
      </c>
    </row>
    <row r="1809" spans="1:21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  <c r="S1809" t="str">
        <f>IF(Table1[[#This Row],[Age]]&lt;=25,"Young",IF(Table1[[#This Row],[Age]]&lt;=50,"Adult","Senior"))</f>
        <v>Adult</v>
      </c>
      <c r="T1809" s="1">
        <f>Table1[[#This Row],[Purchase Amount (USD)]]</f>
        <v>46</v>
      </c>
      <c r="U1809">
        <f>IF(Table1[[#This Row],[Subscription Status]]="Yes",1,IF(Table1[[#This Row],[Subscription Status]]="No",0))</f>
        <v>0</v>
      </c>
    </row>
    <row r="1810" spans="1:21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  <c r="S1810" t="str">
        <f>IF(Table1[[#This Row],[Age]]&lt;=25,"Young",IF(Table1[[#This Row],[Age]]&lt;=50,"Adult","Senior"))</f>
        <v>Senior</v>
      </c>
      <c r="T1810" s="1">
        <f>Table1[[#This Row],[Purchase Amount (USD)]]</f>
        <v>71</v>
      </c>
      <c r="U1810">
        <f>IF(Table1[[#This Row],[Subscription Status]]="Yes",1,IF(Table1[[#This Row],[Subscription Status]]="No",0))</f>
        <v>0</v>
      </c>
    </row>
    <row r="1811" spans="1:21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  <c r="S1811" t="str">
        <f>IF(Table1[[#This Row],[Age]]&lt;=25,"Young",IF(Table1[[#This Row],[Age]]&lt;=50,"Adult","Senior"))</f>
        <v>Senior</v>
      </c>
      <c r="T1811" s="1">
        <f>Table1[[#This Row],[Purchase Amount (USD)]]</f>
        <v>99</v>
      </c>
      <c r="U1811">
        <f>IF(Table1[[#This Row],[Subscription Status]]="Yes",1,IF(Table1[[#This Row],[Subscription Status]]="No",0))</f>
        <v>0</v>
      </c>
    </row>
    <row r="1812" spans="1:21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  <c r="S1812" t="str">
        <f>IF(Table1[[#This Row],[Age]]&lt;=25,"Young",IF(Table1[[#This Row],[Age]]&lt;=50,"Adult","Senior"))</f>
        <v>Adult</v>
      </c>
      <c r="T1812" s="1">
        <f>Table1[[#This Row],[Purchase Amount (USD)]]</f>
        <v>28</v>
      </c>
      <c r="U1812">
        <f>IF(Table1[[#This Row],[Subscription Status]]="Yes",1,IF(Table1[[#This Row],[Subscription Status]]="No",0))</f>
        <v>0</v>
      </c>
    </row>
    <row r="1813" spans="1:21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  <c r="S1813" t="str">
        <f>IF(Table1[[#This Row],[Age]]&lt;=25,"Young",IF(Table1[[#This Row],[Age]]&lt;=50,"Adult","Senior"))</f>
        <v>Adult</v>
      </c>
      <c r="T1813" s="1">
        <f>Table1[[#This Row],[Purchase Amount (USD)]]</f>
        <v>77</v>
      </c>
      <c r="U1813">
        <f>IF(Table1[[#This Row],[Subscription Status]]="Yes",1,IF(Table1[[#This Row],[Subscription Status]]="No",0))</f>
        <v>0</v>
      </c>
    </row>
    <row r="1814" spans="1:21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  <c r="S1814" t="str">
        <f>IF(Table1[[#This Row],[Age]]&lt;=25,"Young",IF(Table1[[#This Row],[Age]]&lt;=50,"Adult","Senior"))</f>
        <v>Adult</v>
      </c>
      <c r="T1814" s="1">
        <f>Table1[[#This Row],[Purchase Amount (USD)]]</f>
        <v>63</v>
      </c>
      <c r="U1814">
        <f>IF(Table1[[#This Row],[Subscription Status]]="Yes",1,IF(Table1[[#This Row],[Subscription Status]]="No",0))</f>
        <v>0</v>
      </c>
    </row>
    <row r="1815" spans="1:21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  <c r="S1815" t="str">
        <f>IF(Table1[[#This Row],[Age]]&lt;=25,"Young",IF(Table1[[#This Row],[Age]]&lt;=50,"Adult","Senior"))</f>
        <v>Adult</v>
      </c>
      <c r="T1815" s="1">
        <f>Table1[[#This Row],[Purchase Amount (USD)]]</f>
        <v>62</v>
      </c>
      <c r="U1815">
        <f>IF(Table1[[#This Row],[Subscription Status]]="Yes",1,IF(Table1[[#This Row],[Subscription Status]]="No",0))</f>
        <v>0</v>
      </c>
    </row>
    <row r="1816" spans="1:21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  <c r="S1816" t="str">
        <f>IF(Table1[[#This Row],[Age]]&lt;=25,"Young",IF(Table1[[#This Row],[Age]]&lt;=50,"Adult","Senior"))</f>
        <v>Adult</v>
      </c>
      <c r="T1816" s="1">
        <f>Table1[[#This Row],[Purchase Amount (USD)]]</f>
        <v>92</v>
      </c>
      <c r="U1816">
        <f>IF(Table1[[#This Row],[Subscription Status]]="Yes",1,IF(Table1[[#This Row],[Subscription Status]]="No",0))</f>
        <v>0</v>
      </c>
    </row>
    <row r="1817" spans="1:21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  <c r="S1817" t="str">
        <f>IF(Table1[[#This Row],[Age]]&lt;=25,"Young",IF(Table1[[#This Row],[Age]]&lt;=50,"Adult","Senior"))</f>
        <v>Senior</v>
      </c>
      <c r="T1817" s="1">
        <f>Table1[[#This Row],[Purchase Amount (USD)]]</f>
        <v>72</v>
      </c>
      <c r="U1817">
        <f>IF(Table1[[#This Row],[Subscription Status]]="Yes",1,IF(Table1[[#This Row],[Subscription Status]]="No",0))</f>
        <v>0</v>
      </c>
    </row>
    <row r="1818" spans="1:21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  <c r="S1818" t="str">
        <f>IF(Table1[[#This Row],[Age]]&lt;=25,"Young",IF(Table1[[#This Row],[Age]]&lt;=50,"Adult","Senior"))</f>
        <v>Adult</v>
      </c>
      <c r="T1818" s="1">
        <f>Table1[[#This Row],[Purchase Amount (USD)]]</f>
        <v>79</v>
      </c>
      <c r="U1818">
        <f>IF(Table1[[#This Row],[Subscription Status]]="Yes",1,IF(Table1[[#This Row],[Subscription Status]]="No",0))</f>
        <v>0</v>
      </c>
    </row>
    <row r="1819" spans="1:21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  <c r="S1819" t="str">
        <f>IF(Table1[[#This Row],[Age]]&lt;=25,"Young",IF(Table1[[#This Row],[Age]]&lt;=50,"Adult","Senior"))</f>
        <v>Adult</v>
      </c>
      <c r="T1819" s="1">
        <f>Table1[[#This Row],[Purchase Amount (USD)]]</f>
        <v>27</v>
      </c>
      <c r="U1819">
        <f>IF(Table1[[#This Row],[Subscription Status]]="Yes",1,IF(Table1[[#This Row],[Subscription Status]]="No",0))</f>
        <v>0</v>
      </c>
    </row>
    <row r="1820" spans="1:21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  <c r="S1820" t="str">
        <f>IF(Table1[[#This Row],[Age]]&lt;=25,"Young",IF(Table1[[#This Row],[Age]]&lt;=50,"Adult","Senior"))</f>
        <v>Senior</v>
      </c>
      <c r="T1820" s="1">
        <f>Table1[[#This Row],[Purchase Amount (USD)]]</f>
        <v>39</v>
      </c>
      <c r="U1820">
        <f>IF(Table1[[#This Row],[Subscription Status]]="Yes",1,IF(Table1[[#This Row],[Subscription Status]]="No",0))</f>
        <v>0</v>
      </c>
    </row>
    <row r="1821" spans="1:21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  <c r="S1821" t="str">
        <f>IF(Table1[[#This Row],[Age]]&lt;=25,"Young",IF(Table1[[#This Row],[Age]]&lt;=50,"Adult","Senior"))</f>
        <v>Senior</v>
      </c>
      <c r="T1821" s="1">
        <f>Table1[[#This Row],[Purchase Amount (USD)]]</f>
        <v>86</v>
      </c>
      <c r="U1821">
        <f>IF(Table1[[#This Row],[Subscription Status]]="Yes",1,IF(Table1[[#This Row],[Subscription Status]]="No",0))</f>
        <v>0</v>
      </c>
    </row>
    <row r="1822" spans="1:21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  <c r="S1822" t="str">
        <f>IF(Table1[[#This Row],[Age]]&lt;=25,"Young",IF(Table1[[#This Row],[Age]]&lt;=50,"Adult","Senior"))</f>
        <v>Young</v>
      </c>
      <c r="T1822" s="1">
        <f>Table1[[#This Row],[Purchase Amount (USD)]]</f>
        <v>94</v>
      </c>
      <c r="U1822">
        <f>IF(Table1[[#This Row],[Subscription Status]]="Yes",1,IF(Table1[[#This Row],[Subscription Status]]="No",0))</f>
        <v>0</v>
      </c>
    </row>
    <row r="1823" spans="1:21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  <c r="S1823" t="str">
        <f>IF(Table1[[#This Row],[Age]]&lt;=25,"Young",IF(Table1[[#This Row],[Age]]&lt;=50,"Adult","Senior"))</f>
        <v>Senior</v>
      </c>
      <c r="T1823" s="1">
        <f>Table1[[#This Row],[Purchase Amount (USD)]]</f>
        <v>53</v>
      </c>
      <c r="U1823">
        <f>IF(Table1[[#This Row],[Subscription Status]]="Yes",1,IF(Table1[[#This Row],[Subscription Status]]="No",0))</f>
        <v>0</v>
      </c>
    </row>
    <row r="1824" spans="1:21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  <c r="S1824" t="str">
        <f>IF(Table1[[#This Row],[Age]]&lt;=25,"Young",IF(Table1[[#This Row],[Age]]&lt;=50,"Adult","Senior"))</f>
        <v>Senior</v>
      </c>
      <c r="T1824" s="1">
        <f>Table1[[#This Row],[Purchase Amount (USD)]]</f>
        <v>85</v>
      </c>
      <c r="U1824">
        <f>IF(Table1[[#This Row],[Subscription Status]]="Yes",1,IF(Table1[[#This Row],[Subscription Status]]="No",0))</f>
        <v>0</v>
      </c>
    </row>
    <row r="1825" spans="1:21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  <c r="S1825" t="str">
        <f>IF(Table1[[#This Row],[Age]]&lt;=25,"Young",IF(Table1[[#This Row],[Age]]&lt;=50,"Adult","Senior"))</f>
        <v>Senior</v>
      </c>
      <c r="T1825" s="1">
        <f>Table1[[#This Row],[Purchase Amount (USD)]]</f>
        <v>50</v>
      </c>
      <c r="U1825">
        <f>IF(Table1[[#This Row],[Subscription Status]]="Yes",1,IF(Table1[[#This Row],[Subscription Status]]="No",0))</f>
        <v>0</v>
      </c>
    </row>
    <row r="1826" spans="1:21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  <c r="S1826" t="str">
        <f>IF(Table1[[#This Row],[Age]]&lt;=25,"Young",IF(Table1[[#This Row],[Age]]&lt;=50,"Adult","Senior"))</f>
        <v>Senior</v>
      </c>
      <c r="T1826" s="1">
        <f>Table1[[#This Row],[Purchase Amount (USD)]]</f>
        <v>47</v>
      </c>
      <c r="U1826">
        <f>IF(Table1[[#This Row],[Subscription Status]]="Yes",1,IF(Table1[[#This Row],[Subscription Status]]="No",0))</f>
        <v>0</v>
      </c>
    </row>
    <row r="1827" spans="1:21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  <c r="S1827" t="str">
        <f>IF(Table1[[#This Row],[Age]]&lt;=25,"Young",IF(Table1[[#This Row],[Age]]&lt;=50,"Adult","Senior"))</f>
        <v>Young</v>
      </c>
      <c r="T1827" s="1">
        <f>Table1[[#This Row],[Purchase Amount (USD)]]</f>
        <v>75</v>
      </c>
      <c r="U1827">
        <f>IF(Table1[[#This Row],[Subscription Status]]="Yes",1,IF(Table1[[#This Row],[Subscription Status]]="No",0))</f>
        <v>0</v>
      </c>
    </row>
    <row r="1828" spans="1:21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  <c r="S1828" t="str">
        <f>IF(Table1[[#This Row],[Age]]&lt;=25,"Young",IF(Table1[[#This Row],[Age]]&lt;=50,"Adult","Senior"))</f>
        <v>Adult</v>
      </c>
      <c r="T1828" s="1">
        <f>Table1[[#This Row],[Purchase Amount (USD)]]</f>
        <v>60</v>
      </c>
      <c r="U1828">
        <f>IF(Table1[[#This Row],[Subscription Status]]="Yes",1,IF(Table1[[#This Row],[Subscription Status]]="No",0))</f>
        <v>0</v>
      </c>
    </row>
    <row r="1829" spans="1:21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  <c r="S1829" t="str">
        <f>IF(Table1[[#This Row],[Age]]&lt;=25,"Young",IF(Table1[[#This Row],[Age]]&lt;=50,"Adult","Senior"))</f>
        <v>Young</v>
      </c>
      <c r="T1829" s="1">
        <f>Table1[[#This Row],[Purchase Amount (USD)]]</f>
        <v>36</v>
      </c>
      <c r="U1829">
        <f>IF(Table1[[#This Row],[Subscription Status]]="Yes",1,IF(Table1[[#This Row],[Subscription Status]]="No",0))</f>
        <v>0</v>
      </c>
    </row>
    <row r="1830" spans="1:21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  <c r="S1830" t="str">
        <f>IF(Table1[[#This Row],[Age]]&lt;=25,"Young",IF(Table1[[#This Row],[Age]]&lt;=50,"Adult","Senior"))</f>
        <v>Adult</v>
      </c>
      <c r="T1830" s="1">
        <f>Table1[[#This Row],[Purchase Amount (USD)]]</f>
        <v>80</v>
      </c>
      <c r="U1830">
        <f>IF(Table1[[#This Row],[Subscription Status]]="Yes",1,IF(Table1[[#This Row],[Subscription Status]]="No",0))</f>
        <v>0</v>
      </c>
    </row>
    <row r="1831" spans="1:21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  <c r="S1831" t="str">
        <f>IF(Table1[[#This Row],[Age]]&lt;=25,"Young",IF(Table1[[#This Row],[Age]]&lt;=50,"Adult","Senior"))</f>
        <v>Adult</v>
      </c>
      <c r="T1831" s="1">
        <f>Table1[[#This Row],[Purchase Amount (USD)]]</f>
        <v>96</v>
      </c>
      <c r="U1831">
        <f>IF(Table1[[#This Row],[Subscription Status]]="Yes",1,IF(Table1[[#This Row],[Subscription Status]]="No",0))</f>
        <v>0</v>
      </c>
    </row>
    <row r="1832" spans="1:21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  <c r="S1832" t="str">
        <f>IF(Table1[[#This Row],[Age]]&lt;=25,"Young",IF(Table1[[#This Row],[Age]]&lt;=50,"Adult","Senior"))</f>
        <v>Adult</v>
      </c>
      <c r="T1832" s="1">
        <f>Table1[[#This Row],[Purchase Amount (USD)]]</f>
        <v>80</v>
      </c>
      <c r="U1832">
        <f>IF(Table1[[#This Row],[Subscription Status]]="Yes",1,IF(Table1[[#This Row],[Subscription Status]]="No",0))</f>
        <v>0</v>
      </c>
    </row>
    <row r="1833" spans="1:21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  <c r="S1833" t="str">
        <f>IF(Table1[[#This Row],[Age]]&lt;=25,"Young",IF(Table1[[#This Row],[Age]]&lt;=50,"Adult","Senior"))</f>
        <v>Senior</v>
      </c>
      <c r="T1833" s="1">
        <f>Table1[[#This Row],[Purchase Amount (USD)]]</f>
        <v>71</v>
      </c>
      <c r="U1833">
        <f>IF(Table1[[#This Row],[Subscription Status]]="Yes",1,IF(Table1[[#This Row],[Subscription Status]]="No",0))</f>
        <v>0</v>
      </c>
    </row>
    <row r="1834" spans="1:21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  <c r="S1834" t="str">
        <f>IF(Table1[[#This Row],[Age]]&lt;=25,"Young",IF(Table1[[#This Row],[Age]]&lt;=50,"Adult","Senior"))</f>
        <v>Senior</v>
      </c>
      <c r="T1834" s="1">
        <f>Table1[[#This Row],[Purchase Amount (USD)]]</f>
        <v>29</v>
      </c>
      <c r="U1834">
        <f>IF(Table1[[#This Row],[Subscription Status]]="Yes",1,IF(Table1[[#This Row],[Subscription Status]]="No",0))</f>
        <v>0</v>
      </c>
    </row>
    <row r="1835" spans="1:21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  <c r="S1835" t="str">
        <f>IF(Table1[[#This Row],[Age]]&lt;=25,"Young",IF(Table1[[#This Row],[Age]]&lt;=50,"Adult","Senior"))</f>
        <v>Adult</v>
      </c>
      <c r="T1835" s="1">
        <f>Table1[[#This Row],[Purchase Amount (USD)]]</f>
        <v>53</v>
      </c>
      <c r="U1835">
        <f>IF(Table1[[#This Row],[Subscription Status]]="Yes",1,IF(Table1[[#This Row],[Subscription Status]]="No",0))</f>
        <v>0</v>
      </c>
    </row>
    <row r="1836" spans="1:21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  <c r="S1836" t="str">
        <f>IF(Table1[[#This Row],[Age]]&lt;=25,"Young",IF(Table1[[#This Row],[Age]]&lt;=50,"Adult","Senior"))</f>
        <v>Adult</v>
      </c>
      <c r="T1836" s="1">
        <f>Table1[[#This Row],[Purchase Amount (USD)]]</f>
        <v>35</v>
      </c>
      <c r="U1836">
        <f>IF(Table1[[#This Row],[Subscription Status]]="Yes",1,IF(Table1[[#This Row],[Subscription Status]]="No",0))</f>
        <v>0</v>
      </c>
    </row>
    <row r="1837" spans="1:21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  <c r="S1837" t="str">
        <f>IF(Table1[[#This Row],[Age]]&lt;=25,"Young",IF(Table1[[#This Row],[Age]]&lt;=50,"Adult","Senior"))</f>
        <v>Senior</v>
      </c>
      <c r="T1837" s="1">
        <f>Table1[[#This Row],[Purchase Amount (USD)]]</f>
        <v>75</v>
      </c>
      <c r="U1837">
        <f>IF(Table1[[#This Row],[Subscription Status]]="Yes",1,IF(Table1[[#This Row],[Subscription Status]]="No",0))</f>
        <v>0</v>
      </c>
    </row>
    <row r="1838" spans="1:21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  <c r="S1838" t="str">
        <f>IF(Table1[[#This Row],[Age]]&lt;=25,"Young",IF(Table1[[#This Row],[Age]]&lt;=50,"Adult","Senior"))</f>
        <v>Senior</v>
      </c>
      <c r="T1838" s="1">
        <f>Table1[[#This Row],[Purchase Amount (USD)]]</f>
        <v>52</v>
      </c>
      <c r="U1838">
        <f>IF(Table1[[#This Row],[Subscription Status]]="Yes",1,IF(Table1[[#This Row],[Subscription Status]]="No",0))</f>
        <v>0</v>
      </c>
    </row>
    <row r="1839" spans="1:21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  <c r="S1839" t="str">
        <f>IF(Table1[[#This Row],[Age]]&lt;=25,"Young",IF(Table1[[#This Row],[Age]]&lt;=50,"Adult","Senior"))</f>
        <v>Adult</v>
      </c>
      <c r="T1839" s="1">
        <f>Table1[[#This Row],[Purchase Amount (USD)]]</f>
        <v>77</v>
      </c>
      <c r="U1839">
        <f>IF(Table1[[#This Row],[Subscription Status]]="Yes",1,IF(Table1[[#This Row],[Subscription Status]]="No",0))</f>
        <v>0</v>
      </c>
    </row>
    <row r="1840" spans="1:21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  <c r="S1840" t="str">
        <f>IF(Table1[[#This Row],[Age]]&lt;=25,"Young",IF(Table1[[#This Row],[Age]]&lt;=50,"Adult","Senior"))</f>
        <v>Adult</v>
      </c>
      <c r="T1840" s="1">
        <f>Table1[[#This Row],[Purchase Amount (USD)]]</f>
        <v>24</v>
      </c>
      <c r="U1840">
        <f>IF(Table1[[#This Row],[Subscription Status]]="Yes",1,IF(Table1[[#This Row],[Subscription Status]]="No",0))</f>
        <v>0</v>
      </c>
    </row>
    <row r="1841" spans="1:21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  <c r="S1841" t="str">
        <f>IF(Table1[[#This Row],[Age]]&lt;=25,"Young",IF(Table1[[#This Row],[Age]]&lt;=50,"Adult","Senior"))</f>
        <v>Adult</v>
      </c>
      <c r="T1841" s="1">
        <f>Table1[[#This Row],[Purchase Amount (USD)]]</f>
        <v>78</v>
      </c>
      <c r="U1841">
        <f>IF(Table1[[#This Row],[Subscription Status]]="Yes",1,IF(Table1[[#This Row],[Subscription Status]]="No",0))</f>
        <v>0</v>
      </c>
    </row>
    <row r="1842" spans="1:21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  <c r="S1842" t="str">
        <f>IF(Table1[[#This Row],[Age]]&lt;=25,"Young",IF(Table1[[#This Row],[Age]]&lt;=50,"Adult","Senior"))</f>
        <v>Adult</v>
      </c>
      <c r="T1842" s="1">
        <f>Table1[[#This Row],[Purchase Amount (USD)]]</f>
        <v>98</v>
      </c>
      <c r="U1842">
        <f>IF(Table1[[#This Row],[Subscription Status]]="Yes",1,IF(Table1[[#This Row],[Subscription Status]]="No",0))</f>
        <v>0</v>
      </c>
    </row>
    <row r="1843" spans="1:21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  <c r="S1843" t="str">
        <f>IF(Table1[[#This Row],[Age]]&lt;=25,"Young",IF(Table1[[#This Row],[Age]]&lt;=50,"Adult","Senior"))</f>
        <v>Adult</v>
      </c>
      <c r="T1843" s="1">
        <f>Table1[[#This Row],[Purchase Amount (USD)]]</f>
        <v>57</v>
      </c>
      <c r="U1843">
        <f>IF(Table1[[#This Row],[Subscription Status]]="Yes",1,IF(Table1[[#This Row],[Subscription Status]]="No",0))</f>
        <v>0</v>
      </c>
    </row>
    <row r="1844" spans="1:21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  <c r="S1844" t="str">
        <f>IF(Table1[[#This Row],[Age]]&lt;=25,"Young",IF(Table1[[#This Row],[Age]]&lt;=50,"Adult","Senior"))</f>
        <v>Senior</v>
      </c>
      <c r="T1844" s="1">
        <f>Table1[[#This Row],[Purchase Amount (USD)]]</f>
        <v>78</v>
      </c>
      <c r="U1844">
        <f>IF(Table1[[#This Row],[Subscription Status]]="Yes",1,IF(Table1[[#This Row],[Subscription Status]]="No",0))</f>
        <v>0</v>
      </c>
    </row>
    <row r="1845" spans="1:21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  <c r="S1845" t="str">
        <f>IF(Table1[[#This Row],[Age]]&lt;=25,"Young",IF(Table1[[#This Row],[Age]]&lt;=50,"Adult","Senior"))</f>
        <v>Adult</v>
      </c>
      <c r="T1845" s="1">
        <f>Table1[[#This Row],[Purchase Amount (USD)]]</f>
        <v>76</v>
      </c>
      <c r="U1845">
        <f>IF(Table1[[#This Row],[Subscription Status]]="Yes",1,IF(Table1[[#This Row],[Subscription Status]]="No",0))</f>
        <v>0</v>
      </c>
    </row>
    <row r="1846" spans="1:21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  <c r="S1846" t="str">
        <f>IF(Table1[[#This Row],[Age]]&lt;=25,"Young",IF(Table1[[#This Row],[Age]]&lt;=50,"Adult","Senior"))</f>
        <v>Senior</v>
      </c>
      <c r="T1846" s="1">
        <f>Table1[[#This Row],[Purchase Amount (USD)]]</f>
        <v>26</v>
      </c>
      <c r="U1846">
        <f>IF(Table1[[#This Row],[Subscription Status]]="Yes",1,IF(Table1[[#This Row],[Subscription Status]]="No",0))</f>
        <v>0</v>
      </c>
    </row>
    <row r="1847" spans="1:21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  <c r="S1847" t="str">
        <f>IF(Table1[[#This Row],[Age]]&lt;=25,"Young",IF(Table1[[#This Row],[Age]]&lt;=50,"Adult","Senior"))</f>
        <v>Senior</v>
      </c>
      <c r="T1847" s="1">
        <f>Table1[[#This Row],[Purchase Amount (USD)]]</f>
        <v>78</v>
      </c>
      <c r="U1847">
        <f>IF(Table1[[#This Row],[Subscription Status]]="Yes",1,IF(Table1[[#This Row],[Subscription Status]]="No",0))</f>
        <v>0</v>
      </c>
    </row>
    <row r="1848" spans="1:21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  <c r="S1848" t="str">
        <f>IF(Table1[[#This Row],[Age]]&lt;=25,"Young",IF(Table1[[#This Row],[Age]]&lt;=50,"Adult","Senior"))</f>
        <v>Senior</v>
      </c>
      <c r="T1848" s="1">
        <f>Table1[[#This Row],[Purchase Amount (USD)]]</f>
        <v>53</v>
      </c>
      <c r="U1848">
        <f>IF(Table1[[#This Row],[Subscription Status]]="Yes",1,IF(Table1[[#This Row],[Subscription Status]]="No",0))</f>
        <v>0</v>
      </c>
    </row>
    <row r="1849" spans="1:21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  <c r="S1849" t="str">
        <f>IF(Table1[[#This Row],[Age]]&lt;=25,"Young",IF(Table1[[#This Row],[Age]]&lt;=50,"Adult","Senior"))</f>
        <v>Adult</v>
      </c>
      <c r="T1849" s="1">
        <f>Table1[[#This Row],[Purchase Amount (USD)]]</f>
        <v>100</v>
      </c>
      <c r="U1849">
        <f>IF(Table1[[#This Row],[Subscription Status]]="Yes",1,IF(Table1[[#This Row],[Subscription Status]]="No",0))</f>
        <v>0</v>
      </c>
    </row>
    <row r="1850" spans="1:21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  <c r="S1850" t="str">
        <f>IF(Table1[[#This Row],[Age]]&lt;=25,"Young",IF(Table1[[#This Row],[Age]]&lt;=50,"Adult","Senior"))</f>
        <v>Young</v>
      </c>
      <c r="T1850" s="1">
        <f>Table1[[#This Row],[Purchase Amount (USD)]]</f>
        <v>73</v>
      </c>
      <c r="U1850">
        <f>IF(Table1[[#This Row],[Subscription Status]]="Yes",1,IF(Table1[[#This Row],[Subscription Status]]="No",0))</f>
        <v>0</v>
      </c>
    </row>
    <row r="1851" spans="1:21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  <c r="S1851" t="str">
        <f>IF(Table1[[#This Row],[Age]]&lt;=25,"Young",IF(Table1[[#This Row],[Age]]&lt;=50,"Adult","Senior"))</f>
        <v>Adult</v>
      </c>
      <c r="T1851" s="1">
        <f>Table1[[#This Row],[Purchase Amount (USD)]]</f>
        <v>40</v>
      </c>
      <c r="U1851">
        <f>IF(Table1[[#This Row],[Subscription Status]]="Yes",1,IF(Table1[[#This Row],[Subscription Status]]="No",0))</f>
        <v>0</v>
      </c>
    </row>
    <row r="1852" spans="1:21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  <c r="S1852" t="str">
        <f>IF(Table1[[#This Row],[Age]]&lt;=25,"Young",IF(Table1[[#This Row],[Age]]&lt;=50,"Adult","Senior"))</f>
        <v>Senior</v>
      </c>
      <c r="T1852" s="1">
        <f>Table1[[#This Row],[Purchase Amount (USD)]]</f>
        <v>76</v>
      </c>
      <c r="U1852">
        <f>IF(Table1[[#This Row],[Subscription Status]]="Yes",1,IF(Table1[[#This Row],[Subscription Status]]="No",0))</f>
        <v>0</v>
      </c>
    </row>
    <row r="1853" spans="1:21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  <c r="S1853" t="str">
        <f>IF(Table1[[#This Row],[Age]]&lt;=25,"Young",IF(Table1[[#This Row],[Age]]&lt;=50,"Adult","Senior"))</f>
        <v>Adult</v>
      </c>
      <c r="T1853" s="1">
        <f>Table1[[#This Row],[Purchase Amount (USD)]]</f>
        <v>80</v>
      </c>
      <c r="U1853">
        <f>IF(Table1[[#This Row],[Subscription Status]]="Yes",1,IF(Table1[[#This Row],[Subscription Status]]="No",0))</f>
        <v>0</v>
      </c>
    </row>
    <row r="1854" spans="1:21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  <c r="S1854" t="str">
        <f>IF(Table1[[#This Row],[Age]]&lt;=25,"Young",IF(Table1[[#This Row],[Age]]&lt;=50,"Adult","Senior"))</f>
        <v>Adult</v>
      </c>
      <c r="T1854" s="1">
        <f>Table1[[#This Row],[Purchase Amount (USD)]]</f>
        <v>80</v>
      </c>
      <c r="U1854">
        <f>IF(Table1[[#This Row],[Subscription Status]]="Yes",1,IF(Table1[[#This Row],[Subscription Status]]="No",0))</f>
        <v>0</v>
      </c>
    </row>
    <row r="1855" spans="1:21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  <c r="S1855" t="str">
        <f>IF(Table1[[#This Row],[Age]]&lt;=25,"Young",IF(Table1[[#This Row],[Age]]&lt;=50,"Adult","Senior"))</f>
        <v>Adult</v>
      </c>
      <c r="T1855" s="1">
        <f>Table1[[#This Row],[Purchase Amount (USD)]]</f>
        <v>67</v>
      </c>
      <c r="U1855">
        <f>IF(Table1[[#This Row],[Subscription Status]]="Yes",1,IF(Table1[[#This Row],[Subscription Status]]="No",0))</f>
        <v>0</v>
      </c>
    </row>
    <row r="1856" spans="1:21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  <c r="S1856" t="str">
        <f>IF(Table1[[#This Row],[Age]]&lt;=25,"Young",IF(Table1[[#This Row],[Age]]&lt;=50,"Adult","Senior"))</f>
        <v>Young</v>
      </c>
      <c r="T1856" s="1">
        <f>Table1[[#This Row],[Purchase Amount (USD)]]</f>
        <v>61</v>
      </c>
      <c r="U1856">
        <f>IF(Table1[[#This Row],[Subscription Status]]="Yes",1,IF(Table1[[#This Row],[Subscription Status]]="No",0))</f>
        <v>0</v>
      </c>
    </row>
    <row r="1857" spans="1:21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  <c r="S1857" t="str">
        <f>IF(Table1[[#This Row],[Age]]&lt;=25,"Young",IF(Table1[[#This Row],[Age]]&lt;=50,"Adult","Senior"))</f>
        <v>Senior</v>
      </c>
      <c r="T1857" s="1">
        <f>Table1[[#This Row],[Purchase Amount (USD)]]</f>
        <v>76</v>
      </c>
      <c r="U1857">
        <f>IF(Table1[[#This Row],[Subscription Status]]="Yes",1,IF(Table1[[#This Row],[Subscription Status]]="No",0))</f>
        <v>0</v>
      </c>
    </row>
    <row r="1858" spans="1:21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  <c r="S1858" t="str">
        <f>IF(Table1[[#This Row],[Age]]&lt;=25,"Young",IF(Table1[[#This Row],[Age]]&lt;=50,"Adult","Senior"))</f>
        <v>Senior</v>
      </c>
      <c r="T1858" s="1">
        <f>Table1[[#This Row],[Purchase Amount (USD)]]</f>
        <v>55</v>
      </c>
      <c r="U1858">
        <f>IF(Table1[[#This Row],[Subscription Status]]="Yes",1,IF(Table1[[#This Row],[Subscription Status]]="No",0))</f>
        <v>0</v>
      </c>
    </row>
    <row r="1859" spans="1:21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  <c r="S1859" t="str">
        <f>IF(Table1[[#This Row],[Age]]&lt;=25,"Young",IF(Table1[[#This Row],[Age]]&lt;=50,"Adult","Senior"))</f>
        <v>Senior</v>
      </c>
      <c r="T1859" s="1">
        <f>Table1[[#This Row],[Purchase Amount (USD)]]</f>
        <v>85</v>
      </c>
      <c r="U1859">
        <f>IF(Table1[[#This Row],[Subscription Status]]="Yes",1,IF(Table1[[#This Row],[Subscription Status]]="No",0))</f>
        <v>0</v>
      </c>
    </row>
    <row r="1860" spans="1:21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  <c r="S1860" t="str">
        <f>IF(Table1[[#This Row],[Age]]&lt;=25,"Young",IF(Table1[[#This Row],[Age]]&lt;=50,"Adult","Senior"))</f>
        <v>Young</v>
      </c>
      <c r="T1860" s="1">
        <f>Table1[[#This Row],[Purchase Amount (USD)]]</f>
        <v>69</v>
      </c>
      <c r="U1860">
        <f>IF(Table1[[#This Row],[Subscription Status]]="Yes",1,IF(Table1[[#This Row],[Subscription Status]]="No",0))</f>
        <v>0</v>
      </c>
    </row>
    <row r="1861" spans="1:21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  <c r="S1861" t="str">
        <f>IF(Table1[[#This Row],[Age]]&lt;=25,"Young",IF(Table1[[#This Row],[Age]]&lt;=50,"Adult","Senior"))</f>
        <v>Senior</v>
      </c>
      <c r="T1861" s="1">
        <f>Table1[[#This Row],[Purchase Amount (USD)]]</f>
        <v>26</v>
      </c>
      <c r="U1861">
        <f>IF(Table1[[#This Row],[Subscription Status]]="Yes",1,IF(Table1[[#This Row],[Subscription Status]]="No",0))</f>
        <v>0</v>
      </c>
    </row>
    <row r="1862" spans="1:21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  <c r="S1862" t="str">
        <f>IF(Table1[[#This Row],[Age]]&lt;=25,"Young",IF(Table1[[#This Row],[Age]]&lt;=50,"Adult","Senior"))</f>
        <v>Young</v>
      </c>
      <c r="T1862" s="1">
        <f>Table1[[#This Row],[Purchase Amount (USD)]]</f>
        <v>64</v>
      </c>
      <c r="U1862">
        <f>IF(Table1[[#This Row],[Subscription Status]]="Yes",1,IF(Table1[[#This Row],[Subscription Status]]="No",0))</f>
        <v>0</v>
      </c>
    </row>
    <row r="1863" spans="1:21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  <c r="S1863" t="str">
        <f>IF(Table1[[#This Row],[Age]]&lt;=25,"Young",IF(Table1[[#This Row],[Age]]&lt;=50,"Adult","Senior"))</f>
        <v>Adult</v>
      </c>
      <c r="T1863" s="1">
        <f>Table1[[#This Row],[Purchase Amount (USD)]]</f>
        <v>60</v>
      </c>
      <c r="U1863">
        <f>IF(Table1[[#This Row],[Subscription Status]]="Yes",1,IF(Table1[[#This Row],[Subscription Status]]="No",0))</f>
        <v>0</v>
      </c>
    </row>
    <row r="1864" spans="1:21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  <c r="S1864" t="str">
        <f>IF(Table1[[#This Row],[Age]]&lt;=25,"Young",IF(Table1[[#This Row],[Age]]&lt;=50,"Adult","Senior"))</f>
        <v>Senior</v>
      </c>
      <c r="T1864" s="1">
        <f>Table1[[#This Row],[Purchase Amount (USD)]]</f>
        <v>36</v>
      </c>
      <c r="U1864">
        <f>IF(Table1[[#This Row],[Subscription Status]]="Yes",1,IF(Table1[[#This Row],[Subscription Status]]="No",0))</f>
        <v>0</v>
      </c>
    </row>
    <row r="1865" spans="1:21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  <c r="S1865" t="str">
        <f>IF(Table1[[#This Row],[Age]]&lt;=25,"Young",IF(Table1[[#This Row],[Age]]&lt;=50,"Adult","Senior"))</f>
        <v>Young</v>
      </c>
      <c r="T1865" s="1">
        <f>Table1[[#This Row],[Purchase Amount (USD)]]</f>
        <v>21</v>
      </c>
      <c r="U1865">
        <f>IF(Table1[[#This Row],[Subscription Status]]="Yes",1,IF(Table1[[#This Row],[Subscription Status]]="No",0))</f>
        <v>0</v>
      </c>
    </row>
    <row r="1866" spans="1:21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  <c r="S1866" t="str">
        <f>IF(Table1[[#This Row],[Age]]&lt;=25,"Young",IF(Table1[[#This Row],[Age]]&lt;=50,"Adult","Senior"))</f>
        <v>Young</v>
      </c>
      <c r="T1866" s="1">
        <f>Table1[[#This Row],[Purchase Amount (USD)]]</f>
        <v>72</v>
      </c>
      <c r="U1866">
        <f>IF(Table1[[#This Row],[Subscription Status]]="Yes",1,IF(Table1[[#This Row],[Subscription Status]]="No",0))</f>
        <v>0</v>
      </c>
    </row>
    <row r="1867" spans="1:21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  <c r="S1867" t="str">
        <f>IF(Table1[[#This Row],[Age]]&lt;=25,"Young",IF(Table1[[#This Row],[Age]]&lt;=50,"Adult","Senior"))</f>
        <v>Senior</v>
      </c>
      <c r="T1867" s="1">
        <f>Table1[[#This Row],[Purchase Amount (USD)]]</f>
        <v>62</v>
      </c>
      <c r="U1867">
        <f>IF(Table1[[#This Row],[Subscription Status]]="Yes",1,IF(Table1[[#This Row],[Subscription Status]]="No",0))</f>
        <v>0</v>
      </c>
    </row>
    <row r="1868" spans="1:21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  <c r="S1868" t="str">
        <f>IF(Table1[[#This Row],[Age]]&lt;=25,"Young",IF(Table1[[#This Row],[Age]]&lt;=50,"Adult","Senior"))</f>
        <v>Adult</v>
      </c>
      <c r="T1868" s="1">
        <f>Table1[[#This Row],[Purchase Amount (USD)]]</f>
        <v>44</v>
      </c>
      <c r="U1868">
        <f>IF(Table1[[#This Row],[Subscription Status]]="Yes",1,IF(Table1[[#This Row],[Subscription Status]]="No",0))</f>
        <v>0</v>
      </c>
    </row>
    <row r="1869" spans="1:21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  <c r="S1869" t="str">
        <f>IF(Table1[[#This Row],[Age]]&lt;=25,"Young",IF(Table1[[#This Row],[Age]]&lt;=50,"Adult","Senior"))</f>
        <v>Adult</v>
      </c>
      <c r="T1869" s="1">
        <f>Table1[[#This Row],[Purchase Amount (USD)]]</f>
        <v>52</v>
      </c>
      <c r="U1869">
        <f>IF(Table1[[#This Row],[Subscription Status]]="Yes",1,IF(Table1[[#This Row],[Subscription Status]]="No",0))</f>
        <v>0</v>
      </c>
    </row>
    <row r="1870" spans="1:21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  <c r="S1870" t="str">
        <f>IF(Table1[[#This Row],[Age]]&lt;=25,"Young",IF(Table1[[#This Row],[Age]]&lt;=50,"Adult","Senior"))</f>
        <v>Young</v>
      </c>
      <c r="T1870" s="1">
        <f>Table1[[#This Row],[Purchase Amount (USD)]]</f>
        <v>58</v>
      </c>
      <c r="U1870">
        <f>IF(Table1[[#This Row],[Subscription Status]]="Yes",1,IF(Table1[[#This Row],[Subscription Status]]="No",0))</f>
        <v>0</v>
      </c>
    </row>
    <row r="1871" spans="1:21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  <c r="S1871" t="str">
        <f>IF(Table1[[#This Row],[Age]]&lt;=25,"Young",IF(Table1[[#This Row],[Age]]&lt;=50,"Adult","Senior"))</f>
        <v>Young</v>
      </c>
      <c r="T1871" s="1">
        <f>Table1[[#This Row],[Purchase Amount (USD)]]</f>
        <v>77</v>
      </c>
      <c r="U1871">
        <f>IF(Table1[[#This Row],[Subscription Status]]="Yes",1,IF(Table1[[#This Row],[Subscription Status]]="No",0))</f>
        <v>0</v>
      </c>
    </row>
    <row r="1872" spans="1:21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  <c r="S1872" t="str">
        <f>IF(Table1[[#This Row],[Age]]&lt;=25,"Young",IF(Table1[[#This Row],[Age]]&lt;=50,"Adult","Senior"))</f>
        <v>Adult</v>
      </c>
      <c r="T1872" s="1">
        <f>Table1[[#This Row],[Purchase Amount (USD)]]</f>
        <v>99</v>
      </c>
      <c r="U1872">
        <f>IF(Table1[[#This Row],[Subscription Status]]="Yes",1,IF(Table1[[#This Row],[Subscription Status]]="No",0))</f>
        <v>0</v>
      </c>
    </row>
    <row r="1873" spans="1:21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  <c r="S1873" t="str">
        <f>IF(Table1[[#This Row],[Age]]&lt;=25,"Young",IF(Table1[[#This Row],[Age]]&lt;=50,"Adult","Senior"))</f>
        <v>Senior</v>
      </c>
      <c r="T1873" s="1">
        <f>Table1[[#This Row],[Purchase Amount (USD)]]</f>
        <v>96</v>
      </c>
      <c r="U1873">
        <f>IF(Table1[[#This Row],[Subscription Status]]="Yes",1,IF(Table1[[#This Row],[Subscription Status]]="No",0))</f>
        <v>0</v>
      </c>
    </row>
    <row r="1874" spans="1:21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  <c r="S1874" t="str">
        <f>IF(Table1[[#This Row],[Age]]&lt;=25,"Young",IF(Table1[[#This Row],[Age]]&lt;=50,"Adult","Senior"))</f>
        <v>Adult</v>
      </c>
      <c r="T1874" s="1">
        <f>Table1[[#This Row],[Purchase Amount (USD)]]</f>
        <v>64</v>
      </c>
      <c r="U1874">
        <f>IF(Table1[[#This Row],[Subscription Status]]="Yes",1,IF(Table1[[#This Row],[Subscription Status]]="No",0))</f>
        <v>0</v>
      </c>
    </row>
    <row r="1875" spans="1:21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  <c r="S1875" t="str">
        <f>IF(Table1[[#This Row],[Age]]&lt;=25,"Young",IF(Table1[[#This Row],[Age]]&lt;=50,"Adult","Senior"))</f>
        <v>Senior</v>
      </c>
      <c r="T1875" s="1">
        <f>Table1[[#This Row],[Purchase Amount (USD)]]</f>
        <v>44</v>
      </c>
      <c r="U1875">
        <f>IF(Table1[[#This Row],[Subscription Status]]="Yes",1,IF(Table1[[#This Row],[Subscription Status]]="No",0))</f>
        <v>0</v>
      </c>
    </row>
    <row r="1876" spans="1:21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  <c r="S1876" t="str">
        <f>IF(Table1[[#This Row],[Age]]&lt;=25,"Young",IF(Table1[[#This Row],[Age]]&lt;=50,"Adult","Senior"))</f>
        <v>Senior</v>
      </c>
      <c r="T1876" s="1">
        <f>Table1[[#This Row],[Purchase Amount (USD)]]</f>
        <v>33</v>
      </c>
      <c r="U1876">
        <f>IF(Table1[[#This Row],[Subscription Status]]="Yes",1,IF(Table1[[#This Row],[Subscription Status]]="No",0))</f>
        <v>0</v>
      </c>
    </row>
    <row r="1877" spans="1:21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  <c r="S1877" t="str">
        <f>IF(Table1[[#This Row],[Age]]&lt;=25,"Young",IF(Table1[[#This Row],[Age]]&lt;=50,"Adult","Senior"))</f>
        <v>Senior</v>
      </c>
      <c r="T1877" s="1">
        <f>Table1[[#This Row],[Purchase Amount (USD)]]</f>
        <v>71</v>
      </c>
      <c r="U1877">
        <f>IF(Table1[[#This Row],[Subscription Status]]="Yes",1,IF(Table1[[#This Row],[Subscription Status]]="No",0))</f>
        <v>0</v>
      </c>
    </row>
    <row r="1878" spans="1:21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  <c r="S1878" t="str">
        <f>IF(Table1[[#This Row],[Age]]&lt;=25,"Young",IF(Table1[[#This Row],[Age]]&lt;=50,"Adult","Senior"))</f>
        <v>Senior</v>
      </c>
      <c r="T1878" s="1">
        <f>Table1[[#This Row],[Purchase Amount (USD)]]</f>
        <v>36</v>
      </c>
      <c r="U1878">
        <f>IF(Table1[[#This Row],[Subscription Status]]="Yes",1,IF(Table1[[#This Row],[Subscription Status]]="No",0))</f>
        <v>0</v>
      </c>
    </row>
    <row r="1879" spans="1:21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  <c r="S1879" t="str">
        <f>IF(Table1[[#This Row],[Age]]&lt;=25,"Young",IF(Table1[[#This Row],[Age]]&lt;=50,"Adult","Senior"))</f>
        <v>Senior</v>
      </c>
      <c r="T1879" s="1">
        <f>Table1[[#This Row],[Purchase Amount (USD)]]</f>
        <v>62</v>
      </c>
      <c r="U1879">
        <f>IF(Table1[[#This Row],[Subscription Status]]="Yes",1,IF(Table1[[#This Row],[Subscription Status]]="No",0))</f>
        <v>0</v>
      </c>
    </row>
    <row r="1880" spans="1:21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  <c r="S1880" t="str">
        <f>IF(Table1[[#This Row],[Age]]&lt;=25,"Young",IF(Table1[[#This Row],[Age]]&lt;=50,"Adult","Senior"))</f>
        <v>Adult</v>
      </c>
      <c r="T1880" s="1">
        <f>Table1[[#This Row],[Purchase Amount (USD)]]</f>
        <v>29</v>
      </c>
      <c r="U1880">
        <f>IF(Table1[[#This Row],[Subscription Status]]="Yes",1,IF(Table1[[#This Row],[Subscription Status]]="No",0))</f>
        <v>0</v>
      </c>
    </row>
    <row r="1881" spans="1:21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  <c r="S1881" t="str">
        <f>IF(Table1[[#This Row],[Age]]&lt;=25,"Young",IF(Table1[[#This Row],[Age]]&lt;=50,"Adult","Senior"))</f>
        <v>Senior</v>
      </c>
      <c r="T1881" s="1">
        <f>Table1[[#This Row],[Purchase Amount (USD)]]</f>
        <v>33</v>
      </c>
      <c r="U1881">
        <f>IF(Table1[[#This Row],[Subscription Status]]="Yes",1,IF(Table1[[#This Row],[Subscription Status]]="No",0))</f>
        <v>0</v>
      </c>
    </row>
    <row r="1882" spans="1:21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  <c r="S1882" t="str">
        <f>IF(Table1[[#This Row],[Age]]&lt;=25,"Young",IF(Table1[[#This Row],[Age]]&lt;=50,"Adult","Senior"))</f>
        <v>Adult</v>
      </c>
      <c r="T1882" s="1">
        <f>Table1[[#This Row],[Purchase Amount (USD)]]</f>
        <v>33</v>
      </c>
      <c r="U1882">
        <f>IF(Table1[[#This Row],[Subscription Status]]="Yes",1,IF(Table1[[#This Row],[Subscription Status]]="No",0))</f>
        <v>0</v>
      </c>
    </row>
    <row r="1883" spans="1:21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  <c r="S1883" t="str">
        <f>IF(Table1[[#This Row],[Age]]&lt;=25,"Young",IF(Table1[[#This Row],[Age]]&lt;=50,"Adult","Senior"))</f>
        <v>Senior</v>
      </c>
      <c r="T1883" s="1">
        <f>Table1[[#This Row],[Purchase Amount (USD)]]</f>
        <v>41</v>
      </c>
      <c r="U1883">
        <f>IF(Table1[[#This Row],[Subscription Status]]="Yes",1,IF(Table1[[#This Row],[Subscription Status]]="No",0))</f>
        <v>0</v>
      </c>
    </row>
    <row r="1884" spans="1:21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  <c r="S1884" t="str">
        <f>IF(Table1[[#This Row],[Age]]&lt;=25,"Young",IF(Table1[[#This Row],[Age]]&lt;=50,"Adult","Senior"))</f>
        <v>Adult</v>
      </c>
      <c r="T1884" s="1">
        <f>Table1[[#This Row],[Purchase Amount (USD)]]</f>
        <v>54</v>
      </c>
      <c r="U1884">
        <f>IF(Table1[[#This Row],[Subscription Status]]="Yes",1,IF(Table1[[#This Row],[Subscription Status]]="No",0))</f>
        <v>0</v>
      </c>
    </row>
    <row r="1885" spans="1:21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  <c r="S1885" t="str">
        <f>IF(Table1[[#This Row],[Age]]&lt;=25,"Young",IF(Table1[[#This Row],[Age]]&lt;=50,"Adult","Senior"))</f>
        <v>Young</v>
      </c>
      <c r="T1885" s="1">
        <f>Table1[[#This Row],[Purchase Amount (USD)]]</f>
        <v>58</v>
      </c>
      <c r="U1885">
        <f>IF(Table1[[#This Row],[Subscription Status]]="Yes",1,IF(Table1[[#This Row],[Subscription Status]]="No",0))</f>
        <v>0</v>
      </c>
    </row>
    <row r="1886" spans="1:21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  <c r="S1886" t="str">
        <f>IF(Table1[[#This Row],[Age]]&lt;=25,"Young",IF(Table1[[#This Row],[Age]]&lt;=50,"Adult","Senior"))</f>
        <v>Adult</v>
      </c>
      <c r="T1886" s="1">
        <f>Table1[[#This Row],[Purchase Amount (USD)]]</f>
        <v>30</v>
      </c>
      <c r="U1886">
        <f>IF(Table1[[#This Row],[Subscription Status]]="Yes",1,IF(Table1[[#This Row],[Subscription Status]]="No",0))</f>
        <v>0</v>
      </c>
    </row>
    <row r="1887" spans="1:21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  <c r="S1887" t="str">
        <f>IF(Table1[[#This Row],[Age]]&lt;=25,"Young",IF(Table1[[#This Row],[Age]]&lt;=50,"Adult","Senior"))</f>
        <v>Adult</v>
      </c>
      <c r="T1887" s="1">
        <f>Table1[[#This Row],[Purchase Amount (USD)]]</f>
        <v>53</v>
      </c>
      <c r="U1887">
        <f>IF(Table1[[#This Row],[Subscription Status]]="Yes",1,IF(Table1[[#This Row],[Subscription Status]]="No",0))</f>
        <v>0</v>
      </c>
    </row>
    <row r="1888" spans="1:21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  <c r="S1888" t="str">
        <f>IF(Table1[[#This Row],[Age]]&lt;=25,"Young",IF(Table1[[#This Row],[Age]]&lt;=50,"Adult","Senior"))</f>
        <v>Young</v>
      </c>
      <c r="T1888" s="1">
        <f>Table1[[#This Row],[Purchase Amount (USD)]]</f>
        <v>91</v>
      </c>
      <c r="U1888">
        <f>IF(Table1[[#This Row],[Subscription Status]]="Yes",1,IF(Table1[[#This Row],[Subscription Status]]="No",0))</f>
        <v>0</v>
      </c>
    </row>
    <row r="1889" spans="1:21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  <c r="S1889" t="str">
        <f>IF(Table1[[#This Row],[Age]]&lt;=25,"Young",IF(Table1[[#This Row],[Age]]&lt;=50,"Adult","Senior"))</f>
        <v>Senior</v>
      </c>
      <c r="T1889" s="1">
        <f>Table1[[#This Row],[Purchase Amount (USD)]]</f>
        <v>44</v>
      </c>
      <c r="U1889">
        <f>IF(Table1[[#This Row],[Subscription Status]]="Yes",1,IF(Table1[[#This Row],[Subscription Status]]="No",0))</f>
        <v>0</v>
      </c>
    </row>
    <row r="1890" spans="1:21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  <c r="S1890" t="str">
        <f>IF(Table1[[#This Row],[Age]]&lt;=25,"Young",IF(Table1[[#This Row],[Age]]&lt;=50,"Adult","Senior"))</f>
        <v>Senior</v>
      </c>
      <c r="T1890" s="1">
        <f>Table1[[#This Row],[Purchase Amount (USD)]]</f>
        <v>89</v>
      </c>
      <c r="U1890">
        <f>IF(Table1[[#This Row],[Subscription Status]]="Yes",1,IF(Table1[[#This Row],[Subscription Status]]="No",0))</f>
        <v>0</v>
      </c>
    </row>
    <row r="1891" spans="1:21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  <c r="S1891" t="str">
        <f>IF(Table1[[#This Row],[Age]]&lt;=25,"Young",IF(Table1[[#This Row],[Age]]&lt;=50,"Adult","Senior"))</f>
        <v>Senior</v>
      </c>
      <c r="T1891" s="1">
        <f>Table1[[#This Row],[Purchase Amount (USD)]]</f>
        <v>57</v>
      </c>
      <c r="U1891">
        <f>IF(Table1[[#This Row],[Subscription Status]]="Yes",1,IF(Table1[[#This Row],[Subscription Status]]="No",0))</f>
        <v>0</v>
      </c>
    </row>
    <row r="1892" spans="1:21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  <c r="S1892" t="str">
        <f>IF(Table1[[#This Row],[Age]]&lt;=25,"Young",IF(Table1[[#This Row],[Age]]&lt;=50,"Adult","Senior"))</f>
        <v>Adult</v>
      </c>
      <c r="T1892" s="1">
        <f>Table1[[#This Row],[Purchase Amount (USD)]]</f>
        <v>57</v>
      </c>
      <c r="U1892">
        <f>IF(Table1[[#This Row],[Subscription Status]]="Yes",1,IF(Table1[[#This Row],[Subscription Status]]="No",0))</f>
        <v>0</v>
      </c>
    </row>
    <row r="1893" spans="1:21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  <c r="S1893" t="str">
        <f>IF(Table1[[#This Row],[Age]]&lt;=25,"Young",IF(Table1[[#This Row],[Age]]&lt;=50,"Adult","Senior"))</f>
        <v>Senior</v>
      </c>
      <c r="T1893" s="1">
        <f>Table1[[#This Row],[Purchase Amount (USD)]]</f>
        <v>74</v>
      </c>
      <c r="U1893">
        <f>IF(Table1[[#This Row],[Subscription Status]]="Yes",1,IF(Table1[[#This Row],[Subscription Status]]="No",0))</f>
        <v>0</v>
      </c>
    </row>
    <row r="1894" spans="1:21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  <c r="S1894" t="str">
        <f>IF(Table1[[#This Row],[Age]]&lt;=25,"Young",IF(Table1[[#This Row],[Age]]&lt;=50,"Adult","Senior"))</f>
        <v>Adult</v>
      </c>
      <c r="T1894" s="1">
        <f>Table1[[#This Row],[Purchase Amount (USD)]]</f>
        <v>30</v>
      </c>
      <c r="U1894">
        <f>IF(Table1[[#This Row],[Subscription Status]]="Yes",1,IF(Table1[[#This Row],[Subscription Status]]="No",0))</f>
        <v>0</v>
      </c>
    </row>
    <row r="1895" spans="1:21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  <c r="S1895" t="str">
        <f>IF(Table1[[#This Row],[Age]]&lt;=25,"Young",IF(Table1[[#This Row],[Age]]&lt;=50,"Adult","Senior"))</f>
        <v>Adult</v>
      </c>
      <c r="T1895" s="1">
        <f>Table1[[#This Row],[Purchase Amount (USD)]]</f>
        <v>20</v>
      </c>
      <c r="U1895">
        <f>IF(Table1[[#This Row],[Subscription Status]]="Yes",1,IF(Table1[[#This Row],[Subscription Status]]="No",0))</f>
        <v>0</v>
      </c>
    </row>
    <row r="1896" spans="1:21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  <c r="S1896" t="str">
        <f>IF(Table1[[#This Row],[Age]]&lt;=25,"Young",IF(Table1[[#This Row],[Age]]&lt;=50,"Adult","Senior"))</f>
        <v>Adult</v>
      </c>
      <c r="T1896" s="1">
        <f>Table1[[#This Row],[Purchase Amount (USD)]]</f>
        <v>90</v>
      </c>
      <c r="U1896">
        <f>IF(Table1[[#This Row],[Subscription Status]]="Yes",1,IF(Table1[[#This Row],[Subscription Status]]="No",0))</f>
        <v>0</v>
      </c>
    </row>
    <row r="1897" spans="1:21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  <c r="S1897" t="str">
        <f>IF(Table1[[#This Row],[Age]]&lt;=25,"Young",IF(Table1[[#This Row],[Age]]&lt;=50,"Adult","Senior"))</f>
        <v>Adult</v>
      </c>
      <c r="T1897" s="1">
        <f>Table1[[#This Row],[Purchase Amount (USD)]]</f>
        <v>61</v>
      </c>
      <c r="U1897">
        <f>IF(Table1[[#This Row],[Subscription Status]]="Yes",1,IF(Table1[[#This Row],[Subscription Status]]="No",0))</f>
        <v>0</v>
      </c>
    </row>
    <row r="1898" spans="1:21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  <c r="S1898" t="str">
        <f>IF(Table1[[#This Row],[Age]]&lt;=25,"Young",IF(Table1[[#This Row],[Age]]&lt;=50,"Adult","Senior"))</f>
        <v>Senior</v>
      </c>
      <c r="T1898" s="1">
        <f>Table1[[#This Row],[Purchase Amount (USD)]]</f>
        <v>51</v>
      </c>
      <c r="U1898">
        <f>IF(Table1[[#This Row],[Subscription Status]]="Yes",1,IF(Table1[[#This Row],[Subscription Status]]="No",0))</f>
        <v>0</v>
      </c>
    </row>
    <row r="1899" spans="1:21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  <c r="S1899" t="str">
        <f>IF(Table1[[#This Row],[Age]]&lt;=25,"Young",IF(Table1[[#This Row],[Age]]&lt;=50,"Adult","Senior"))</f>
        <v>Senior</v>
      </c>
      <c r="T1899" s="1">
        <f>Table1[[#This Row],[Purchase Amount (USD)]]</f>
        <v>97</v>
      </c>
      <c r="U1899">
        <f>IF(Table1[[#This Row],[Subscription Status]]="Yes",1,IF(Table1[[#This Row],[Subscription Status]]="No",0))</f>
        <v>0</v>
      </c>
    </row>
    <row r="1900" spans="1:21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  <c r="S1900" t="str">
        <f>IF(Table1[[#This Row],[Age]]&lt;=25,"Young",IF(Table1[[#This Row],[Age]]&lt;=50,"Adult","Senior"))</f>
        <v>Senior</v>
      </c>
      <c r="T1900" s="1">
        <f>Table1[[#This Row],[Purchase Amount (USD)]]</f>
        <v>97</v>
      </c>
      <c r="U1900">
        <f>IF(Table1[[#This Row],[Subscription Status]]="Yes",1,IF(Table1[[#This Row],[Subscription Status]]="No",0))</f>
        <v>0</v>
      </c>
    </row>
    <row r="1901" spans="1:21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  <c r="S1901" t="str">
        <f>IF(Table1[[#This Row],[Age]]&lt;=25,"Young",IF(Table1[[#This Row],[Age]]&lt;=50,"Adult","Senior"))</f>
        <v>Adult</v>
      </c>
      <c r="T1901" s="1">
        <f>Table1[[#This Row],[Purchase Amount (USD)]]</f>
        <v>40</v>
      </c>
      <c r="U1901">
        <f>IF(Table1[[#This Row],[Subscription Status]]="Yes",1,IF(Table1[[#This Row],[Subscription Status]]="No",0))</f>
        <v>0</v>
      </c>
    </row>
    <row r="1902" spans="1:21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  <c r="S1902" t="str">
        <f>IF(Table1[[#This Row],[Age]]&lt;=25,"Young",IF(Table1[[#This Row],[Age]]&lt;=50,"Adult","Senior"))</f>
        <v>Senior</v>
      </c>
      <c r="T1902" s="1">
        <f>Table1[[#This Row],[Purchase Amount (USD)]]</f>
        <v>85</v>
      </c>
      <c r="U1902">
        <f>IF(Table1[[#This Row],[Subscription Status]]="Yes",1,IF(Table1[[#This Row],[Subscription Status]]="No",0))</f>
        <v>0</v>
      </c>
    </row>
    <row r="1903" spans="1:21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  <c r="S1903" t="str">
        <f>IF(Table1[[#This Row],[Age]]&lt;=25,"Young",IF(Table1[[#This Row],[Age]]&lt;=50,"Adult","Senior"))</f>
        <v>Senior</v>
      </c>
      <c r="T1903" s="1">
        <f>Table1[[#This Row],[Purchase Amount (USD)]]</f>
        <v>76</v>
      </c>
      <c r="U1903">
        <f>IF(Table1[[#This Row],[Subscription Status]]="Yes",1,IF(Table1[[#This Row],[Subscription Status]]="No",0))</f>
        <v>0</v>
      </c>
    </row>
    <row r="1904" spans="1:21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  <c r="S1904" t="str">
        <f>IF(Table1[[#This Row],[Age]]&lt;=25,"Young",IF(Table1[[#This Row],[Age]]&lt;=50,"Adult","Senior"))</f>
        <v>Adult</v>
      </c>
      <c r="T1904" s="1">
        <f>Table1[[#This Row],[Purchase Amount (USD)]]</f>
        <v>22</v>
      </c>
      <c r="U1904">
        <f>IF(Table1[[#This Row],[Subscription Status]]="Yes",1,IF(Table1[[#This Row],[Subscription Status]]="No",0))</f>
        <v>0</v>
      </c>
    </row>
    <row r="1905" spans="1:21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  <c r="S1905" t="str">
        <f>IF(Table1[[#This Row],[Age]]&lt;=25,"Young",IF(Table1[[#This Row],[Age]]&lt;=50,"Adult","Senior"))</f>
        <v>Senior</v>
      </c>
      <c r="T1905" s="1">
        <f>Table1[[#This Row],[Purchase Amount (USD)]]</f>
        <v>63</v>
      </c>
      <c r="U1905">
        <f>IF(Table1[[#This Row],[Subscription Status]]="Yes",1,IF(Table1[[#This Row],[Subscription Status]]="No",0))</f>
        <v>0</v>
      </c>
    </row>
    <row r="1906" spans="1:21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  <c r="S1906" t="str">
        <f>IF(Table1[[#This Row],[Age]]&lt;=25,"Young",IF(Table1[[#This Row],[Age]]&lt;=50,"Adult","Senior"))</f>
        <v>Young</v>
      </c>
      <c r="T1906" s="1">
        <f>Table1[[#This Row],[Purchase Amount (USD)]]</f>
        <v>71</v>
      </c>
      <c r="U1906">
        <f>IF(Table1[[#This Row],[Subscription Status]]="Yes",1,IF(Table1[[#This Row],[Subscription Status]]="No",0))</f>
        <v>0</v>
      </c>
    </row>
    <row r="1907" spans="1:21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  <c r="S1907" t="str">
        <f>IF(Table1[[#This Row],[Age]]&lt;=25,"Young",IF(Table1[[#This Row],[Age]]&lt;=50,"Adult","Senior"))</f>
        <v>Adult</v>
      </c>
      <c r="T1907" s="1">
        <f>Table1[[#This Row],[Purchase Amount (USD)]]</f>
        <v>35</v>
      </c>
      <c r="U1907">
        <f>IF(Table1[[#This Row],[Subscription Status]]="Yes",1,IF(Table1[[#This Row],[Subscription Status]]="No",0))</f>
        <v>0</v>
      </c>
    </row>
    <row r="1908" spans="1:21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  <c r="S1908" t="str">
        <f>IF(Table1[[#This Row],[Age]]&lt;=25,"Young",IF(Table1[[#This Row],[Age]]&lt;=50,"Adult","Senior"))</f>
        <v>Young</v>
      </c>
      <c r="T1908" s="1">
        <f>Table1[[#This Row],[Purchase Amount (USD)]]</f>
        <v>30</v>
      </c>
      <c r="U1908">
        <f>IF(Table1[[#This Row],[Subscription Status]]="Yes",1,IF(Table1[[#This Row],[Subscription Status]]="No",0))</f>
        <v>0</v>
      </c>
    </row>
    <row r="1909" spans="1:21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  <c r="S1909" t="str">
        <f>IF(Table1[[#This Row],[Age]]&lt;=25,"Young",IF(Table1[[#This Row],[Age]]&lt;=50,"Adult","Senior"))</f>
        <v>Senior</v>
      </c>
      <c r="T1909" s="1">
        <f>Table1[[#This Row],[Purchase Amount (USD)]]</f>
        <v>74</v>
      </c>
      <c r="U1909">
        <f>IF(Table1[[#This Row],[Subscription Status]]="Yes",1,IF(Table1[[#This Row],[Subscription Status]]="No",0))</f>
        <v>0</v>
      </c>
    </row>
    <row r="1910" spans="1:21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  <c r="S1910" t="str">
        <f>IF(Table1[[#This Row],[Age]]&lt;=25,"Young",IF(Table1[[#This Row],[Age]]&lt;=50,"Adult","Senior"))</f>
        <v>Young</v>
      </c>
      <c r="T1910" s="1">
        <f>Table1[[#This Row],[Purchase Amount (USD)]]</f>
        <v>71</v>
      </c>
      <c r="U1910">
        <f>IF(Table1[[#This Row],[Subscription Status]]="Yes",1,IF(Table1[[#This Row],[Subscription Status]]="No",0))</f>
        <v>0</v>
      </c>
    </row>
    <row r="1911" spans="1:21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  <c r="S1911" t="str">
        <f>IF(Table1[[#This Row],[Age]]&lt;=25,"Young",IF(Table1[[#This Row],[Age]]&lt;=50,"Adult","Senior"))</f>
        <v>Adult</v>
      </c>
      <c r="T1911" s="1">
        <f>Table1[[#This Row],[Purchase Amount (USD)]]</f>
        <v>84</v>
      </c>
      <c r="U1911">
        <f>IF(Table1[[#This Row],[Subscription Status]]="Yes",1,IF(Table1[[#This Row],[Subscription Status]]="No",0))</f>
        <v>0</v>
      </c>
    </row>
    <row r="1912" spans="1:21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  <c r="S1912" t="str">
        <f>IF(Table1[[#This Row],[Age]]&lt;=25,"Young",IF(Table1[[#This Row],[Age]]&lt;=50,"Adult","Senior"))</f>
        <v>Adult</v>
      </c>
      <c r="T1912" s="1">
        <f>Table1[[#This Row],[Purchase Amount (USD)]]</f>
        <v>38</v>
      </c>
      <c r="U1912">
        <f>IF(Table1[[#This Row],[Subscription Status]]="Yes",1,IF(Table1[[#This Row],[Subscription Status]]="No",0))</f>
        <v>0</v>
      </c>
    </row>
    <row r="1913" spans="1:21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  <c r="S1913" t="str">
        <f>IF(Table1[[#This Row],[Age]]&lt;=25,"Young",IF(Table1[[#This Row],[Age]]&lt;=50,"Adult","Senior"))</f>
        <v>Senior</v>
      </c>
      <c r="T1913" s="1">
        <f>Table1[[#This Row],[Purchase Amount (USD)]]</f>
        <v>81</v>
      </c>
      <c r="U1913">
        <f>IF(Table1[[#This Row],[Subscription Status]]="Yes",1,IF(Table1[[#This Row],[Subscription Status]]="No",0))</f>
        <v>0</v>
      </c>
    </row>
    <row r="1914" spans="1:21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  <c r="S1914" t="str">
        <f>IF(Table1[[#This Row],[Age]]&lt;=25,"Young",IF(Table1[[#This Row],[Age]]&lt;=50,"Adult","Senior"))</f>
        <v>Adult</v>
      </c>
      <c r="T1914" s="1">
        <f>Table1[[#This Row],[Purchase Amount (USD)]]</f>
        <v>56</v>
      </c>
      <c r="U1914">
        <f>IF(Table1[[#This Row],[Subscription Status]]="Yes",1,IF(Table1[[#This Row],[Subscription Status]]="No",0))</f>
        <v>0</v>
      </c>
    </row>
    <row r="1915" spans="1:21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  <c r="S1915" t="str">
        <f>IF(Table1[[#This Row],[Age]]&lt;=25,"Young",IF(Table1[[#This Row],[Age]]&lt;=50,"Adult","Senior"))</f>
        <v>Adult</v>
      </c>
      <c r="T1915" s="1">
        <f>Table1[[#This Row],[Purchase Amount (USD)]]</f>
        <v>48</v>
      </c>
      <c r="U1915">
        <f>IF(Table1[[#This Row],[Subscription Status]]="Yes",1,IF(Table1[[#This Row],[Subscription Status]]="No",0))</f>
        <v>0</v>
      </c>
    </row>
    <row r="1916" spans="1:21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  <c r="S1916" t="str">
        <f>IF(Table1[[#This Row],[Age]]&lt;=25,"Young",IF(Table1[[#This Row],[Age]]&lt;=50,"Adult","Senior"))</f>
        <v>Adult</v>
      </c>
      <c r="T1916" s="1">
        <f>Table1[[#This Row],[Purchase Amount (USD)]]</f>
        <v>97</v>
      </c>
      <c r="U1916">
        <f>IF(Table1[[#This Row],[Subscription Status]]="Yes",1,IF(Table1[[#This Row],[Subscription Status]]="No",0))</f>
        <v>0</v>
      </c>
    </row>
    <row r="1917" spans="1:21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  <c r="S1917" t="str">
        <f>IF(Table1[[#This Row],[Age]]&lt;=25,"Young",IF(Table1[[#This Row],[Age]]&lt;=50,"Adult","Senior"))</f>
        <v>Senior</v>
      </c>
      <c r="T1917" s="1">
        <f>Table1[[#This Row],[Purchase Amount (USD)]]</f>
        <v>74</v>
      </c>
      <c r="U1917">
        <f>IF(Table1[[#This Row],[Subscription Status]]="Yes",1,IF(Table1[[#This Row],[Subscription Status]]="No",0))</f>
        <v>0</v>
      </c>
    </row>
    <row r="1918" spans="1:21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  <c r="S1918" t="str">
        <f>IF(Table1[[#This Row],[Age]]&lt;=25,"Young",IF(Table1[[#This Row],[Age]]&lt;=50,"Adult","Senior"))</f>
        <v>Adult</v>
      </c>
      <c r="T1918" s="1">
        <f>Table1[[#This Row],[Purchase Amount (USD)]]</f>
        <v>50</v>
      </c>
      <c r="U1918">
        <f>IF(Table1[[#This Row],[Subscription Status]]="Yes",1,IF(Table1[[#This Row],[Subscription Status]]="No",0))</f>
        <v>0</v>
      </c>
    </row>
    <row r="1919" spans="1:21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  <c r="S1919" t="str">
        <f>IF(Table1[[#This Row],[Age]]&lt;=25,"Young",IF(Table1[[#This Row],[Age]]&lt;=50,"Adult","Senior"))</f>
        <v>Adult</v>
      </c>
      <c r="T1919" s="1">
        <f>Table1[[#This Row],[Purchase Amount (USD)]]</f>
        <v>71</v>
      </c>
      <c r="U1919">
        <f>IF(Table1[[#This Row],[Subscription Status]]="Yes",1,IF(Table1[[#This Row],[Subscription Status]]="No",0))</f>
        <v>0</v>
      </c>
    </row>
    <row r="1920" spans="1:21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  <c r="S1920" t="str">
        <f>IF(Table1[[#This Row],[Age]]&lt;=25,"Young",IF(Table1[[#This Row],[Age]]&lt;=50,"Adult","Senior"))</f>
        <v>Adult</v>
      </c>
      <c r="T1920" s="1">
        <f>Table1[[#This Row],[Purchase Amount (USD)]]</f>
        <v>33</v>
      </c>
      <c r="U1920">
        <f>IF(Table1[[#This Row],[Subscription Status]]="Yes",1,IF(Table1[[#This Row],[Subscription Status]]="No",0))</f>
        <v>0</v>
      </c>
    </row>
    <row r="1921" spans="1:21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  <c r="S1921" t="str">
        <f>IF(Table1[[#This Row],[Age]]&lt;=25,"Young",IF(Table1[[#This Row],[Age]]&lt;=50,"Adult","Senior"))</f>
        <v>Adult</v>
      </c>
      <c r="T1921" s="1">
        <f>Table1[[#This Row],[Purchase Amount (USD)]]</f>
        <v>56</v>
      </c>
      <c r="U1921">
        <f>IF(Table1[[#This Row],[Subscription Status]]="Yes",1,IF(Table1[[#This Row],[Subscription Status]]="No",0))</f>
        <v>0</v>
      </c>
    </row>
    <row r="1922" spans="1:21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  <c r="S1922" t="str">
        <f>IF(Table1[[#This Row],[Age]]&lt;=25,"Young",IF(Table1[[#This Row],[Age]]&lt;=50,"Adult","Senior"))</f>
        <v>Senior</v>
      </c>
      <c r="T1922" s="1">
        <f>Table1[[#This Row],[Purchase Amount (USD)]]</f>
        <v>84</v>
      </c>
      <c r="U1922">
        <f>IF(Table1[[#This Row],[Subscription Status]]="Yes",1,IF(Table1[[#This Row],[Subscription Status]]="No",0))</f>
        <v>0</v>
      </c>
    </row>
    <row r="1923" spans="1:21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  <c r="S1923" t="str">
        <f>IF(Table1[[#This Row],[Age]]&lt;=25,"Young",IF(Table1[[#This Row],[Age]]&lt;=50,"Adult","Senior"))</f>
        <v>Adult</v>
      </c>
      <c r="T1923" s="1">
        <f>Table1[[#This Row],[Purchase Amount (USD)]]</f>
        <v>36</v>
      </c>
      <c r="U1923">
        <f>IF(Table1[[#This Row],[Subscription Status]]="Yes",1,IF(Table1[[#This Row],[Subscription Status]]="No",0))</f>
        <v>0</v>
      </c>
    </row>
    <row r="1924" spans="1:21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  <c r="S1924" t="str">
        <f>IF(Table1[[#This Row],[Age]]&lt;=25,"Young",IF(Table1[[#This Row],[Age]]&lt;=50,"Adult","Senior"))</f>
        <v>Young</v>
      </c>
      <c r="T1924" s="1">
        <f>Table1[[#This Row],[Purchase Amount (USD)]]</f>
        <v>63</v>
      </c>
      <c r="U1924">
        <f>IF(Table1[[#This Row],[Subscription Status]]="Yes",1,IF(Table1[[#This Row],[Subscription Status]]="No",0))</f>
        <v>0</v>
      </c>
    </row>
    <row r="1925" spans="1:21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  <c r="S1925" t="str">
        <f>IF(Table1[[#This Row],[Age]]&lt;=25,"Young",IF(Table1[[#This Row],[Age]]&lt;=50,"Adult","Senior"))</f>
        <v>Senior</v>
      </c>
      <c r="T1925" s="1">
        <f>Table1[[#This Row],[Purchase Amount (USD)]]</f>
        <v>36</v>
      </c>
      <c r="U1925">
        <f>IF(Table1[[#This Row],[Subscription Status]]="Yes",1,IF(Table1[[#This Row],[Subscription Status]]="No",0))</f>
        <v>0</v>
      </c>
    </row>
    <row r="1926" spans="1:21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  <c r="S1926" t="str">
        <f>IF(Table1[[#This Row],[Age]]&lt;=25,"Young",IF(Table1[[#This Row],[Age]]&lt;=50,"Adult","Senior"))</f>
        <v>Adult</v>
      </c>
      <c r="T1926" s="1">
        <f>Table1[[#This Row],[Purchase Amount (USD)]]</f>
        <v>63</v>
      </c>
      <c r="U1926">
        <f>IF(Table1[[#This Row],[Subscription Status]]="Yes",1,IF(Table1[[#This Row],[Subscription Status]]="No",0))</f>
        <v>0</v>
      </c>
    </row>
    <row r="1927" spans="1:21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  <c r="S1927" t="str">
        <f>IF(Table1[[#This Row],[Age]]&lt;=25,"Young",IF(Table1[[#This Row],[Age]]&lt;=50,"Adult","Senior"))</f>
        <v>Senior</v>
      </c>
      <c r="T1927" s="1">
        <f>Table1[[#This Row],[Purchase Amount (USD)]]</f>
        <v>32</v>
      </c>
      <c r="U1927">
        <f>IF(Table1[[#This Row],[Subscription Status]]="Yes",1,IF(Table1[[#This Row],[Subscription Status]]="No",0))</f>
        <v>0</v>
      </c>
    </row>
    <row r="1928" spans="1:21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  <c r="S1928" t="str">
        <f>IF(Table1[[#This Row],[Age]]&lt;=25,"Young",IF(Table1[[#This Row],[Age]]&lt;=50,"Adult","Senior"))</f>
        <v>Senior</v>
      </c>
      <c r="T1928" s="1">
        <f>Table1[[#This Row],[Purchase Amount (USD)]]</f>
        <v>93</v>
      </c>
      <c r="U1928">
        <f>IF(Table1[[#This Row],[Subscription Status]]="Yes",1,IF(Table1[[#This Row],[Subscription Status]]="No",0))</f>
        <v>0</v>
      </c>
    </row>
    <row r="1929" spans="1:21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  <c r="S1929" t="str">
        <f>IF(Table1[[#This Row],[Age]]&lt;=25,"Young",IF(Table1[[#This Row],[Age]]&lt;=50,"Adult","Senior"))</f>
        <v>Adult</v>
      </c>
      <c r="T1929" s="1">
        <f>Table1[[#This Row],[Purchase Amount (USD)]]</f>
        <v>29</v>
      </c>
      <c r="U1929">
        <f>IF(Table1[[#This Row],[Subscription Status]]="Yes",1,IF(Table1[[#This Row],[Subscription Status]]="No",0))</f>
        <v>0</v>
      </c>
    </row>
    <row r="1930" spans="1:21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  <c r="S1930" t="str">
        <f>IF(Table1[[#This Row],[Age]]&lt;=25,"Young",IF(Table1[[#This Row],[Age]]&lt;=50,"Adult","Senior"))</f>
        <v>Young</v>
      </c>
      <c r="T1930" s="1">
        <f>Table1[[#This Row],[Purchase Amount (USD)]]</f>
        <v>92</v>
      </c>
      <c r="U1930">
        <f>IF(Table1[[#This Row],[Subscription Status]]="Yes",1,IF(Table1[[#This Row],[Subscription Status]]="No",0))</f>
        <v>0</v>
      </c>
    </row>
    <row r="1931" spans="1:21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  <c r="S1931" t="str">
        <f>IF(Table1[[#This Row],[Age]]&lt;=25,"Young",IF(Table1[[#This Row],[Age]]&lt;=50,"Adult","Senior"))</f>
        <v>Senior</v>
      </c>
      <c r="T1931" s="1">
        <f>Table1[[#This Row],[Purchase Amount (USD)]]</f>
        <v>33</v>
      </c>
      <c r="U1931">
        <f>IF(Table1[[#This Row],[Subscription Status]]="Yes",1,IF(Table1[[#This Row],[Subscription Status]]="No",0))</f>
        <v>0</v>
      </c>
    </row>
    <row r="1932" spans="1:21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  <c r="S1932" t="str">
        <f>IF(Table1[[#This Row],[Age]]&lt;=25,"Young",IF(Table1[[#This Row],[Age]]&lt;=50,"Adult","Senior"))</f>
        <v>Senior</v>
      </c>
      <c r="T1932" s="1">
        <f>Table1[[#This Row],[Purchase Amount (USD)]]</f>
        <v>52</v>
      </c>
      <c r="U1932">
        <f>IF(Table1[[#This Row],[Subscription Status]]="Yes",1,IF(Table1[[#This Row],[Subscription Status]]="No",0))</f>
        <v>0</v>
      </c>
    </row>
    <row r="1933" spans="1:21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  <c r="S1933" t="str">
        <f>IF(Table1[[#This Row],[Age]]&lt;=25,"Young",IF(Table1[[#This Row],[Age]]&lt;=50,"Adult","Senior"))</f>
        <v>Senior</v>
      </c>
      <c r="T1933" s="1">
        <f>Table1[[#This Row],[Purchase Amount (USD)]]</f>
        <v>42</v>
      </c>
      <c r="U1933">
        <f>IF(Table1[[#This Row],[Subscription Status]]="Yes",1,IF(Table1[[#This Row],[Subscription Status]]="No",0))</f>
        <v>0</v>
      </c>
    </row>
    <row r="1934" spans="1:21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  <c r="S1934" t="str">
        <f>IF(Table1[[#This Row],[Age]]&lt;=25,"Young",IF(Table1[[#This Row],[Age]]&lt;=50,"Adult","Senior"))</f>
        <v>Adult</v>
      </c>
      <c r="T1934" s="1">
        <f>Table1[[#This Row],[Purchase Amount (USD)]]</f>
        <v>36</v>
      </c>
      <c r="U1934">
        <f>IF(Table1[[#This Row],[Subscription Status]]="Yes",1,IF(Table1[[#This Row],[Subscription Status]]="No",0))</f>
        <v>0</v>
      </c>
    </row>
    <row r="1935" spans="1:21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  <c r="S1935" t="str">
        <f>IF(Table1[[#This Row],[Age]]&lt;=25,"Young",IF(Table1[[#This Row],[Age]]&lt;=50,"Adult","Senior"))</f>
        <v>Adult</v>
      </c>
      <c r="T1935" s="1">
        <f>Table1[[#This Row],[Purchase Amount (USD)]]</f>
        <v>67</v>
      </c>
      <c r="U1935">
        <f>IF(Table1[[#This Row],[Subscription Status]]="Yes",1,IF(Table1[[#This Row],[Subscription Status]]="No",0))</f>
        <v>0</v>
      </c>
    </row>
    <row r="1936" spans="1:21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  <c r="S1936" t="str">
        <f>IF(Table1[[#This Row],[Age]]&lt;=25,"Young",IF(Table1[[#This Row],[Age]]&lt;=50,"Adult","Senior"))</f>
        <v>Adult</v>
      </c>
      <c r="T1936" s="1">
        <f>Table1[[#This Row],[Purchase Amount (USD)]]</f>
        <v>43</v>
      </c>
      <c r="U1936">
        <f>IF(Table1[[#This Row],[Subscription Status]]="Yes",1,IF(Table1[[#This Row],[Subscription Status]]="No",0))</f>
        <v>0</v>
      </c>
    </row>
    <row r="1937" spans="1:21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  <c r="S1937" t="str">
        <f>IF(Table1[[#This Row],[Age]]&lt;=25,"Young",IF(Table1[[#This Row],[Age]]&lt;=50,"Adult","Senior"))</f>
        <v>Young</v>
      </c>
      <c r="T1937" s="1">
        <f>Table1[[#This Row],[Purchase Amount (USD)]]</f>
        <v>68</v>
      </c>
      <c r="U1937">
        <f>IF(Table1[[#This Row],[Subscription Status]]="Yes",1,IF(Table1[[#This Row],[Subscription Status]]="No",0))</f>
        <v>0</v>
      </c>
    </row>
    <row r="1938" spans="1:21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  <c r="S1938" t="str">
        <f>IF(Table1[[#This Row],[Age]]&lt;=25,"Young",IF(Table1[[#This Row],[Age]]&lt;=50,"Adult","Senior"))</f>
        <v>Senior</v>
      </c>
      <c r="T1938" s="1">
        <f>Table1[[#This Row],[Purchase Amount (USD)]]</f>
        <v>60</v>
      </c>
      <c r="U1938">
        <f>IF(Table1[[#This Row],[Subscription Status]]="Yes",1,IF(Table1[[#This Row],[Subscription Status]]="No",0))</f>
        <v>0</v>
      </c>
    </row>
    <row r="1939" spans="1:21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  <c r="S1939" t="str">
        <f>IF(Table1[[#This Row],[Age]]&lt;=25,"Young",IF(Table1[[#This Row],[Age]]&lt;=50,"Adult","Senior"))</f>
        <v>Adult</v>
      </c>
      <c r="T1939" s="1">
        <f>Table1[[#This Row],[Purchase Amount (USD)]]</f>
        <v>53</v>
      </c>
      <c r="U1939">
        <f>IF(Table1[[#This Row],[Subscription Status]]="Yes",1,IF(Table1[[#This Row],[Subscription Status]]="No",0))</f>
        <v>0</v>
      </c>
    </row>
    <row r="1940" spans="1:21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  <c r="S1940" t="str">
        <f>IF(Table1[[#This Row],[Age]]&lt;=25,"Young",IF(Table1[[#This Row],[Age]]&lt;=50,"Adult","Senior"))</f>
        <v>Adult</v>
      </c>
      <c r="T1940" s="1">
        <f>Table1[[#This Row],[Purchase Amount (USD)]]</f>
        <v>23</v>
      </c>
      <c r="U1940">
        <f>IF(Table1[[#This Row],[Subscription Status]]="Yes",1,IF(Table1[[#This Row],[Subscription Status]]="No",0))</f>
        <v>0</v>
      </c>
    </row>
    <row r="1941" spans="1:21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  <c r="S1941" t="str">
        <f>IF(Table1[[#This Row],[Age]]&lt;=25,"Young",IF(Table1[[#This Row],[Age]]&lt;=50,"Adult","Senior"))</f>
        <v>Senior</v>
      </c>
      <c r="T1941" s="1">
        <f>Table1[[#This Row],[Purchase Amount (USD)]]</f>
        <v>57</v>
      </c>
      <c r="U1941">
        <f>IF(Table1[[#This Row],[Subscription Status]]="Yes",1,IF(Table1[[#This Row],[Subscription Status]]="No",0))</f>
        <v>0</v>
      </c>
    </row>
    <row r="1942" spans="1:21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  <c r="S1942" t="str">
        <f>IF(Table1[[#This Row],[Age]]&lt;=25,"Young",IF(Table1[[#This Row],[Age]]&lt;=50,"Adult","Senior"))</f>
        <v>Adult</v>
      </c>
      <c r="T1942" s="1">
        <f>Table1[[#This Row],[Purchase Amount (USD)]]</f>
        <v>89</v>
      </c>
      <c r="U1942">
        <f>IF(Table1[[#This Row],[Subscription Status]]="Yes",1,IF(Table1[[#This Row],[Subscription Status]]="No",0))</f>
        <v>0</v>
      </c>
    </row>
    <row r="1943" spans="1:21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  <c r="S1943" t="str">
        <f>IF(Table1[[#This Row],[Age]]&lt;=25,"Young",IF(Table1[[#This Row],[Age]]&lt;=50,"Adult","Senior"))</f>
        <v>Senior</v>
      </c>
      <c r="T1943" s="1">
        <f>Table1[[#This Row],[Purchase Amount (USD)]]</f>
        <v>99</v>
      </c>
      <c r="U1943">
        <f>IF(Table1[[#This Row],[Subscription Status]]="Yes",1,IF(Table1[[#This Row],[Subscription Status]]="No",0))</f>
        <v>0</v>
      </c>
    </row>
    <row r="1944" spans="1:21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  <c r="S1944" t="str">
        <f>IF(Table1[[#This Row],[Age]]&lt;=25,"Young",IF(Table1[[#This Row],[Age]]&lt;=50,"Adult","Senior"))</f>
        <v>Senior</v>
      </c>
      <c r="T1944" s="1">
        <f>Table1[[#This Row],[Purchase Amount (USD)]]</f>
        <v>28</v>
      </c>
      <c r="U1944">
        <f>IF(Table1[[#This Row],[Subscription Status]]="Yes",1,IF(Table1[[#This Row],[Subscription Status]]="No",0))</f>
        <v>0</v>
      </c>
    </row>
    <row r="1945" spans="1:21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  <c r="S1945" t="str">
        <f>IF(Table1[[#This Row],[Age]]&lt;=25,"Young",IF(Table1[[#This Row],[Age]]&lt;=50,"Adult","Senior"))</f>
        <v>Adult</v>
      </c>
      <c r="T1945" s="1">
        <f>Table1[[#This Row],[Purchase Amount (USD)]]</f>
        <v>53</v>
      </c>
      <c r="U1945">
        <f>IF(Table1[[#This Row],[Subscription Status]]="Yes",1,IF(Table1[[#This Row],[Subscription Status]]="No",0))</f>
        <v>0</v>
      </c>
    </row>
    <row r="1946" spans="1:21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  <c r="S1946" t="str">
        <f>IF(Table1[[#This Row],[Age]]&lt;=25,"Young",IF(Table1[[#This Row],[Age]]&lt;=50,"Adult","Senior"))</f>
        <v>Adult</v>
      </c>
      <c r="T1946" s="1">
        <f>Table1[[#This Row],[Purchase Amount (USD)]]</f>
        <v>45</v>
      </c>
      <c r="U1946">
        <f>IF(Table1[[#This Row],[Subscription Status]]="Yes",1,IF(Table1[[#This Row],[Subscription Status]]="No",0))</f>
        <v>0</v>
      </c>
    </row>
    <row r="1947" spans="1:21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  <c r="S1947" t="str">
        <f>IF(Table1[[#This Row],[Age]]&lt;=25,"Young",IF(Table1[[#This Row],[Age]]&lt;=50,"Adult","Senior"))</f>
        <v>Adult</v>
      </c>
      <c r="T1947" s="1">
        <f>Table1[[#This Row],[Purchase Amount (USD)]]</f>
        <v>38</v>
      </c>
      <c r="U1947">
        <f>IF(Table1[[#This Row],[Subscription Status]]="Yes",1,IF(Table1[[#This Row],[Subscription Status]]="No",0))</f>
        <v>0</v>
      </c>
    </row>
    <row r="1948" spans="1:21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  <c r="S1948" t="str">
        <f>IF(Table1[[#This Row],[Age]]&lt;=25,"Young",IF(Table1[[#This Row],[Age]]&lt;=50,"Adult","Senior"))</f>
        <v>Senior</v>
      </c>
      <c r="T1948" s="1">
        <f>Table1[[#This Row],[Purchase Amount (USD)]]</f>
        <v>49</v>
      </c>
      <c r="U1948">
        <f>IF(Table1[[#This Row],[Subscription Status]]="Yes",1,IF(Table1[[#This Row],[Subscription Status]]="No",0))</f>
        <v>0</v>
      </c>
    </row>
    <row r="1949" spans="1:21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  <c r="S1949" t="str">
        <f>IF(Table1[[#This Row],[Age]]&lt;=25,"Young",IF(Table1[[#This Row],[Age]]&lt;=50,"Adult","Senior"))</f>
        <v>Senior</v>
      </c>
      <c r="T1949" s="1">
        <f>Table1[[#This Row],[Purchase Amount (USD)]]</f>
        <v>32</v>
      </c>
      <c r="U1949">
        <f>IF(Table1[[#This Row],[Subscription Status]]="Yes",1,IF(Table1[[#This Row],[Subscription Status]]="No",0))</f>
        <v>0</v>
      </c>
    </row>
    <row r="1950" spans="1:21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  <c r="S1950" t="str">
        <f>IF(Table1[[#This Row],[Age]]&lt;=25,"Young",IF(Table1[[#This Row],[Age]]&lt;=50,"Adult","Senior"))</f>
        <v>Senior</v>
      </c>
      <c r="T1950" s="1">
        <f>Table1[[#This Row],[Purchase Amount (USD)]]</f>
        <v>37</v>
      </c>
      <c r="U1950">
        <f>IF(Table1[[#This Row],[Subscription Status]]="Yes",1,IF(Table1[[#This Row],[Subscription Status]]="No",0))</f>
        <v>0</v>
      </c>
    </row>
    <row r="1951" spans="1:21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  <c r="S1951" t="str">
        <f>IF(Table1[[#This Row],[Age]]&lt;=25,"Young",IF(Table1[[#This Row],[Age]]&lt;=50,"Adult","Senior"))</f>
        <v>Senior</v>
      </c>
      <c r="T1951" s="1">
        <f>Table1[[#This Row],[Purchase Amount (USD)]]</f>
        <v>80</v>
      </c>
      <c r="U1951">
        <f>IF(Table1[[#This Row],[Subscription Status]]="Yes",1,IF(Table1[[#This Row],[Subscription Status]]="No",0))</f>
        <v>0</v>
      </c>
    </row>
    <row r="1952" spans="1:21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  <c r="S1952" t="str">
        <f>IF(Table1[[#This Row],[Age]]&lt;=25,"Young",IF(Table1[[#This Row],[Age]]&lt;=50,"Adult","Senior"))</f>
        <v>Adult</v>
      </c>
      <c r="T1952" s="1">
        <f>Table1[[#This Row],[Purchase Amount (USD)]]</f>
        <v>78</v>
      </c>
      <c r="U1952">
        <f>IF(Table1[[#This Row],[Subscription Status]]="Yes",1,IF(Table1[[#This Row],[Subscription Status]]="No",0))</f>
        <v>0</v>
      </c>
    </row>
    <row r="1953" spans="1:21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  <c r="S1953" t="str">
        <f>IF(Table1[[#This Row],[Age]]&lt;=25,"Young",IF(Table1[[#This Row],[Age]]&lt;=50,"Adult","Senior"))</f>
        <v>Adult</v>
      </c>
      <c r="T1953" s="1">
        <f>Table1[[#This Row],[Purchase Amount (USD)]]</f>
        <v>53</v>
      </c>
      <c r="U1953">
        <f>IF(Table1[[#This Row],[Subscription Status]]="Yes",1,IF(Table1[[#This Row],[Subscription Status]]="No",0))</f>
        <v>0</v>
      </c>
    </row>
    <row r="1954" spans="1:21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  <c r="S1954" t="str">
        <f>IF(Table1[[#This Row],[Age]]&lt;=25,"Young",IF(Table1[[#This Row],[Age]]&lt;=50,"Adult","Senior"))</f>
        <v>Senior</v>
      </c>
      <c r="T1954" s="1">
        <f>Table1[[#This Row],[Purchase Amount (USD)]]</f>
        <v>82</v>
      </c>
      <c r="U1954">
        <f>IF(Table1[[#This Row],[Subscription Status]]="Yes",1,IF(Table1[[#This Row],[Subscription Status]]="No",0))</f>
        <v>0</v>
      </c>
    </row>
    <row r="1955" spans="1:21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  <c r="S1955" t="str">
        <f>IF(Table1[[#This Row],[Age]]&lt;=25,"Young",IF(Table1[[#This Row],[Age]]&lt;=50,"Adult","Senior"))</f>
        <v>Young</v>
      </c>
      <c r="T1955" s="1">
        <f>Table1[[#This Row],[Purchase Amount (USD)]]</f>
        <v>33</v>
      </c>
      <c r="U1955">
        <f>IF(Table1[[#This Row],[Subscription Status]]="Yes",1,IF(Table1[[#This Row],[Subscription Status]]="No",0))</f>
        <v>0</v>
      </c>
    </row>
    <row r="1956" spans="1:21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  <c r="S1956" t="str">
        <f>IF(Table1[[#This Row],[Age]]&lt;=25,"Young",IF(Table1[[#This Row],[Age]]&lt;=50,"Adult","Senior"))</f>
        <v>Adult</v>
      </c>
      <c r="T1956" s="1">
        <f>Table1[[#This Row],[Purchase Amount (USD)]]</f>
        <v>77</v>
      </c>
      <c r="U1956">
        <f>IF(Table1[[#This Row],[Subscription Status]]="Yes",1,IF(Table1[[#This Row],[Subscription Status]]="No",0))</f>
        <v>0</v>
      </c>
    </row>
    <row r="1957" spans="1:21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  <c r="S1957" t="str">
        <f>IF(Table1[[#This Row],[Age]]&lt;=25,"Young",IF(Table1[[#This Row],[Age]]&lt;=50,"Adult","Senior"))</f>
        <v>Adult</v>
      </c>
      <c r="T1957" s="1">
        <f>Table1[[#This Row],[Purchase Amount (USD)]]</f>
        <v>56</v>
      </c>
      <c r="U1957">
        <f>IF(Table1[[#This Row],[Subscription Status]]="Yes",1,IF(Table1[[#This Row],[Subscription Status]]="No",0))</f>
        <v>0</v>
      </c>
    </row>
    <row r="1958" spans="1:21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  <c r="S1958" t="str">
        <f>IF(Table1[[#This Row],[Age]]&lt;=25,"Young",IF(Table1[[#This Row],[Age]]&lt;=50,"Adult","Senior"))</f>
        <v>Senior</v>
      </c>
      <c r="T1958" s="1">
        <f>Table1[[#This Row],[Purchase Amount (USD)]]</f>
        <v>37</v>
      </c>
      <c r="U1958">
        <f>IF(Table1[[#This Row],[Subscription Status]]="Yes",1,IF(Table1[[#This Row],[Subscription Status]]="No",0))</f>
        <v>0</v>
      </c>
    </row>
    <row r="1959" spans="1:21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  <c r="S1959" t="str">
        <f>IF(Table1[[#This Row],[Age]]&lt;=25,"Young",IF(Table1[[#This Row],[Age]]&lt;=50,"Adult","Senior"))</f>
        <v>Senior</v>
      </c>
      <c r="T1959" s="1">
        <f>Table1[[#This Row],[Purchase Amount (USD)]]</f>
        <v>54</v>
      </c>
      <c r="U1959">
        <f>IF(Table1[[#This Row],[Subscription Status]]="Yes",1,IF(Table1[[#This Row],[Subscription Status]]="No",0))</f>
        <v>0</v>
      </c>
    </row>
    <row r="1960" spans="1:21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  <c r="S1960" t="str">
        <f>IF(Table1[[#This Row],[Age]]&lt;=25,"Young",IF(Table1[[#This Row],[Age]]&lt;=50,"Adult","Senior"))</f>
        <v>Adult</v>
      </c>
      <c r="T1960" s="1">
        <f>Table1[[#This Row],[Purchase Amount (USD)]]</f>
        <v>67</v>
      </c>
      <c r="U1960">
        <f>IF(Table1[[#This Row],[Subscription Status]]="Yes",1,IF(Table1[[#This Row],[Subscription Status]]="No",0))</f>
        <v>0</v>
      </c>
    </row>
    <row r="1961" spans="1:21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  <c r="S1961" t="str">
        <f>IF(Table1[[#This Row],[Age]]&lt;=25,"Young",IF(Table1[[#This Row],[Age]]&lt;=50,"Adult","Senior"))</f>
        <v>Adult</v>
      </c>
      <c r="T1961" s="1">
        <f>Table1[[#This Row],[Purchase Amount (USD)]]</f>
        <v>90</v>
      </c>
      <c r="U1961">
        <f>IF(Table1[[#This Row],[Subscription Status]]="Yes",1,IF(Table1[[#This Row],[Subscription Status]]="No",0))</f>
        <v>0</v>
      </c>
    </row>
    <row r="1962" spans="1:21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  <c r="S1962" t="str">
        <f>IF(Table1[[#This Row],[Age]]&lt;=25,"Young",IF(Table1[[#This Row],[Age]]&lt;=50,"Adult","Senior"))</f>
        <v>Senior</v>
      </c>
      <c r="T1962" s="1">
        <f>Table1[[#This Row],[Purchase Amount (USD)]]</f>
        <v>72</v>
      </c>
      <c r="U1962">
        <f>IF(Table1[[#This Row],[Subscription Status]]="Yes",1,IF(Table1[[#This Row],[Subscription Status]]="No",0))</f>
        <v>0</v>
      </c>
    </row>
    <row r="1963" spans="1:21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  <c r="S1963" t="str">
        <f>IF(Table1[[#This Row],[Age]]&lt;=25,"Young",IF(Table1[[#This Row],[Age]]&lt;=50,"Adult","Senior"))</f>
        <v>Adult</v>
      </c>
      <c r="T1963" s="1">
        <f>Table1[[#This Row],[Purchase Amount (USD)]]</f>
        <v>59</v>
      </c>
      <c r="U1963">
        <f>IF(Table1[[#This Row],[Subscription Status]]="Yes",1,IF(Table1[[#This Row],[Subscription Status]]="No",0))</f>
        <v>0</v>
      </c>
    </row>
    <row r="1964" spans="1:21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  <c r="S1964" t="str">
        <f>IF(Table1[[#This Row],[Age]]&lt;=25,"Young",IF(Table1[[#This Row],[Age]]&lt;=50,"Adult","Senior"))</f>
        <v>Adult</v>
      </c>
      <c r="T1964" s="1">
        <f>Table1[[#This Row],[Purchase Amount (USD)]]</f>
        <v>45</v>
      </c>
      <c r="U1964">
        <f>IF(Table1[[#This Row],[Subscription Status]]="Yes",1,IF(Table1[[#This Row],[Subscription Status]]="No",0))</f>
        <v>0</v>
      </c>
    </row>
    <row r="1965" spans="1:21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  <c r="S1965" t="str">
        <f>IF(Table1[[#This Row],[Age]]&lt;=25,"Young",IF(Table1[[#This Row],[Age]]&lt;=50,"Adult","Senior"))</f>
        <v>Senior</v>
      </c>
      <c r="T1965" s="1">
        <f>Table1[[#This Row],[Purchase Amount (USD)]]</f>
        <v>30</v>
      </c>
      <c r="U1965">
        <f>IF(Table1[[#This Row],[Subscription Status]]="Yes",1,IF(Table1[[#This Row],[Subscription Status]]="No",0))</f>
        <v>0</v>
      </c>
    </row>
    <row r="1966" spans="1:21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  <c r="S1966" t="str">
        <f>IF(Table1[[#This Row],[Age]]&lt;=25,"Young",IF(Table1[[#This Row],[Age]]&lt;=50,"Adult","Senior"))</f>
        <v>Adult</v>
      </c>
      <c r="T1966" s="1">
        <f>Table1[[#This Row],[Purchase Amount (USD)]]</f>
        <v>51</v>
      </c>
      <c r="U1966">
        <f>IF(Table1[[#This Row],[Subscription Status]]="Yes",1,IF(Table1[[#This Row],[Subscription Status]]="No",0))</f>
        <v>0</v>
      </c>
    </row>
    <row r="1967" spans="1:21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  <c r="S1967" t="str">
        <f>IF(Table1[[#This Row],[Age]]&lt;=25,"Young",IF(Table1[[#This Row],[Age]]&lt;=50,"Adult","Senior"))</f>
        <v>Senior</v>
      </c>
      <c r="T1967" s="1">
        <f>Table1[[#This Row],[Purchase Amount (USD)]]</f>
        <v>90</v>
      </c>
      <c r="U1967">
        <f>IF(Table1[[#This Row],[Subscription Status]]="Yes",1,IF(Table1[[#This Row],[Subscription Status]]="No",0))</f>
        <v>0</v>
      </c>
    </row>
    <row r="1968" spans="1:21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  <c r="S1968" t="str">
        <f>IF(Table1[[#This Row],[Age]]&lt;=25,"Young",IF(Table1[[#This Row],[Age]]&lt;=50,"Adult","Senior"))</f>
        <v>Senior</v>
      </c>
      <c r="T1968" s="1">
        <f>Table1[[#This Row],[Purchase Amount (USD)]]</f>
        <v>95</v>
      </c>
      <c r="U1968">
        <f>IF(Table1[[#This Row],[Subscription Status]]="Yes",1,IF(Table1[[#This Row],[Subscription Status]]="No",0))</f>
        <v>0</v>
      </c>
    </row>
    <row r="1969" spans="1:21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  <c r="S1969" t="str">
        <f>IF(Table1[[#This Row],[Age]]&lt;=25,"Young",IF(Table1[[#This Row],[Age]]&lt;=50,"Adult","Senior"))</f>
        <v>Adult</v>
      </c>
      <c r="T1969" s="1">
        <f>Table1[[#This Row],[Purchase Amount (USD)]]</f>
        <v>81</v>
      </c>
      <c r="U1969">
        <f>IF(Table1[[#This Row],[Subscription Status]]="Yes",1,IF(Table1[[#This Row],[Subscription Status]]="No",0))</f>
        <v>0</v>
      </c>
    </row>
    <row r="1970" spans="1:21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  <c r="S1970" t="str">
        <f>IF(Table1[[#This Row],[Age]]&lt;=25,"Young",IF(Table1[[#This Row],[Age]]&lt;=50,"Adult","Senior"))</f>
        <v>Senior</v>
      </c>
      <c r="T1970" s="1">
        <f>Table1[[#This Row],[Purchase Amount (USD)]]</f>
        <v>70</v>
      </c>
      <c r="U1970">
        <f>IF(Table1[[#This Row],[Subscription Status]]="Yes",1,IF(Table1[[#This Row],[Subscription Status]]="No",0))</f>
        <v>0</v>
      </c>
    </row>
    <row r="1971" spans="1:21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  <c r="S1971" t="str">
        <f>IF(Table1[[#This Row],[Age]]&lt;=25,"Young",IF(Table1[[#This Row],[Age]]&lt;=50,"Adult","Senior"))</f>
        <v>Senior</v>
      </c>
      <c r="T1971" s="1">
        <f>Table1[[#This Row],[Purchase Amount (USD)]]</f>
        <v>32</v>
      </c>
      <c r="U1971">
        <f>IF(Table1[[#This Row],[Subscription Status]]="Yes",1,IF(Table1[[#This Row],[Subscription Status]]="No",0))</f>
        <v>0</v>
      </c>
    </row>
    <row r="1972" spans="1:21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  <c r="S1972" t="str">
        <f>IF(Table1[[#This Row],[Age]]&lt;=25,"Young",IF(Table1[[#This Row],[Age]]&lt;=50,"Adult","Senior"))</f>
        <v>Adult</v>
      </c>
      <c r="T1972" s="1">
        <f>Table1[[#This Row],[Purchase Amount (USD)]]</f>
        <v>94</v>
      </c>
      <c r="U1972">
        <f>IF(Table1[[#This Row],[Subscription Status]]="Yes",1,IF(Table1[[#This Row],[Subscription Status]]="No",0))</f>
        <v>0</v>
      </c>
    </row>
    <row r="1973" spans="1:21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  <c r="S1973" t="str">
        <f>IF(Table1[[#This Row],[Age]]&lt;=25,"Young",IF(Table1[[#This Row],[Age]]&lt;=50,"Adult","Senior"))</f>
        <v>Senior</v>
      </c>
      <c r="T1973" s="1">
        <f>Table1[[#This Row],[Purchase Amount (USD)]]</f>
        <v>29</v>
      </c>
      <c r="U1973">
        <f>IF(Table1[[#This Row],[Subscription Status]]="Yes",1,IF(Table1[[#This Row],[Subscription Status]]="No",0))</f>
        <v>0</v>
      </c>
    </row>
    <row r="1974" spans="1:21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  <c r="S1974" t="str">
        <f>IF(Table1[[#This Row],[Age]]&lt;=25,"Young",IF(Table1[[#This Row],[Age]]&lt;=50,"Adult","Senior"))</f>
        <v>Senior</v>
      </c>
      <c r="T1974" s="1">
        <f>Table1[[#This Row],[Purchase Amount (USD)]]</f>
        <v>31</v>
      </c>
      <c r="U1974">
        <f>IF(Table1[[#This Row],[Subscription Status]]="Yes",1,IF(Table1[[#This Row],[Subscription Status]]="No",0))</f>
        <v>0</v>
      </c>
    </row>
    <row r="1975" spans="1:21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  <c r="S1975" t="str">
        <f>IF(Table1[[#This Row],[Age]]&lt;=25,"Young",IF(Table1[[#This Row],[Age]]&lt;=50,"Adult","Senior"))</f>
        <v>Young</v>
      </c>
      <c r="T1975" s="1">
        <f>Table1[[#This Row],[Purchase Amount (USD)]]</f>
        <v>20</v>
      </c>
      <c r="U1975">
        <f>IF(Table1[[#This Row],[Subscription Status]]="Yes",1,IF(Table1[[#This Row],[Subscription Status]]="No",0))</f>
        <v>0</v>
      </c>
    </row>
    <row r="1976" spans="1:21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  <c r="S1976" t="str">
        <f>IF(Table1[[#This Row],[Age]]&lt;=25,"Young",IF(Table1[[#This Row],[Age]]&lt;=50,"Adult","Senior"))</f>
        <v>Adult</v>
      </c>
      <c r="T1976" s="1">
        <f>Table1[[#This Row],[Purchase Amount (USD)]]</f>
        <v>44</v>
      </c>
      <c r="U1976">
        <f>IF(Table1[[#This Row],[Subscription Status]]="Yes",1,IF(Table1[[#This Row],[Subscription Status]]="No",0))</f>
        <v>0</v>
      </c>
    </row>
    <row r="1977" spans="1:21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  <c r="S1977" t="str">
        <f>IF(Table1[[#This Row],[Age]]&lt;=25,"Young",IF(Table1[[#This Row],[Age]]&lt;=50,"Adult","Senior"))</f>
        <v>Senior</v>
      </c>
      <c r="T1977" s="1">
        <f>Table1[[#This Row],[Purchase Amount (USD)]]</f>
        <v>77</v>
      </c>
      <c r="U1977">
        <f>IF(Table1[[#This Row],[Subscription Status]]="Yes",1,IF(Table1[[#This Row],[Subscription Status]]="No",0))</f>
        <v>0</v>
      </c>
    </row>
    <row r="1978" spans="1:21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  <c r="S1978" t="str">
        <f>IF(Table1[[#This Row],[Age]]&lt;=25,"Young",IF(Table1[[#This Row],[Age]]&lt;=50,"Adult","Senior"))</f>
        <v>Adult</v>
      </c>
      <c r="T1978" s="1">
        <f>Table1[[#This Row],[Purchase Amount (USD)]]</f>
        <v>51</v>
      </c>
      <c r="U1978">
        <f>IF(Table1[[#This Row],[Subscription Status]]="Yes",1,IF(Table1[[#This Row],[Subscription Status]]="No",0))</f>
        <v>0</v>
      </c>
    </row>
    <row r="1979" spans="1:21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  <c r="S1979" t="str">
        <f>IF(Table1[[#This Row],[Age]]&lt;=25,"Young",IF(Table1[[#This Row],[Age]]&lt;=50,"Adult","Senior"))</f>
        <v>Young</v>
      </c>
      <c r="T1979" s="1">
        <f>Table1[[#This Row],[Purchase Amount (USD)]]</f>
        <v>49</v>
      </c>
      <c r="U1979">
        <f>IF(Table1[[#This Row],[Subscription Status]]="Yes",1,IF(Table1[[#This Row],[Subscription Status]]="No",0))</f>
        <v>0</v>
      </c>
    </row>
    <row r="1980" spans="1:21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  <c r="S1980" t="str">
        <f>IF(Table1[[#This Row],[Age]]&lt;=25,"Young",IF(Table1[[#This Row],[Age]]&lt;=50,"Adult","Senior"))</f>
        <v>Adult</v>
      </c>
      <c r="T1980" s="1">
        <f>Table1[[#This Row],[Purchase Amount (USD)]]</f>
        <v>78</v>
      </c>
      <c r="U1980">
        <f>IF(Table1[[#This Row],[Subscription Status]]="Yes",1,IF(Table1[[#This Row],[Subscription Status]]="No",0))</f>
        <v>0</v>
      </c>
    </row>
    <row r="1981" spans="1:21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  <c r="S1981" t="str">
        <f>IF(Table1[[#This Row],[Age]]&lt;=25,"Young",IF(Table1[[#This Row],[Age]]&lt;=50,"Adult","Senior"))</f>
        <v>Adult</v>
      </c>
      <c r="T1981" s="1">
        <f>Table1[[#This Row],[Purchase Amount (USD)]]</f>
        <v>98</v>
      </c>
      <c r="U1981">
        <f>IF(Table1[[#This Row],[Subscription Status]]="Yes",1,IF(Table1[[#This Row],[Subscription Status]]="No",0))</f>
        <v>0</v>
      </c>
    </row>
    <row r="1982" spans="1:21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  <c r="S1982" t="str">
        <f>IF(Table1[[#This Row],[Age]]&lt;=25,"Young",IF(Table1[[#This Row],[Age]]&lt;=50,"Adult","Senior"))</f>
        <v>Senior</v>
      </c>
      <c r="T1982" s="1">
        <f>Table1[[#This Row],[Purchase Amount (USD)]]</f>
        <v>94</v>
      </c>
      <c r="U1982">
        <f>IF(Table1[[#This Row],[Subscription Status]]="Yes",1,IF(Table1[[#This Row],[Subscription Status]]="No",0))</f>
        <v>0</v>
      </c>
    </row>
    <row r="1983" spans="1:21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  <c r="S1983" t="str">
        <f>IF(Table1[[#This Row],[Age]]&lt;=25,"Young",IF(Table1[[#This Row],[Age]]&lt;=50,"Adult","Senior"))</f>
        <v>Senior</v>
      </c>
      <c r="T1983" s="1">
        <f>Table1[[#This Row],[Purchase Amount (USD)]]</f>
        <v>91</v>
      </c>
      <c r="U1983">
        <f>IF(Table1[[#This Row],[Subscription Status]]="Yes",1,IF(Table1[[#This Row],[Subscription Status]]="No",0))</f>
        <v>0</v>
      </c>
    </row>
    <row r="1984" spans="1:21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  <c r="S1984" t="str">
        <f>IF(Table1[[#This Row],[Age]]&lt;=25,"Young",IF(Table1[[#This Row],[Age]]&lt;=50,"Adult","Senior"))</f>
        <v>Adult</v>
      </c>
      <c r="T1984" s="1">
        <f>Table1[[#This Row],[Purchase Amount (USD)]]</f>
        <v>77</v>
      </c>
      <c r="U1984">
        <f>IF(Table1[[#This Row],[Subscription Status]]="Yes",1,IF(Table1[[#This Row],[Subscription Status]]="No",0))</f>
        <v>0</v>
      </c>
    </row>
    <row r="1985" spans="1:21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  <c r="S1985" t="str">
        <f>IF(Table1[[#This Row],[Age]]&lt;=25,"Young",IF(Table1[[#This Row],[Age]]&lt;=50,"Adult","Senior"))</f>
        <v>Senior</v>
      </c>
      <c r="T1985" s="1">
        <f>Table1[[#This Row],[Purchase Amount (USD)]]</f>
        <v>97</v>
      </c>
      <c r="U1985">
        <f>IF(Table1[[#This Row],[Subscription Status]]="Yes",1,IF(Table1[[#This Row],[Subscription Status]]="No",0))</f>
        <v>0</v>
      </c>
    </row>
    <row r="1986" spans="1:21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  <c r="S1986" t="str">
        <f>IF(Table1[[#This Row],[Age]]&lt;=25,"Young",IF(Table1[[#This Row],[Age]]&lt;=50,"Adult","Senior"))</f>
        <v>Adult</v>
      </c>
      <c r="T1986" s="1">
        <f>Table1[[#This Row],[Purchase Amount (USD)]]</f>
        <v>58</v>
      </c>
      <c r="U1986">
        <f>IF(Table1[[#This Row],[Subscription Status]]="Yes",1,IF(Table1[[#This Row],[Subscription Status]]="No",0))</f>
        <v>0</v>
      </c>
    </row>
    <row r="1987" spans="1:21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  <c r="S1987" t="str">
        <f>IF(Table1[[#This Row],[Age]]&lt;=25,"Young",IF(Table1[[#This Row],[Age]]&lt;=50,"Adult","Senior"))</f>
        <v>Young</v>
      </c>
      <c r="T1987" s="1">
        <f>Table1[[#This Row],[Purchase Amount (USD)]]</f>
        <v>97</v>
      </c>
      <c r="U1987">
        <f>IF(Table1[[#This Row],[Subscription Status]]="Yes",1,IF(Table1[[#This Row],[Subscription Status]]="No",0))</f>
        <v>0</v>
      </c>
    </row>
    <row r="1988" spans="1:21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  <c r="S1988" t="str">
        <f>IF(Table1[[#This Row],[Age]]&lt;=25,"Young",IF(Table1[[#This Row],[Age]]&lt;=50,"Adult","Senior"))</f>
        <v>Senior</v>
      </c>
      <c r="T1988" s="1">
        <f>Table1[[#This Row],[Purchase Amount (USD)]]</f>
        <v>48</v>
      </c>
      <c r="U1988">
        <f>IF(Table1[[#This Row],[Subscription Status]]="Yes",1,IF(Table1[[#This Row],[Subscription Status]]="No",0))</f>
        <v>0</v>
      </c>
    </row>
    <row r="1989" spans="1:21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  <c r="S1989" t="str">
        <f>IF(Table1[[#This Row],[Age]]&lt;=25,"Young",IF(Table1[[#This Row],[Age]]&lt;=50,"Adult","Senior"))</f>
        <v>Senior</v>
      </c>
      <c r="T1989" s="1">
        <f>Table1[[#This Row],[Purchase Amount (USD)]]</f>
        <v>23</v>
      </c>
      <c r="U1989">
        <f>IF(Table1[[#This Row],[Subscription Status]]="Yes",1,IF(Table1[[#This Row],[Subscription Status]]="No",0))</f>
        <v>0</v>
      </c>
    </row>
    <row r="1990" spans="1:21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  <c r="S1990" t="str">
        <f>IF(Table1[[#This Row],[Age]]&lt;=25,"Young",IF(Table1[[#This Row],[Age]]&lt;=50,"Adult","Senior"))</f>
        <v>Adult</v>
      </c>
      <c r="T1990" s="1">
        <f>Table1[[#This Row],[Purchase Amount (USD)]]</f>
        <v>79</v>
      </c>
      <c r="U1990">
        <f>IF(Table1[[#This Row],[Subscription Status]]="Yes",1,IF(Table1[[#This Row],[Subscription Status]]="No",0))</f>
        <v>0</v>
      </c>
    </row>
    <row r="1991" spans="1:21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  <c r="S1991" t="str">
        <f>IF(Table1[[#This Row],[Age]]&lt;=25,"Young",IF(Table1[[#This Row],[Age]]&lt;=50,"Adult","Senior"))</f>
        <v>Adult</v>
      </c>
      <c r="T1991" s="1">
        <f>Table1[[#This Row],[Purchase Amount (USD)]]</f>
        <v>42</v>
      </c>
      <c r="U1991">
        <f>IF(Table1[[#This Row],[Subscription Status]]="Yes",1,IF(Table1[[#This Row],[Subscription Status]]="No",0))</f>
        <v>0</v>
      </c>
    </row>
    <row r="1992" spans="1:21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  <c r="S1992" t="str">
        <f>IF(Table1[[#This Row],[Age]]&lt;=25,"Young",IF(Table1[[#This Row],[Age]]&lt;=50,"Adult","Senior"))</f>
        <v>Adult</v>
      </c>
      <c r="T1992" s="1">
        <f>Table1[[#This Row],[Purchase Amount (USD)]]</f>
        <v>95</v>
      </c>
      <c r="U1992">
        <f>IF(Table1[[#This Row],[Subscription Status]]="Yes",1,IF(Table1[[#This Row],[Subscription Status]]="No",0))</f>
        <v>0</v>
      </c>
    </row>
    <row r="1993" spans="1:21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  <c r="S1993" t="str">
        <f>IF(Table1[[#This Row],[Age]]&lt;=25,"Young",IF(Table1[[#This Row],[Age]]&lt;=50,"Adult","Senior"))</f>
        <v>Adult</v>
      </c>
      <c r="T1993" s="1">
        <f>Table1[[#This Row],[Purchase Amount (USD)]]</f>
        <v>29</v>
      </c>
      <c r="U1993">
        <f>IF(Table1[[#This Row],[Subscription Status]]="Yes",1,IF(Table1[[#This Row],[Subscription Status]]="No",0))</f>
        <v>0</v>
      </c>
    </row>
    <row r="1994" spans="1:21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  <c r="S1994" t="str">
        <f>IF(Table1[[#This Row],[Age]]&lt;=25,"Young",IF(Table1[[#This Row],[Age]]&lt;=50,"Adult","Senior"))</f>
        <v>Adult</v>
      </c>
      <c r="T1994" s="1">
        <f>Table1[[#This Row],[Purchase Amount (USD)]]</f>
        <v>98</v>
      </c>
      <c r="U1994">
        <f>IF(Table1[[#This Row],[Subscription Status]]="Yes",1,IF(Table1[[#This Row],[Subscription Status]]="No",0))</f>
        <v>0</v>
      </c>
    </row>
    <row r="1995" spans="1:21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  <c r="S1995" t="str">
        <f>IF(Table1[[#This Row],[Age]]&lt;=25,"Young",IF(Table1[[#This Row],[Age]]&lt;=50,"Adult","Senior"))</f>
        <v>Adult</v>
      </c>
      <c r="T1995" s="1">
        <f>Table1[[#This Row],[Purchase Amount (USD)]]</f>
        <v>96</v>
      </c>
      <c r="U1995">
        <f>IF(Table1[[#This Row],[Subscription Status]]="Yes",1,IF(Table1[[#This Row],[Subscription Status]]="No",0))</f>
        <v>0</v>
      </c>
    </row>
    <row r="1996" spans="1:21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  <c r="S1996" t="str">
        <f>IF(Table1[[#This Row],[Age]]&lt;=25,"Young",IF(Table1[[#This Row],[Age]]&lt;=50,"Adult","Senior"))</f>
        <v>Adult</v>
      </c>
      <c r="T1996" s="1">
        <f>Table1[[#This Row],[Purchase Amount (USD)]]</f>
        <v>66</v>
      </c>
      <c r="U1996">
        <f>IF(Table1[[#This Row],[Subscription Status]]="Yes",1,IF(Table1[[#This Row],[Subscription Status]]="No",0))</f>
        <v>0</v>
      </c>
    </row>
    <row r="1997" spans="1:21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  <c r="S1997" t="str">
        <f>IF(Table1[[#This Row],[Age]]&lt;=25,"Young",IF(Table1[[#This Row],[Age]]&lt;=50,"Adult","Senior"))</f>
        <v>Senior</v>
      </c>
      <c r="T1997" s="1">
        <f>Table1[[#This Row],[Purchase Amount (USD)]]</f>
        <v>80</v>
      </c>
      <c r="U1997">
        <f>IF(Table1[[#This Row],[Subscription Status]]="Yes",1,IF(Table1[[#This Row],[Subscription Status]]="No",0))</f>
        <v>0</v>
      </c>
    </row>
    <row r="1998" spans="1:21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  <c r="S1998" t="str">
        <f>IF(Table1[[#This Row],[Age]]&lt;=25,"Young",IF(Table1[[#This Row],[Age]]&lt;=50,"Adult","Senior"))</f>
        <v>Senior</v>
      </c>
      <c r="T1998" s="1">
        <f>Table1[[#This Row],[Purchase Amount (USD)]]</f>
        <v>27</v>
      </c>
      <c r="U1998">
        <f>IF(Table1[[#This Row],[Subscription Status]]="Yes",1,IF(Table1[[#This Row],[Subscription Status]]="No",0))</f>
        <v>0</v>
      </c>
    </row>
    <row r="1999" spans="1:21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  <c r="S1999" t="str">
        <f>IF(Table1[[#This Row],[Age]]&lt;=25,"Young",IF(Table1[[#This Row],[Age]]&lt;=50,"Adult","Senior"))</f>
        <v>Adult</v>
      </c>
      <c r="T1999" s="1">
        <f>Table1[[#This Row],[Purchase Amount (USD)]]</f>
        <v>25</v>
      </c>
      <c r="U1999">
        <f>IF(Table1[[#This Row],[Subscription Status]]="Yes",1,IF(Table1[[#This Row],[Subscription Status]]="No",0))</f>
        <v>0</v>
      </c>
    </row>
    <row r="2000" spans="1:21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  <c r="S2000" t="str">
        <f>IF(Table1[[#This Row],[Age]]&lt;=25,"Young",IF(Table1[[#This Row],[Age]]&lt;=50,"Adult","Senior"))</f>
        <v>Young</v>
      </c>
      <c r="T2000" s="1">
        <f>Table1[[#This Row],[Purchase Amount (USD)]]</f>
        <v>45</v>
      </c>
      <c r="U2000">
        <f>IF(Table1[[#This Row],[Subscription Status]]="Yes",1,IF(Table1[[#This Row],[Subscription Status]]="No",0))</f>
        <v>0</v>
      </c>
    </row>
    <row r="2001" spans="1:21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  <c r="S2001" t="str">
        <f>IF(Table1[[#This Row],[Age]]&lt;=25,"Young",IF(Table1[[#This Row],[Age]]&lt;=50,"Adult","Senior"))</f>
        <v>Adult</v>
      </c>
      <c r="T2001" s="1">
        <f>Table1[[#This Row],[Purchase Amount (USD)]]</f>
        <v>89</v>
      </c>
      <c r="U2001">
        <f>IF(Table1[[#This Row],[Subscription Status]]="Yes",1,IF(Table1[[#This Row],[Subscription Status]]="No",0))</f>
        <v>0</v>
      </c>
    </row>
    <row r="2002" spans="1:21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  <c r="S2002" t="str">
        <f>IF(Table1[[#This Row],[Age]]&lt;=25,"Young",IF(Table1[[#This Row],[Age]]&lt;=50,"Adult","Senior"))</f>
        <v>Adult</v>
      </c>
      <c r="T2002" s="1">
        <f>Table1[[#This Row],[Purchase Amount (USD)]]</f>
        <v>27</v>
      </c>
      <c r="U2002">
        <f>IF(Table1[[#This Row],[Subscription Status]]="Yes",1,IF(Table1[[#This Row],[Subscription Status]]="No",0))</f>
        <v>0</v>
      </c>
    </row>
    <row r="2003" spans="1:21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  <c r="S2003" t="str">
        <f>IF(Table1[[#This Row],[Age]]&lt;=25,"Young",IF(Table1[[#This Row],[Age]]&lt;=50,"Adult","Senior"))</f>
        <v>Senior</v>
      </c>
      <c r="T2003" s="1">
        <f>Table1[[#This Row],[Purchase Amount (USD)]]</f>
        <v>90</v>
      </c>
      <c r="U2003">
        <f>IF(Table1[[#This Row],[Subscription Status]]="Yes",1,IF(Table1[[#This Row],[Subscription Status]]="No",0))</f>
        <v>0</v>
      </c>
    </row>
    <row r="2004" spans="1:21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  <c r="S2004" t="str">
        <f>IF(Table1[[#This Row],[Age]]&lt;=25,"Young",IF(Table1[[#This Row],[Age]]&lt;=50,"Adult","Senior"))</f>
        <v>Adult</v>
      </c>
      <c r="T2004" s="1">
        <f>Table1[[#This Row],[Purchase Amount (USD)]]</f>
        <v>65</v>
      </c>
      <c r="U2004">
        <f>IF(Table1[[#This Row],[Subscription Status]]="Yes",1,IF(Table1[[#This Row],[Subscription Status]]="No",0))</f>
        <v>0</v>
      </c>
    </row>
    <row r="2005" spans="1:21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  <c r="S2005" t="str">
        <f>IF(Table1[[#This Row],[Age]]&lt;=25,"Young",IF(Table1[[#This Row],[Age]]&lt;=50,"Adult","Senior"))</f>
        <v>Senior</v>
      </c>
      <c r="T2005" s="1">
        <f>Table1[[#This Row],[Purchase Amount (USD)]]</f>
        <v>72</v>
      </c>
      <c r="U2005">
        <f>IF(Table1[[#This Row],[Subscription Status]]="Yes",1,IF(Table1[[#This Row],[Subscription Status]]="No",0))</f>
        <v>0</v>
      </c>
    </row>
    <row r="2006" spans="1:21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  <c r="S2006" t="str">
        <f>IF(Table1[[#This Row],[Age]]&lt;=25,"Young",IF(Table1[[#This Row],[Age]]&lt;=50,"Adult","Senior"))</f>
        <v>Adult</v>
      </c>
      <c r="T2006" s="1">
        <f>Table1[[#This Row],[Purchase Amount (USD)]]</f>
        <v>70</v>
      </c>
      <c r="U2006">
        <f>IF(Table1[[#This Row],[Subscription Status]]="Yes",1,IF(Table1[[#This Row],[Subscription Status]]="No",0))</f>
        <v>0</v>
      </c>
    </row>
    <row r="2007" spans="1:21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  <c r="S2007" t="str">
        <f>IF(Table1[[#This Row],[Age]]&lt;=25,"Young",IF(Table1[[#This Row],[Age]]&lt;=50,"Adult","Senior"))</f>
        <v>Young</v>
      </c>
      <c r="T2007" s="1">
        <f>Table1[[#This Row],[Purchase Amount (USD)]]</f>
        <v>82</v>
      </c>
      <c r="U2007">
        <f>IF(Table1[[#This Row],[Subscription Status]]="Yes",1,IF(Table1[[#This Row],[Subscription Status]]="No",0))</f>
        <v>0</v>
      </c>
    </row>
    <row r="2008" spans="1:21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  <c r="S2008" t="str">
        <f>IF(Table1[[#This Row],[Age]]&lt;=25,"Young",IF(Table1[[#This Row],[Age]]&lt;=50,"Adult","Senior"))</f>
        <v>Senior</v>
      </c>
      <c r="T2008" s="1">
        <f>Table1[[#This Row],[Purchase Amount (USD)]]</f>
        <v>97</v>
      </c>
      <c r="U2008">
        <f>IF(Table1[[#This Row],[Subscription Status]]="Yes",1,IF(Table1[[#This Row],[Subscription Status]]="No",0))</f>
        <v>0</v>
      </c>
    </row>
    <row r="2009" spans="1:21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  <c r="S2009" t="str">
        <f>IF(Table1[[#This Row],[Age]]&lt;=25,"Young",IF(Table1[[#This Row],[Age]]&lt;=50,"Adult","Senior"))</f>
        <v>Adult</v>
      </c>
      <c r="T2009" s="1">
        <f>Table1[[#This Row],[Purchase Amount (USD)]]</f>
        <v>25</v>
      </c>
      <c r="U2009">
        <f>IF(Table1[[#This Row],[Subscription Status]]="Yes",1,IF(Table1[[#This Row],[Subscription Status]]="No",0))</f>
        <v>0</v>
      </c>
    </row>
    <row r="2010" spans="1:21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  <c r="S2010" t="str">
        <f>IF(Table1[[#This Row],[Age]]&lt;=25,"Young",IF(Table1[[#This Row],[Age]]&lt;=50,"Adult","Senior"))</f>
        <v>Senior</v>
      </c>
      <c r="T2010" s="1">
        <f>Table1[[#This Row],[Purchase Amount (USD)]]</f>
        <v>48</v>
      </c>
      <c r="U2010">
        <f>IF(Table1[[#This Row],[Subscription Status]]="Yes",1,IF(Table1[[#This Row],[Subscription Status]]="No",0))</f>
        <v>0</v>
      </c>
    </row>
    <row r="2011" spans="1:21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  <c r="S2011" t="str">
        <f>IF(Table1[[#This Row],[Age]]&lt;=25,"Young",IF(Table1[[#This Row],[Age]]&lt;=50,"Adult","Senior"))</f>
        <v>Adult</v>
      </c>
      <c r="T2011" s="1">
        <f>Table1[[#This Row],[Purchase Amount (USD)]]</f>
        <v>99</v>
      </c>
      <c r="U2011">
        <f>IF(Table1[[#This Row],[Subscription Status]]="Yes",1,IF(Table1[[#This Row],[Subscription Status]]="No",0))</f>
        <v>0</v>
      </c>
    </row>
    <row r="2012" spans="1:21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  <c r="S2012" t="str">
        <f>IF(Table1[[#This Row],[Age]]&lt;=25,"Young",IF(Table1[[#This Row],[Age]]&lt;=50,"Adult","Senior"))</f>
        <v>Young</v>
      </c>
      <c r="T2012" s="1">
        <f>Table1[[#This Row],[Purchase Amount (USD)]]</f>
        <v>21</v>
      </c>
      <c r="U2012">
        <f>IF(Table1[[#This Row],[Subscription Status]]="Yes",1,IF(Table1[[#This Row],[Subscription Status]]="No",0))</f>
        <v>0</v>
      </c>
    </row>
    <row r="2013" spans="1:21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  <c r="S2013" t="str">
        <f>IF(Table1[[#This Row],[Age]]&lt;=25,"Young",IF(Table1[[#This Row],[Age]]&lt;=50,"Adult","Senior"))</f>
        <v>Senior</v>
      </c>
      <c r="T2013" s="1">
        <f>Table1[[#This Row],[Purchase Amount (USD)]]</f>
        <v>94</v>
      </c>
      <c r="U2013">
        <f>IF(Table1[[#This Row],[Subscription Status]]="Yes",1,IF(Table1[[#This Row],[Subscription Status]]="No",0))</f>
        <v>0</v>
      </c>
    </row>
    <row r="2014" spans="1:21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  <c r="S2014" t="str">
        <f>IF(Table1[[#This Row],[Age]]&lt;=25,"Young",IF(Table1[[#This Row],[Age]]&lt;=50,"Adult","Senior"))</f>
        <v>Adult</v>
      </c>
      <c r="T2014" s="1">
        <f>Table1[[#This Row],[Purchase Amount (USD)]]</f>
        <v>53</v>
      </c>
      <c r="U2014">
        <f>IF(Table1[[#This Row],[Subscription Status]]="Yes",1,IF(Table1[[#This Row],[Subscription Status]]="No",0))</f>
        <v>0</v>
      </c>
    </row>
    <row r="2015" spans="1:21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  <c r="S2015" t="str">
        <f>IF(Table1[[#This Row],[Age]]&lt;=25,"Young",IF(Table1[[#This Row],[Age]]&lt;=50,"Adult","Senior"))</f>
        <v>Adult</v>
      </c>
      <c r="T2015" s="1">
        <f>Table1[[#This Row],[Purchase Amount (USD)]]</f>
        <v>70</v>
      </c>
      <c r="U2015">
        <f>IF(Table1[[#This Row],[Subscription Status]]="Yes",1,IF(Table1[[#This Row],[Subscription Status]]="No",0))</f>
        <v>0</v>
      </c>
    </row>
    <row r="2016" spans="1:21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  <c r="S2016" t="str">
        <f>IF(Table1[[#This Row],[Age]]&lt;=25,"Young",IF(Table1[[#This Row],[Age]]&lt;=50,"Adult","Senior"))</f>
        <v>Senior</v>
      </c>
      <c r="T2016" s="1">
        <f>Table1[[#This Row],[Purchase Amount (USD)]]</f>
        <v>26</v>
      </c>
      <c r="U2016">
        <f>IF(Table1[[#This Row],[Subscription Status]]="Yes",1,IF(Table1[[#This Row],[Subscription Status]]="No",0))</f>
        <v>0</v>
      </c>
    </row>
    <row r="2017" spans="1:21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  <c r="S2017" t="str">
        <f>IF(Table1[[#This Row],[Age]]&lt;=25,"Young",IF(Table1[[#This Row],[Age]]&lt;=50,"Adult","Senior"))</f>
        <v>Senior</v>
      </c>
      <c r="T2017" s="1">
        <f>Table1[[#This Row],[Purchase Amount (USD)]]</f>
        <v>82</v>
      </c>
      <c r="U2017">
        <f>IF(Table1[[#This Row],[Subscription Status]]="Yes",1,IF(Table1[[#This Row],[Subscription Status]]="No",0))</f>
        <v>0</v>
      </c>
    </row>
    <row r="2018" spans="1:21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  <c r="S2018" t="str">
        <f>IF(Table1[[#This Row],[Age]]&lt;=25,"Young",IF(Table1[[#This Row],[Age]]&lt;=50,"Adult","Senior"))</f>
        <v>Senior</v>
      </c>
      <c r="T2018" s="1">
        <f>Table1[[#This Row],[Purchase Amount (USD)]]</f>
        <v>47</v>
      </c>
      <c r="U2018">
        <f>IF(Table1[[#This Row],[Subscription Status]]="Yes",1,IF(Table1[[#This Row],[Subscription Status]]="No",0))</f>
        <v>0</v>
      </c>
    </row>
    <row r="2019" spans="1:21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  <c r="S2019" t="str">
        <f>IF(Table1[[#This Row],[Age]]&lt;=25,"Young",IF(Table1[[#This Row],[Age]]&lt;=50,"Adult","Senior"))</f>
        <v>Senior</v>
      </c>
      <c r="T2019" s="1">
        <f>Table1[[#This Row],[Purchase Amount (USD)]]</f>
        <v>32</v>
      </c>
      <c r="U2019">
        <f>IF(Table1[[#This Row],[Subscription Status]]="Yes",1,IF(Table1[[#This Row],[Subscription Status]]="No",0))</f>
        <v>0</v>
      </c>
    </row>
    <row r="2020" spans="1:21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  <c r="S2020" t="str">
        <f>IF(Table1[[#This Row],[Age]]&lt;=25,"Young",IF(Table1[[#This Row],[Age]]&lt;=50,"Adult","Senior"))</f>
        <v>Senior</v>
      </c>
      <c r="T2020" s="1">
        <f>Table1[[#This Row],[Purchase Amount (USD)]]</f>
        <v>97</v>
      </c>
      <c r="U2020">
        <f>IF(Table1[[#This Row],[Subscription Status]]="Yes",1,IF(Table1[[#This Row],[Subscription Status]]="No",0))</f>
        <v>0</v>
      </c>
    </row>
    <row r="2021" spans="1:21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  <c r="S2021" t="str">
        <f>IF(Table1[[#This Row],[Age]]&lt;=25,"Young",IF(Table1[[#This Row],[Age]]&lt;=50,"Adult","Senior"))</f>
        <v>Adult</v>
      </c>
      <c r="T2021" s="1">
        <f>Table1[[#This Row],[Purchase Amount (USD)]]</f>
        <v>68</v>
      </c>
      <c r="U2021">
        <f>IF(Table1[[#This Row],[Subscription Status]]="Yes",1,IF(Table1[[#This Row],[Subscription Status]]="No",0))</f>
        <v>0</v>
      </c>
    </row>
    <row r="2022" spans="1:21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  <c r="S2022" t="str">
        <f>IF(Table1[[#This Row],[Age]]&lt;=25,"Young",IF(Table1[[#This Row],[Age]]&lt;=50,"Adult","Senior"))</f>
        <v>Adult</v>
      </c>
      <c r="T2022" s="1">
        <f>Table1[[#This Row],[Purchase Amount (USD)]]</f>
        <v>23</v>
      </c>
      <c r="U2022">
        <f>IF(Table1[[#This Row],[Subscription Status]]="Yes",1,IF(Table1[[#This Row],[Subscription Status]]="No",0))</f>
        <v>0</v>
      </c>
    </row>
    <row r="2023" spans="1:21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  <c r="S2023" t="str">
        <f>IF(Table1[[#This Row],[Age]]&lt;=25,"Young",IF(Table1[[#This Row],[Age]]&lt;=50,"Adult","Senior"))</f>
        <v>Senior</v>
      </c>
      <c r="T2023" s="1">
        <f>Table1[[#This Row],[Purchase Amount (USD)]]</f>
        <v>33</v>
      </c>
      <c r="U2023">
        <f>IF(Table1[[#This Row],[Subscription Status]]="Yes",1,IF(Table1[[#This Row],[Subscription Status]]="No",0))</f>
        <v>0</v>
      </c>
    </row>
    <row r="2024" spans="1:21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  <c r="S2024" t="str">
        <f>IF(Table1[[#This Row],[Age]]&lt;=25,"Young",IF(Table1[[#This Row],[Age]]&lt;=50,"Adult","Senior"))</f>
        <v>Senior</v>
      </c>
      <c r="T2024" s="1">
        <f>Table1[[#This Row],[Purchase Amount (USD)]]</f>
        <v>38</v>
      </c>
      <c r="U2024">
        <f>IF(Table1[[#This Row],[Subscription Status]]="Yes",1,IF(Table1[[#This Row],[Subscription Status]]="No",0))</f>
        <v>0</v>
      </c>
    </row>
    <row r="2025" spans="1:21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  <c r="S2025" t="str">
        <f>IF(Table1[[#This Row],[Age]]&lt;=25,"Young",IF(Table1[[#This Row],[Age]]&lt;=50,"Adult","Senior"))</f>
        <v>Adult</v>
      </c>
      <c r="T2025" s="1">
        <f>Table1[[#This Row],[Purchase Amount (USD)]]</f>
        <v>68</v>
      </c>
      <c r="U2025">
        <f>IF(Table1[[#This Row],[Subscription Status]]="Yes",1,IF(Table1[[#This Row],[Subscription Status]]="No",0))</f>
        <v>0</v>
      </c>
    </row>
    <row r="2026" spans="1:21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  <c r="S2026" t="str">
        <f>IF(Table1[[#This Row],[Age]]&lt;=25,"Young",IF(Table1[[#This Row],[Age]]&lt;=50,"Adult","Senior"))</f>
        <v>Senior</v>
      </c>
      <c r="T2026" s="1">
        <f>Table1[[#This Row],[Purchase Amount (USD)]]</f>
        <v>23</v>
      </c>
      <c r="U2026">
        <f>IF(Table1[[#This Row],[Subscription Status]]="Yes",1,IF(Table1[[#This Row],[Subscription Status]]="No",0))</f>
        <v>0</v>
      </c>
    </row>
    <row r="2027" spans="1:21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  <c r="S2027" t="str">
        <f>IF(Table1[[#This Row],[Age]]&lt;=25,"Young",IF(Table1[[#This Row],[Age]]&lt;=50,"Adult","Senior"))</f>
        <v>Adult</v>
      </c>
      <c r="T2027" s="1">
        <f>Table1[[#This Row],[Purchase Amount (USD)]]</f>
        <v>29</v>
      </c>
      <c r="U2027">
        <f>IF(Table1[[#This Row],[Subscription Status]]="Yes",1,IF(Table1[[#This Row],[Subscription Status]]="No",0))</f>
        <v>0</v>
      </c>
    </row>
    <row r="2028" spans="1:21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  <c r="S2028" t="str">
        <f>IF(Table1[[#This Row],[Age]]&lt;=25,"Young",IF(Table1[[#This Row],[Age]]&lt;=50,"Adult","Senior"))</f>
        <v>Adult</v>
      </c>
      <c r="T2028" s="1">
        <f>Table1[[#This Row],[Purchase Amount (USD)]]</f>
        <v>35</v>
      </c>
      <c r="U2028">
        <f>IF(Table1[[#This Row],[Subscription Status]]="Yes",1,IF(Table1[[#This Row],[Subscription Status]]="No",0))</f>
        <v>0</v>
      </c>
    </row>
    <row r="2029" spans="1:21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  <c r="S2029" t="str">
        <f>IF(Table1[[#This Row],[Age]]&lt;=25,"Young",IF(Table1[[#This Row],[Age]]&lt;=50,"Adult","Senior"))</f>
        <v>Adult</v>
      </c>
      <c r="T2029" s="1">
        <f>Table1[[#This Row],[Purchase Amount (USD)]]</f>
        <v>73</v>
      </c>
      <c r="U2029">
        <f>IF(Table1[[#This Row],[Subscription Status]]="Yes",1,IF(Table1[[#This Row],[Subscription Status]]="No",0))</f>
        <v>0</v>
      </c>
    </row>
    <row r="2030" spans="1:21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  <c r="S2030" t="str">
        <f>IF(Table1[[#This Row],[Age]]&lt;=25,"Young",IF(Table1[[#This Row],[Age]]&lt;=50,"Adult","Senior"))</f>
        <v>Adult</v>
      </c>
      <c r="T2030" s="1">
        <f>Table1[[#This Row],[Purchase Amount (USD)]]</f>
        <v>84</v>
      </c>
      <c r="U2030">
        <f>IF(Table1[[#This Row],[Subscription Status]]="Yes",1,IF(Table1[[#This Row],[Subscription Status]]="No",0))</f>
        <v>0</v>
      </c>
    </row>
    <row r="2031" spans="1:21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  <c r="S2031" t="str">
        <f>IF(Table1[[#This Row],[Age]]&lt;=25,"Young",IF(Table1[[#This Row],[Age]]&lt;=50,"Adult","Senior"))</f>
        <v>Young</v>
      </c>
      <c r="T2031" s="1">
        <f>Table1[[#This Row],[Purchase Amount (USD)]]</f>
        <v>23</v>
      </c>
      <c r="U2031">
        <f>IF(Table1[[#This Row],[Subscription Status]]="Yes",1,IF(Table1[[#This Row],[Subscription Status]]="No",0))</f>
        <v>0</v>
      </c>
    </row>
    <row r="2032" spans="1:21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  <c r="S2032" t="str">
        <f>IF(Table1[[#This Row],[Age]]&lt;=25,"Young",IF(Table1[[#This Row],[Age]]&lt;=50,"Adult","Senior"))</f>
        <v>Senior</v>
      </c>
      <c r="T2032" s="1">
        <f>Table1[[#This Row],[Purchase Amount (USD)]]</f>
        <v>67</v>
      </c>
      <c r="U2032">
        <f>IF(Table1[[#This Row],[Subscription Status]]="Yes",1,IF(Table1[[#This Row],[Subscription Status]]="No",0))</f>
        <v>0</v>
      </c>
    </row>
    <row r="2033" spans="1:21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  <c r="S2033" t="str">
        <f>IF(Table1[[#This Row],[Age]]&lt;=25,"Young",IF(Table1[[#This Row],[Age]]&lt;=50,"Adult","Senior"))</f>
        <v>Young</v>
      </c>
      <c r="T2033" s="1">
        <f>Table1[[#This Row],[Purchase Amount (USD)]]</f>
        <v>51</v>
      </c>
      <c r="U2033">
        <f>IF(Table1[[#This Row],[Subscription Status]]="Yes",1,IF(Table1[[#This Row],[Subscription Status]]="No",0))</f>
        <v>0</v>
      </c>
    </row>
    <row r="2034" spans="1:21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  <c r="S2034" t="str">
        <f>IF(Table1[[#This Row],[Age]]&lt;=25,"Young",IF(Table1[[#This Row],[Age]]&lt;=50,"Adult","Senior"))</f>
        <v>Adult</v>
      </c>
      <c r="T2034" s="1">
        <f>Table1[[#This Row],[Purchase Amount (USD)]]</f>
        <v>36</v>
      </c>
      <c r="U2034">
        <f>IF(Table1[[#This Row],[Subscription Status]]="Yes",1,IF(Table1[[#This Row],[Subscription Status]]="No",0))</f>
        <v>0</v>
      </c>
    </row>
    <row r="2035" spans="1:21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  <c r="S2035" t="str">
        <f>IF(Table1[[#This Row],[Age]]&lt;=25,"Young",IF(Table1[[#This Row],[Age]]&lt;=50,"Adult","Senior"))</f>
        <v>Senior</v>
      </c>
      <c r="T2035" s="1">
        <f>Table1[[#This Row],[Purchase Amount (USD)]]</f>
        <v>55</v>
      </c>
      <c r="U2035">
        <f>IF(Table1[[#This Row],[Subscription Status]]="Yes",1,IF(Table1[[#This Row],[Subscription Status]]="No",0))</f>
        <v>0</v>
      </c>
    </row>
    <row r="2036" spans="1:21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  <c r="S2036" t="str">
        <f>IF(Table1[[#This Row],[Age]]&lt;=25,"Young",IF(Table1[[#This Row],[Age]]&lt;=50,"Adult","Senior"))</f>
        <v>Senior</v>
      </c>
      <c r="T2036" s="1">
        <f>Table1[[#This Row],[Purchase Amount (USD)]]</f>
        <v>30</v>
      </c>
      <c r="U2036">
        <f>IF(Table1[[#This Row],[Subscription Status]]="Yes",1,IF(Table1[[#This Row],[Subscription Status]]="No",0))</f>
        <v>0</v>
      </c>
    </row>
    <row r="2037" spans="1:21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  <c r="S2037" t="str">
        <f>IF(Table1[[#This Row],[Age]]&lt;=25,"Young",IF(Table1[[#This Row],[Age]]&lt;=50,"Adult","Senior"))</f>
        <v>Senior</v>
      </c>
      <c r="T2037" s="1">
        <f>Table1[[#This Row],[Purchase Amount (USD)]]</f>
        <v>70</v>
      </c>
      <c r="U2037">
        <f>IF(Table1[[#This Row],[Subscription Status]]="Yes",1,IF(Table1[[#This Row],[Subscription Status]]="No",0))</f>
        <v>0</v>
      </c>
    </row>
    <row r="2038" spans="1:21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  <c r="S2038" t="str">
        <f>IF(Table1[[#This Row],[Age]]&lt;=25,"Young",IF(Table1[[#This Row],[Age]]&lt;=50,"Adult","Senior"))</f>
        <v>Adult</v>
      </c>
      <c r="T2038" s="1">
        <f>Table1[[#This Row],[Purchase Amount (USD)]]</f>
        <v>63</v>
      </c>
      <c r="U2038">
        <f>IF(Table1[[#This Row],[Subscription Status]]="Yes",1,IF(Table1[[#This Row],[Subscription Status]]="No",0))</f>
        <v>0</v>
      </c>
    </row>
    <row r="2039" spans="1:21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  <c r="S2039" t="str">
        <f>IF(Table1[[#This Row],[Age]]&lt;=25,"Young",IF(Table1[[#This Row],[Age]]&lt;=50,"Adult","Senior"))</f>
        <v>Adult</v>
      </c>
      <c r="T2039" s="1">
        <f>Table1[[#This Row],[Purchase Amount (USD)]]</f>
        <v>87</v>
      </c>
      <c r="U2039">
        <f>IF(Table1[[#This Row],[Subscription Status]]="Yes",1,IF(Table1[[#This Row],[Subscription Status]]="No",0))</f>
        <v>0</v>
      </c>
    </row>
    <row r="2040" spans="1:21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  <c r="S2040" t="str">
        <f>IF(Table1[[#This Row],[Age]]&lt;=25,"Young",IF(Table1[[#This Row],[Age]]&lt;=50,"Adult","Senior"))</f>
        <v>Senior</v>
      </c>
      <c r="T2040" s="1">
        <f>Table1[[#This Row],[Purchase Amount (USD)]]</f>
        <v>70</v>
      </c>
      <c r="U2040">
        <f>IF(Table1[[#This Row],[Subscription Status]]="Yes",1,IF(Table1[[#This Row],[Subscription Status]]="No",0))</f>
        <v>0</v>
      </c>
    </row>
    <row r="2041" spans="1:21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  <c r="S2041" t="str">
        <f>IF(Table1[[#This Row],[Age]]&lt;=25,"Young",IF(Table1[[#This Row],[Age]]&lt;=50,"Adult","Senior"))</f>
        <v>Adult</v>
      </c>
      <c r="T2041" s="1">
        <f>Table1[[#This Row],[Purchase Amount (USD)]]</f>
        <v>51</v>
      </c>
      <c r="U2041">
        <f>IF(Table1[[#This Row],[Subscription Status]]="Yes",1,IF(Table1[[#This Row],[Subscription Status]]="No",0))</f>
        <v>0</v>
      </c>
    </row>
    <row r="2042" spans="1:21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  <c r="S2042" t="str">
        <f>IF(Table1[[#This Row],[Age]]&lt;=25,"Young",IF(Table1[[#This Row],[Age]]&lt;=50,"Adult","Senior"))</f>
        <v>Senior</v>
      </c>
      <c r="T2042" s="1">
        <f>Table1[[#This Row],[Purchase Amount (USD)]]</f>
        <v>25</v>
      </c>
      <c r="U2042">
        <f>IF(Table1[[#This Row],[Subscription Status]]="Yes",1,IF(Table1[[#This Row],[Subscription Status]]="No",0))</f>
        <v>0</v>
      </c>
    </row>
    <row r="2043" spans="1:21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  <c r="S2043" t="str">
        <f>IF(Table1[[#This Row],[Age]]&lt;=25,"Young",IF(Table1[[#This Row],[Age]]&lt;=50,"Adult","Senior"))</f>
        <v>Senior</v>
      </c>
      <c r="T2043" s="1">
        <f>Table1[[#This Row],[Purchase Amount (USD)]]</f>
        <v>32</v>
      </c>
      <c r="U2043">
        <f>IF(Table1[[#This Row],[Subscription Status]]="Yes",1,IF(Table1[[#This Row],[Subscription Status]]="No",0))</f>
        <v>0</v>
      </c>
    </row>
    <row r="2044" spans="1:21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  <c r="S2044" t="str">
        <f>IF(Table1[[#This Row],[Age]]&lt;=25,"Young",IF(Table1[[#This Row],[Age]]&lt;=50,"Adult","Senior"))</f>
        <v>Young</v>
      </c>
      <c r="T2044" s="1">
        <f>Table1[[#This Row],[Purchase Amount (USD)]]</f>
        <v>52</v>
      </c>
      <c r="U2044">
        <f>IF(Table1[[#This Row],[Subscription Status]]="Yes",1,IF(Table1[[#This Row],[Subscription Status]]="No",0))</f>
        <v>0</v>
      </c>
    </row>
    <row r="2045" spans="1:21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  <c r="S2045" t="str">
        <f>IF(Table1[[#This Row],[Age]]&lt;=25,"Young",IF(Table1[[#This Row],[Age]]&lt;=50,"Adult","Senior"))</f>
        <v>Adult</v>
      </c>
      <c r="T2045" s="1">
        <f>Table1[[#This Row],[Purchase Amount (USD)]]</f>
        <v>33</v>
      </c>
      <c r="U2045">
        <f>IF(Table1[[#This Row],[Subscription Status]]="Yes",1,IF(Table1[[#This Row],[Subscription Status]]="No",0))</f>
        <v>0</v>
      </c>
    </row>
    <row r="2046" spans="1:21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  <c r="S2046" t="str">
        <f>IF(Table1[[#This Row],[Age]]&lt;=25,"Young",IF(Table1[[#This Row],[Age]]&lt;=50,"Adult","Senior"))</f>
        <v>Adult</v>
      </c>
      <c r="T2046" s="1">
        <f>Table1[[#This Row],[Purchase Amount (USD)]]</f>
        <v>68</v>
      </c>
      <c r="U2046">
        <f>IF(Table1[[#This Row],[Subscription Status]]="Yes",1,IF(Table1[[#This Row],[Subscription Status]]="No",0))</f>
        <v>0</v>
      </c>
    </row>
    <row r="2047" spans="1:21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  <c r="S2047" t="str">
        <f>IF(Table1[[#This Row],[Age]]&lt;=25,"Young",IF(Table1[[#This Row],[Age]]&lt;=50,"Adult","Senior"))</f>
        <v>Adult</v>
      </c>
      <c r="T2047" s="1">
        <f>Table1[[#This Row],[Purchase Amount (USD)]]</f>
        <v>20</v>
      </c>
      <c r="U2047">
        <f>IF(Table1[[#This Row],[Subscription Status]]="Yes",1,IF(Table1[[#This Row],[Subscription Status]]="No",0))</f>
        <v>0</v>
      </c>
    </row>
    <row r="2048" spans="1:21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  <c r="S2048" t="str">
        <f>IF(Table1[[#This Row],[Age]]&lt;=25,"Young",IF(Table1[[#This Row],[Age]]&lt;=50,"Adult","Senior"))</f>
        <v>Adult</v>
      </c>
      <c r="T2048" s="1">
        <f>Table1[[#This Row],[Purchase Amount (USD)]]</f>
        <v>32</v>
      </c>
      <c r="U2048">
        <f>IF(Table1[[#This Row],[Subscription Status]]="Yes",1,IF(Table1[[#This Row],[Subscription Status]]="No",0))</f>
        <v>0</v>
      </c>
    </row>
    <row r="2049" spans="1:21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  <c r="S2049" t="str">
        <f>IF(Table1[[#This Row],[Age]]&lt;=25,"Young",IF(Table1[[#This Row],[Age]]&lt;=50,"Adult","Senior"))</f>
        <v>Senior</v>
      </c>
      <c r="T2049" s="1">
        <f>Table1[[#This Row],[Purchase Amount (USD)]]</f>
        <v>82</v>
      </c>
      <c r="U2049">
        <f>IF(Table1[[#This Row],[Subscription Status]]="Yes",1,IF(Table1[[#This Row],[Subscription Status]]="No",0))</f>
        <v>0</v>
      </c>
    </row>
    <row r="2050" spans="1:21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  <c r="S2050" t="str">
        <f>IF(Table1[[#This Row],[Age]]&lt;=25,"Young",IF(Table1[[#This Row],[Age]]&lt;=50,"Adult","Senior"))</f>
        <v>Adult</v>
      </c>
      <c r="T2050" s="1">
        <f>Table1[[#This Row],[Purchase Amount (USD)]]</f>
        <v>64</v>
      </c>
      <c r="U2050">
        <f>IF(Table1[[#This Row],[Subscription Status]]="Yes",1,IF(Table1[[#This Row],[Subscription Status]]="No",0))</f>
        <v>0</v>
      </c>
    </row>
    <row r="2051" spans="1:21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  <c r="S2051" t="str">
        <f>IF(Table1[[#This Row],[Age]]&lt;=25,"Young",IF(Table1[[#This Row],[Age]]&lt;=50,"Adult","Senior"))</f>
        <v>Senior</v>
      </c>
      <c r="T2051" s="1">
        <f>Table1[[#This Row],[Purchase Amount (USD)]]</f>
        <v>24</v>
      </c>
      <c r="U2051">
        <f>IF(Table1[[#This Row],[Subscription Status]]="Yes",1,IF(Table1[[#This Row],[Subscription Status]]="No",0))</f>
        <v>0</v>
      </c>
    </row>
    <row r="2052" spans="1:21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  <c r="S2052" t="str">
        <f>IF(Table1[[#This Row],[Age]]&lt;=25,"Young",IF(Table1[[#This Row],[Age]]&lt;=50,"Adult","Senior"))</f>
        <v>Adult</v>
      </c>
      <c r="T2052" s="1">
        <f>Table1[[#This Row],[Purchase Amount (USD)]]</f>
        <v>96</v>
      </c>
      <c r="U2052">
        <f>IF(Table1[[#This Row],[Subscription Status]]="Yes",1,IF(Table1[[#This Row],[Subscription Status]]="No",0))</f>
        <v>0</v>
      </c>
    </row>
    <row r="2053" spans="1:21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  <c r="S2053" t="str">
        <f>IF(Table1[[#This Row],[Age]]&lt;=25,"Young",IF(Table1[[#This Row],[Age]]&lt;=50,"Adult","Senior"))</f>
        <v>Senior</v>
      </c>
      <c r="T2053" s="1">
        <f>Table1[[#This Row],[Purchase Amount (USD)]]</f>
        <v>94</v>
      </c>
      <c r="U2053">
        <f>IF(Table1[[#This Row],[Subscription Status]]="Yes",1,IF(Table1[[#This Row],[Subscription Status]]="No",0))</f>
        <v>0</v>
      </c>
    </row>
    <row r="2054" spans="1:21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  <c r="S2054" t="str">
        <f>IF(Table1[[#This Row],[Age]]&lt;=25,"Young",IF(Table1[[#This Row],[Age]]&lt;=50,"Adult","Senior"))</f>
        <v>Adult</v>
      </c>
      <c r="T2054" s="1">
        <f>Table1[[#This Row],[Purchase Amount (USD)]]</f>
        <v>48</v>
      </c>
      <c r="U2054">
        <f>IF(Table1[[#This Row],[Subscription Status]]="Yes",1,IF(Table1[[#This Row],[Subscription Status]]="No",0))</f>
        <v>0</v>
      </c>
    </row>
    <row r="2055" spans="1:21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  <c r="S2055" t="str">
        <f>IF(Table1[[#This Row],[Age]]&lt;=25,"Young",IF(Table1[[#This Row],[Age]]&lt;=50,"Adult","Senior"))</f>
        <v>Young</v>
      </c>
      <c r="T2055" s="1">
        <f>Table1[[#This Row],[Purchase Amount (USD)]]</f>
        <v>60</v>
      </c>
      <c r="U2055">
        <f>IF(Table1[[#This Row],[Subscription Status]]="Yes",1,IF(Table1[[#This Row],[Subscription Status]]="No",0))</f>
        <v>0</v>
      </c>
    </row>
    <row r="2056" spans="1:21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  <c r="S2056" t="str">
        <f>IF(Table1[[#This Row],[Age]]&lt;=25,"Young",IF(Table1[[#This Row],[Age]]&lt;=50,"Adult","Senior"))</f>
        <v>Senior</v>
      </c>
      <c r="T2056" s="1">
        <f>Table1[[#This Row],[Purchase Amount (USD)]]</f>
        <v>56</v>
      </c>
      <c r="U2056">
        <f>IF(Table1[[#This Row],[Subscription Status]]="Yes",1,IF(Table1[[#This Row],[Subscription Status]]="No",0))</f>
        <v>0</v>
      </c>
    </row>
    <row r="2057" spans="1:21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  <c r="S2057" t="str">
        <f>IF(Table1[[#This Row],[Age]]&lt;=25,"Young",IF(Table1[[#This Row],[Age]]&lt;=50,"Adult","Senior"))</f>
        <v>Adult</v>
      </c>
      <c r="T2057" s="1">
        <f>Table1[[#This Row],[Purchase Amount (USD)]]</f>
        <v>33</v>
      </c>
      <c r="U2057">
        <f>IF(Table1[[#This Row],[Subscription Status]]="Yes",1,IF(Table1[[#This Row],[Subscription Status]]="No",0))</f>
        <v>0</v>
      </c>
    </row>
    <row r="2058" spans="1:21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  <c r="S2058" t="str">
        <f>IF(Table1[[#This Row],[Age]]&lt;=25,"Young",IF(Table1[[#This Row],[Age]]&lt;=50,"Adult","Senior"))</f>
        <v>Senior</v>
      </c>
      <c r="T2058" s="1">
        <f>Table1[[#This Row],[Purchase Amount (USD)]]</f>
        <v>46</v>
      </c>
      <c r="U2058">
        <f>IF(Table1[[#This Row],[Subscription Status]]="Yes",1,IF(Table1[[#This Row],[Subscription Status]]="No",0))</f>
        <v>0</v>
      </c>
    </row>
    <row r="2059" spans="1:21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  <c r="S2059" t="str">
        <f>IF(Table1[[#This Row],[Age]]&lt;=25,"Young",IF(Table1[[#This Row],[Age]]&lt;=50,"Adult","Senior"))</f>
        <v>Senior</v>
      </c>
      <c r="T2059" s="1">
        <f>Table1[[#This Row],[Purchase Amount (USD)]]</f>
        <v>37</v>
      </c>
      <c r="U2059">
        <f>IF(Table1[[#This Row],[Subscription Status]]="Yes",1,IF(Table1[[#This Row],[Subscription Status]]="No",0))</f>
        <v>0</v>
      </c>
    </row>
    <row r="2060" spans="1:21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  <c r="S2060" t="str">
        <f>IF(Table1[[#This Row],[Age]]&lt;=25,"Young",IF(Table1[[#This Row],[Age]]&lt;=50,"Adult","Senior"))</f>
        <v>Adult</v>
      </c>
      <c r="T2060" s="1">
        <f>Table1[[#This Row],[Purchase Amount (USD)]]</f>
        <v>98</v>
      </c>
      <c r="U2060">
        <f>IF(Table1[[#This Row],[Subscription Status]]="Yes",1,IF(Table1[[#This Row],[Subscription Status]]="No",0))</f>
        <v>0</v>
      </c>
    </row>
    <row r="2061" spans="1:21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  <c r="S2061" t="str">
        <f>IF(Table1[[#This Row],[Age]]&lt;=25,"Young",IF(Table1[[#This Row],[Age]]&lt;=50,"Adult","Senior"))</f>
        <v>Senior</v>
      </c>
      <c r="T2061" s="1">
        <f>Table1[[#This Row],[Purchase Amount (USD)]]</f>
        <v>50</v>
      </c>
      <c r="U2061">
        <f>IF(Table1[[#This Row],[Subscription Status]]="Yes",1,IF(Table1[[#This Row],[Subscription Status]]="No",0))</f>
        <v>0</v>
      </c>
    </row>
    <row r="2062" spans="1:21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  <c r="S2062" t="str">
        <f>IF(Table1[[#This Row],[Age]]&lt;=25,"Young",IF(Table1[[#This Row],[Age]]&lt;=50,"Adult","Senior"))</f>
        <v>Young</v>
      </c>
      <c r="T2062" s="1">
        <f>Table1[[#This Row],[Purchase Amount (USD)]]</f>
        <v>63</v>
      </c>
      <c r="U2062">
        <f>IF(Table1[[#This Row],[Subscription Status]]="Yes",1,IF(Table1[[#This Row],[Subscription Status]]="No",0))</f>
        <v>0</v>
      </c>
    </row>
    <row r="2063" spans="1:21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  <c r="S2063" t="str">
        <f>IF(Table1[[#This Row],[Age]]&lt;=25,"Young",IF(Table1[[#This Row],[Age]]&lt;=50,"Adult","Senior"))</f>
        <v>Adult</v>
      </c>
      <c r="T2063" s="1">
        <f>Table1[[#This Row],[Purchase Amount (USD)]]</f>
        <v>70</v>
      </c>
      <c r="U2063">
        <f>IF(Table1[[#This Row],[Subscription Status]]="Yes",1,IF(Table1[[#This Row],[Subscription Status]]="No",0))</f>
        <v>0</v>
      </c>
    </row>
    <row r="2064" spans="1:21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  <c r="S2064" t="str">
        <f>IF(Table1[[#This Row],[Age]]&lt;=25,"Young",IF(Table1[[#This Row],[Age]]&lt;=50,"Adult","Senior"))</f>
        <v>Senior</v>
      </c>
      <c r="T2064" s="1">
        <f>Table1[[#This Row],[Purchase Amount (USD)]]</f>
        <v>63</v>
      </c>
      <c r="U2064">
        <f>IF(Table1[[#This Row],[Subscription Status]]="Yes",1,IF(Table1[[#This Row],[Subscription Status]]="No",0))</f>
        <v>0</v>
      </c>
    </row>
    <row r="2065" spans="1:21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  <c r="S2065" t="str">
        <f>IF(Table1[[#This Row],[Age]]&lt;=25,"Young",IF(Table1[[#This Row],[Age]]&lt;=50,"Adult","Senior"))</f>
        <v>Senior</v>
      </c>
      <c r="T2065" s="1">
        <f>Table1[[#This Row],[Purchase Amount (USD)]]</f>
        <v>86</v>
      </c>
      <c r="U2065">
        <f>IF(Table1[[#This Row],[Subscription Status]]="Yes",1,IF(Table1[[#This Row],[Subscription Status]]="No",0))</f>
        <v>0</v>
      </c>
    </row>
    <row r="2066" spans="1:21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  <c r="S2066" t="str">
        <f>IF(Table1[[#This Row],[Age]]&lt;=25,"Young",IF(Table1[[#This Row],[Age]]&lt;=50,"Adult","Senior"))</f>
        <v>Adult</v>
      </c>
      <c r="T2066" s="1">
        <f>Table1[[#This Row],[Purchase Amount (USD)]]</f>
        <v>99</v>
      </c>
      <c r="U2066">
        <f>IF(Table1[[#This Row],[Subscription Status]]="Yes",1,IF(Table1[[#This Row],[Subscription Status]]="No",0))</f>
        <v>0</v>
      </c>
    </row>
    <row r="2067" spans="1:21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  <c r="S2067" t="str">
        <f>IF(Table1[[#This Row],[Age]]&lt;=25,"Young",IF(Table1[[#This Row],[Age]]&lt;=50,"Adult","Senior"))</f>
        <v>Adult</v>
      </c>
      <c r="T2067" s="1">
        <f>Table1[[#This Row],[Purchase Amount (USD)]]</f>
        <v>40</v>
      </c>
      <c r="U2067">
        <f>IF(Table1[[#This Row],[Subscription Status]]="Yes",1,IF(Table1[[#This Row],[Subscription Status]]="No",0))</f>
        <v>0</v>
      </c>
    </row>
    <row r="2068" spans="1:21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  <c r="S2068" t="str">
        <f>IF(Table1[[#This Row],[Age]]&lt;=25,"Young",IF(Table1[[#This Row],[Age]]&lt;=50,"Adult","Senior"))</f>
        <v>Senior</v>
      </c>
      <c r="T2068" s="1">
        <f>Table1[[#This Row],[Purchase Amount (USD)]]</f>
        <v>92</v>
      </c>
      <c r="U2068">
        <f>IF(Table1[[#This Row],[Subscription Status]]="Yes",1,IF(Table1[[#This Row],[Subscription Status]]="No",0))</f>
        <v>0</v>
      </c>
    </row>
    <row r="2069" spans="1:21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  <c r="S2069" t="str">
        <f>IF(Table1[[#This Row],[Age]]&lt;=25,"Young",IF(Table1[[#This Row],[Age]]&lt;=50,"Adult","Senior"))</f>
        <v>Senior</v>
      </c>
      <c r="T2069" s="1">
        <f>Table1[[#This Row],[Purchase Amount (USD)]]</f>
        <v>21</v>
      </c>
      <c r="U2069">
        <f>IF(Table1[[#This Row],[Subscription Status]]="Yes",1,IF(Table1[[#This Row],[Subscription Status]]="No",0))</f>
        <v>0</v>
      </c>
    </row>
    <row r="2070" spans="1:21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  <c r="S2070" t="str">
        <f>IF(Table1[[#This Row],[Age]]&lt;=25,"Young",IF(Table1[[#This Row],[Age]]&lt;=50,"Adult","Senior"))</f>
        <v>Senior</v>
      </c>
      <c r="T2070" s="1">
        <f>Table1[[#This Row],[Purchase Amount (USD)]]</f>
        <v>81</v>
      </c>
      <c r="U2070">
        <f>IF(Table1[[#This Row],[Subscription Status]]="Yes",1,IF(Table1[[#This Row],[Subscription Status]]="No",0))</f>
        <v>0</v>
      </c>
    </row>
    <row r="2071" spans="1:21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  <c r="S2071" t="str">
        <f>IF(Table1[[#This Row],[Age]]&lt;=25,"Young",IF(Table1[[#This Row],[Age]]&lt;=50,"Adult","Senior"))</f>
        <v>Adult</v>
      </c>
      <c r="T2071" s="1">
        <f>Table1[[#This Row],[Purchase Amount (USD)]]</f>
        <v>82</v>
      </c>
      <c r="U2071">
        <f>IF(Table1[[#This Row],[Subscription Status]]="Yes",1,IF(Table1[[#This Row],[Subscription Status]]="No",0))</f>
        <v>0</v>
      </c>
    </row>
    <row r="2072" spans="1:21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  <c r="S2072" t="str">
        <f>IF(Table1[[#This Row],[Age]]&lt;=25,"Young",IF(Table1[[#This Row],[Age]]&lt;=50,"Adult","Senior"))</f>
        <v>Senior</v>
      </c>
      <c r="T2072" s="1">
        <f>Table1[[#This Row],[Purchase Amount (USD)]]</f>
        <v>88</v>
      </c>
      <c r="U2072">
        <f>IF(Table1[[#This Row],[Subscription Status]]="Yes",1,IF(Table1[[#This Row],[Subscription Status]]="No",0))</f>
        <v>0</v>
      </c>
    </row>
    <row r="2073" spans="1:21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  <c r="S2073" t="str">
        <f>IF(Table1[[#This Row],[Age]]&lt;=25,"Young",IF(Table1[[#This Row],[Age]]&lt;=50,"Adult","Senior"))</f>
        <v>Senior</v>
      </c>
      <c r="T2073" s="1">
        <f>Table1[[#This Row],[Purchase Amount (USD)]]</f>
        <v>100</v>
      </c>
      <c r="U2073">
        <f>IF(Table1[[#This Row],[Subscription Status]]="Yes",1,IF(Table1[[#This Row],[Subscription Status]]="No",0))</f>
        <v>0</v>
      </c>
    </row>
    <row r="2074" spans="1:21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  <c r="S2074" t="str">
        <f>IF(Table1[[#This Row],[Age]]&lt;=25,"Young",IF(Table1[[#This Row],[Age]]&lt;=50,"Adult","Senior"))</f>
        <v>Adult</v>
      </c>
      <c r="T2074" s="1">
        <f>Table1[[#This Row],[Purchase Amount (USD)]]</f>
        <v>66</v>
      </c>
      <c r="U2074">
        <f>IF(Table1[[#This Row],[Subscription Status]]="Yes",1,IF(Table1[[#This Row],[Subscription Status]]="No",0))</f>
        <v>0</v>
      </c>
    </row>
    <row r="2075" spans="1:21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  <c r="S2075" t="str">
        <f>IF(Table1[[#This Row],[Age]]&lt;=25,"Young",IF(Table1[[#This Row],[Age]]&lt;=50,"Adult","Senior"))</f>
        <v>Adult</v>
      </c>
      <c r="T2075" s="1">
        <f>Table1[[#This Row],[Purchase Amount (USD)]]</f>
        <v>25</v>
      </c>
      <c r="U2075">
        <f>IF(Table1[[#This Row],[Subscription Status]]="Yes",1,IF(Table1[[#This Row],[Subscription Status]]="No",0))</f>
        <v>0</v>
      </c>
    </row>
    <row r="2076" spans="1:21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  <c r="S2076" t="str">
        <f>IF(Table1[[#This Row],[Age]]&lt;=25,"Young",IF(Table1[[#This Row],[Age]]&lt;=50,"Adult","Senior"))</f>
        <v>Adult</v>
      </c>
      <c r="T2076" s="1">
        <f>Table1[[#This Row],[Purchase Amount (USD)]]</f>
        <v>53</v>
      </c>
      <c r="U2076">
        <f>IF(Table1[[#This Row],[Subscription Status]]="Yes",1,IF(Table1[[#This Row],[Subscription Status]]="No",0))</f>
        <v>0</v>
      </c>
    </row>
    <row r="2077" spans="1:21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  <c r="S2077" t="str">
        <f>IF(Table1[[#This Row],[Age]]&lt;=25,"Young",IF(Table1[[#This Row],[Age]]&lt;=50,"Adult","Senior"))</f>
        <v>Adult</v>
      </c>
      <c r="T2077" s="1">
        <f>Table1[[#This Row],[Purchase Amount (USD)]]</f>
        <v>28</v>
      </c>
      <c r="U2077">
        <f>IF(Table1[[#This Row],[Subscription Status]]="Yes",1,IF(Table1[[#This Row],[Subscription Status]]="No",0))</f>
        <v>0</v>
      </c>
    </row>
    <row r="2078" spans="1:21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  <c r="S2078" t="str">
        <f>IF(Table1[[#This Row],[Age]]&lt;=25,"Young",IF(Table1[[#This Row],[Age]]&lt;=50,"Adult","Senior"))</f>
        <v>Senior</v>
      </c>
      <c r="T2078" s="1">
        <f>Table1[[#This Row],[Purchase Amount (USD)]]</f>
        <v>23</v>
      </c>
      <c r="U2078">
        <f>IF(Table1[[#This Row],[Subscription Status]]="Yes",1,IF(Table1[[#This Row],[Subscription Status]]="No",0))</f>
        <v>0</v>
      </c>
    </row>
    <row r="2079" spans="1:21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  <c r="S2079" t="str">
        <f>IF(Table1[[#This Row],[Age]]&lt;=25,"Young",IF(Table1[[#This Row],[Age]]&lt;=50,"Adult","Senior"))</f>
        <v>Senior</v>
      </c>
      <c r="T2079" s="1">
        <f>Table1[[#This Row],[Purchase Amount (USD)]]</f>
        <v>34</v>
      </c>
      <c r="U2079">
        <f>IF(Table1[[#This Row],[Subscription Status]]="Yes",1,IF(Table1[[#This Row],[Subscription Status]]="No",0))</f>
        <v>0</v>
      </c>
    </row>
    <row r="2080" spans="1:21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  <c r="S2080" t="str">
        <f>IF(Table1[[#This Row],[Age]]&lt;=25,"Young",IF(Table1[[#This Row],[Age]]&lt;=50,"Adult","Senior"))</f>
        <v>Adult</v>
      </c>
      <c r="T2080" s="1">
        <f>Table1[[#This Row],[Purchase Amount (USD)]]</f>
        <v>42</v>
      </c>
      <c r="U2080">
        <f>IF(Table1[[#This Row],[Subscription Status]]="Yes",1,IF(Table1[[#This Row],[Subscription Status]]="No",0))</f>
        <v>0</v>
      </c>
    </row>
    <row r="2081" spans="1:21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  <c r="S2081" t="str">
        <f>IF(Table1[[#This Row],[Age]]&lt;=25,"Young",IF(Table1[[#This Row],[Age]]&lt;=50,"Adult","Senior"))</f>
        <v>Adult</v>
      </c>
      <c r="T2081" s="1">
        <f>Table1[[#This Row],[Purchase Amount (USD)]]</f>
        <v>24</v>
      </c>
      <c r="U2081">
        <f>IF(Table1[[#This Row],[Subscription Status]]="Yes",1,IF(Table1[[#This Row],[Subscription Status]]="No",0))</f>
        <v>0</v>
      </c>
    </row>
    <row r="2082" spans="1:21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  <c r="S2082" t="str">
        <f>IF(Table1[[#This Row],[Age]]&lt;=25,"Young",IF(Table1[[#This Row],[Age]]&lt;=50,"Adult","Senior"))</f>
        <v>Adult</v>
      </c>
      <c r="T2082" s="1">
        <f>Table1[[#This Row],[Purchase Amount (USD)]]</f>
        <v>47</v>
      </c>
      <c r="U2082">
        <f>IF(Table1[[#This Row],[Subscription Status]]="Yes",1,IF(Table1[[#This Row],[Subscription Status]]="No",0))</f>
        <v>0</v>
      </c>
    </row>
    <row r="2083" spans="1:21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  <c r="S2083" t="str">
        <f>IF(Table1[[#This Row],[Age]]&lt;=25,"Young",IF(Table1[[#This Row],[Age]]&lt;=50,"Adult","Senior"))</f>
        <v>Young</v>
      </c>
      <c r="T2083" s="1">
        <f>Table1[[#This Row],[Purchase Amount (USD)]]</f>
        <v>78</v>
      </c>
      <c r="U2083">
        <f>IF(Table1[[#This Row],[Subscription Status]]="Yes",1,IF(Table1[[#This Row],[Subscription Status]]="No",0))</f>
        <v>0</v>
      </c>
    </row>
    <row r="2084" spans="1:21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  <c r="S2084" t="str">
        <f>IF(Table1[[#This Row],[Age]]&lt;=25,"Young",IF(Table1[[#This Row],[Age]]&lt;=50,"Adult","Senior"))</f>
        <v>Adult</v>
      </c>
      <c r="T2084" s="1">
        <f>Table1[[#This Row],[Purchase Amount (USD)]]</f>
        <v>89</v>
      </c>
      <c r="U2084">
        <f>IF(Table1[[#This Row],[Subscription Status]]="Yes",1,IF(Table1[[#This Row],[Subscription Status]]="No",0))</f>
        <v>0</v>
      </c>
    </row>
    <row r="2085" spans="1:21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  <c r="S2085" t="str">
        <f>IF(Table1[[#This Row],[Age]]&lt;=25,"Young",IF(Table1[[#This Row],[Age]]&lt;=50,"Adult","Senior"))</f>
        <v>Adult</v>
      </c>
      <c r="T2085" s="1">
        <f>Table1[[#This Row],[Purchase Amount (USD)]]</f>
        <v>59</v>
      </c>
      <c r="U2085">
        <f>IF(Table1[[#This Row],[Subscription Status]]="Yes",1,IF(Table1[[#This Row],[Subscription Status]]="No",0))</f>
        <v>0</v>
      </c>
    </row>
    <row r="2086" spans="1:21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  <c r="S2086" t="str">
        <f>IF(Table1[[#This Row],[Age]]&lt;=25,"Young",IF(Table1[[#This Row],[Age]]&lt;=50,"Adult","Senior"))</f>
        <v>Adult</v>
      </c>
      <c r="T2086" s="1">
        <f>Table1[[#This Row],[Purchase Amount (USD)]]</f>
        <v>94</v>
      </c>
      <c r="U2086">
        <f>IF(Table1[[#This Row],[Subscription Status]]="Yes",1,IF(Table1[[#This Row],[Subscription Status]]="No",0))</f>
        <v>0</v>
      </c>
    </row>
    <row r="2087" spans="1:21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  <c r="S2087" t="str">
        <f>IF(Table1[[#This Row],[Age]]&lt;=25,"Young",IF(Table1[[#This Row],[Age]]&lt;=50,"Adult","Senior"))</f>
        <v>Senior</v>
      </c>
      <c r="T2087" s="1">
        <f>Table1[[#This Row],[Purchase Amount (USD)]]</f>
        <v>49</v>
      </c>
      <c r="U2087">
        <f>IF(Table1[[#This Row],[Subscription Status]]="Yes",1,IF(Table1[[#This Row],[Subscription Status]]="No",0))</f>
        <v>0</v>
      </c>
    </row>
    <row r="2088" spans="1:21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  <c r="S2088" t="str">
        <f>IF(Table1[[#This Row],[Age]]&lt;=25,"Young",IF(Table1[[#This Row],[Age]]&lt;=50,"Adult","Senior"))</f>
        <v>Senior</v>
      </c>
      <c r="T2088" s="1">
        <f>Table1[[#This Row],[Purchase Amount (USD)]]</f>
        <v>89</v>
      </c>
      <c r="U2088">
        <f>IF(Table1[[#This Row],[Subscription Status]]="Yes",1,IF(Table1[[#This Row],[Subscription Status]]="No",0))</f>
        <v>0</v>
      </c>
    </row>
    <row r="2089" spans="1:21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  <c r="S2089" t="str">
        <f>IF(Table1[[#This Row],[Age]]&lt;=25,"Young",IF(Table1[[#This Row],[Age]]&lt;=50,"Adult","Senior"))</f>
        <v>Senior</v>
      </c>
      <c r="T2089" s="1">
        <f>Table1[[#This Row],[Purchase Amount (USD)]]</f>
        <v>91</v>
      </c>
      <c r="U2089">
        <f>IF(Table1[[#This Row],[Subscription Status]]="Yes",1,IF(Table1[[#This Row],[Subscription Status]]="No",0))</f>
        <v>0</v>
      </c>
    </row>
    <row r="2090" spans="1:21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  <c r="S2090" t="str">
        <f>IF(Table1[[#This Row],[Age]]&lt;=25,"Young",IF(Table1[[#This Row],[Age]]&lt;=50,"Adult","Senior"))</f>
        <v>Adult</v>
      </c>
      <c r="T2090" s="1">
        <f>Table1[[#This Row],[Purchase Amount (USD)]]</f>
        <v>89</v>
      </c>
      <c r="U2090">
        <f>IF(Table1[[#This Row],[Subscription Status]]="Yes",1,IF(Table1[[#This Row],[Subscription Status]]="No",0))</f>
        <v>0</v>
      </c>
    </row>
    <row r="2091" spans="1:21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  <c r="S2091" t="str">
        <f>IF(Table1[[#This Row],[Age]]&lt;=25,"Young",IF(Table1[[#This Row],[Age]]&lt;=50,"Adult","Senior"))</f>
        <v>Adult</v>
      </c>
      <c r="T2091" s="1">
        <f>Table1[[#This Row],[Purchase Amount (USD)]]</f>
        <v>57</v>
      </c>
      <c r="U2091">
        <f>IF(Table1[[#This Row],[Subscription Status]]="Yes",1,IF(Table1[[#This Row],[Subscription Status]]="No",0))</f>
        <v>0</v>
      </c>
    </row>
    <row r="2092" spans="1:21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  <c r="S2092" t="str">
        <f>IF(Table1[[#This Row],[Age]]&lt;=25,"Young",IF(Table1[[#This Row],[Age]]&lt;=50,"Adult","Senior"))</f>
        <v>Senior</v>
      </c>
      <c r="T2092" s="1">
        <f>Table1[[#This Row],[Purchase Amount (USD)]]</f>
        <v>71</v>
      </c>
      <c r="U2092">
        <f>IF(Table1[[#This Row],[Subscription Status]]="Yes",1,IF(Table1[[#This Row],[Subscription Status]]="No",0))</f>
        <v>0</v>
      </c>
    </row>
    <row r="2093" spans="1:21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  <c r="S2093" t="str">
        <f>IF(Table1[[#This Row],[Age]]&lt;=25,"Young",IF(Table1[[#This Row],[Age]]&lt;=50,"Adult","Senior"))</f>
        <v>Adult</v>
      </c>
      <c r="T2093" s="1">
        <f>Table1[[#This Row],[Purchase Amount (USD)]]</f>
        <v>97</v>
      </c>
      <c r="U2093">
        <f>IF(Table1[[#This Row],[Subscription Status]]="Yes",1,IF(Table1[[#This Row],[Subscription Status]]="No",0))</f>
        <v>0</v>
      </c>
    </row>
    <row r="2094" spans="1:21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  <c r="S2094" t="str">
        <f>IF(Table1[[#This Row],[Age]]&lt;=25,"Young",IF(Table1[[#This Row],[Age]]&lt;=50,"Adult","Senior"))</f>
        <v>Adult</v>
      </c>
      <c r="T2094" s="1">
        <f>Table1[[#This Row],[Purchase Amount (USD)]]</f>
        <v>45</v>
      </c>
      <c r="U2094">
        <f>IF(Table1[[#This Row],[Subscription Status]]="Yes",1,IF(Table1[[#This Row],[Subscription Status]]="No",0))</f>
        <v>0</v>
      </c>
    </row>
    <row r="2095" spans="1:21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  <c r="S2095" t="str">
        <f>IF(Table1[[#This Row],[Age]]&lt;=25,"Young",IF(Table1[[#This Row],[Age]]&lt;=50,"Adult","Senior"))</f>
        <v>Young</v>
      </c>
      <c r="T2095" s="1">
        <f>Table1[[#This Row],[Purchase Amount (USD)]]</f>
        <v>91</v>
      </c>
      <c r="U2095">
        <f>IF(Table1[[#This Row],[Subscription Status]]="Yes",1,IF(Table1[[#This Row],[Subscription Status]]="No",0))</f>
        <v>0</v>
      </c>
    </row>
    <row r="2096" spans="1:21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  <c r="S2096" t="str">
        <f>IF(Table1[[#This Row],[Age]]&lt;=25,"Young",IF(Table1[[#This Row],[Age]]&lt;=50,"Adult","Senior"))</f>
        <v>Senior</v>
      </c>
      <c r="T2096" s="1">
        <f>Table1[[#This Row],[Purchase Amount (USD)]]</f>
        <v>25</v>
      </c>
      <c r="U2096">
        <f>IF(Table1[[#This Row],[Subscription Status]]="Yes",1,IF(Table1[[#This Row],[Subscription Status]]="No",0))</f>
        <v>0</v>
      </c>
    </row>
    <row r="2097" spans="1:21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  <c r="S2097" t="str">
        <f>IF(Table1[[#This Row],[Age]]&lt;=25,"Young",IF(Table1[[#This Row],[Age]]&lt;=50,"Adult","Senior"))</f>
        <v>Adult</v>
      </c>
      <c r="T2097" s="1">
        <f>Table1[[#This Row],[Purchase Amount (USD)]]</f>
        <v>63</v>
      </c>
      <c r="U2097">
        <f>IF(Table1[[#This Row],[Subscription Status]]="Yes",1,IF(Table1[[#This Row],[Subscription Status]]="No",0))</f>
        <v>0</v>
      </c>
    </row>
    <row r="2098" spans="1:21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  <c r="S2098" t="str">
        <f>IF(Table1[[#This Row],[Age]]&lt;=25,"Young",IF(Table1[[#This Row],[Age]]&lt;=50,"Adult","Senior"))</f>
        <v>Young</v>
      </c>
      <c r="T2098" s="1">
        <f>Table1[[#This Row],[Purchase Amount (USD)]]</f>
        <v>52</v>
      </c>
      <c r="U2098">
        <f>IF(Table1[[#This Row],[Subscription Status]]="Yes",1,IF(Table1[[#This Row],[Subscription Status]]="No",0))</f>
        <v>0</v>
      </c>
    </row>
    <row r="2099" spans="1:21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  <c r="S2099" t="str">
        <f>IF(Table1[[#This Row],[Age]]&lt;=25,"Young",IF(Table1[[#This Row],[Age]]&lt;=50,"Adult","Senior"))</f>
        <v>Adult</v>
      </c>
      <c r="T2099" s="1">
        <f>Table1[[#This Row],[Purchase Amount (USD)]]</f>
        <v>43</v>
      </c>
      <c r="U2099">
        <f>IF(Table1[[#This Row],[Subscription Status]]="Yes",1,IF(Table1[[#This Row],[Subscription Status]]="No",0))</f>
        <v>0</v>
      </c>
    </row>
    <row r="2100" spans="1:21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  <c r="S2100" t="str">
        <f>IF(Table1[[#This Row],[Age]]&lt;=25,"Young",IF(Table1[[#This Row],[Age]]&lt;=50,"Adult","Senior"))</f>
        <v>Adult</v>
      </c>
      <c r="T2100" s="1">
        <f>Table1[[#This Row],[Purchase Amount (USD)]]</f>
        <v>28</v>
      </c>
      <c r="U2100">
        <f>IF(Table1[[#This Row],[Subscription Status]]="Yes",1,IF(Table1[[#This Row],[Subscription Status]]="No",0))</f>
        <v>0</v>
      </c>
    </row>
    <row r="2101" spans="1:21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  <c r="S2101" t="str">
        <f>IF(Table1[[#This Row],[Age]]&lt;=25,"Young",IF(Table1[[#This Row],[Age]]&lt;=50,"Adult","Senior"))</f>
        <v>Adult</v>
      </c>
      <c r="T2101" s="1">
        <f>Table1[[#This Row],[Purchase Amount (USD)]]</f>
        <v>78</v>
      </c>
      <c r="U2101">
        <f>IF(Table1[[#This Row],[Subscription Status]]="Yes",1,IF(Table1[[#This Row],[Subscription Status]]="No",0))</f>
        <v>0</v>
      </c>
    </row>
    <row r="2102" spans="1:21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  <c r="S2102" t="str">
        <f>IF(Table1[[#This Row],[Age]]&lt;=25,"Young",IF(Table1[[#This Row],[Age]]&lt;=50,"Adult","Senior"))</f>
        <v>Senior</v>
      </c>
      <c r="T2102" s="1">
        <f>Table1[[#This Row],[Purchase Amount (USD)]]</f>
        <v>31</v>
      </c>
      <c r="U2102">
        <f>IF(Table1[[#This Row],[Subscription Status]]="Yes",1,IF(Table1[[#This Row],[Subscription Status]]="No",0))</f>
        <v>0</v>
      </c>
    </row>
    <row r="2103" spans="1:21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  <c r="S2103" t="str">
        <f>IF(Table1[[#This Row],[Age]]&lt;=25,"Young",IF(Table1[[#This Row],[Age]]&lt;=50,"Adult","Senior"))</f>
        <v>Adult</v>
      </c>
      <c r="T2103" s="1">
        <f>Table1[[#This Row],[Purchase Amount (USD)]]</f>
        <v>23</v>
      </c>
      <c r="U2103">
        <f>IF(Table1[[#This Row],[Subscription Status]]="Yes",1,IF(Table1[[#This Row],[Subscription Status]]="No",0))</f>
        <v>0</v>
      </c>
    </row>
    <row r="2104" spans="1:21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  <c r="S2104" t="str">
        <f>IF(Table1[[#This Row],[Age]]&lt;=25,"Young",IF(Table1[[#This Row],[Age]]&lt;=50,"Adult","Senior"))</f>
        <v>Young</v>
      </c>
      <c r="T2104" s="1">
        <f>Table1[[#This Row],[Purchase Amount (USD)]]</f>
        <v>25</v>
      </c>
      <c r="U2104">
        <f>IF(Table1[[#This Row],[Subscription Status]]="Yes",1,IF(Table1[[#This Row],[Subscription Status]]="No",0))</f>
        <v>0</v>
      </c>
    </row>
    <row r="2105" spans="1:21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  <c r="S2105" t="str">
        <f>IF(Table1[[#This Row],[Age]]&lt;=25,"Young",IF(Table1[[#This Row],[Age]]&lt;=50,"Adult","Senior"))</f>
        <v>Adult</v>
      </c>
      <c r="T2105" s="1">
        <f>Table1[[#This Row],[Purchase Amount (USD)]]</f>
        <v>86</v>
      </c>
      <c r="U2105">
        <f>IF(Table1[[#This Row],[Subscription Status]]="Yes",1,IF(Table1[[#This Row],[Subscription Status]]="No",0))</f>
        <v>0</v>
      </c>
    </row>
    <row r="2106" spans="1:21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  <c r="S2106" t="str">
        <f>IF(Table1[[#This Row],[Age]]&lt;=25,"Young",IF(Table1[[#This Row],[Age]]&lt;=50,"Adult","Senior"))</f>
        <v>Senior</v>
      </c>
      <c r="T2106" s="1">
        <f>Table1[[#This Row],[Purchase Amount (USD)]]</f>
        <v>88</v>
      </c>
      <c r="U2106">
        <f>IF(Table1[[#This Row],[Subscription Status]]="Yes",1,IF(Table1[[#This Row],[Subscription Status]]="No",0))</f>
        <v>0</v>
      </c>
    </row>
    <row r="2107" spans="1:21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  <c r="S2107" t="str">
        <f>IF(Table1[[#This Row],[Age]]&lt;=25,"Young",IF(Table1[[#This Row],[Age]]&lt;=50,"Adult","Senior"))</f>
        <v>Senior</v>
      </c>
      <c r="T2107" s="1">
        <f>Table1[[#This Row],[Purchase Amount (USD)]]</f>
        <v>35</v>
      </c>
      <c r="U2107">
        <f>IF(Table1[[#This Row],[Subscription Status]]="Yes",1,IF(Table1[[#This Row],[Subscription Status]]="No",0))</f>
        <v>0</v>
      </c>
    </row>
    <row r="2108" spans="1:21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  <c r="S2108" t="str">
        <f>IF(Table1[[#This Row],[Age]]&lt;=25,"Young",IF(Table1[[#This Row],[Age]]&lt;=50,"Adult","Senior"))</f>
        <v>Senior</v>
      </c>
      <c r="T2108" s="1">
        <f>Table1[[#This Row],[Purchase Amount (USD)]]</f>
        <v>34</v>
      </c>
      <c r="U2108">
        <f>IF(Table1[[#This Row],[Subscription Status]]="Yes",1,IF(Table1[[#This Row],[Subscription Status]]="No",0))</f>
        <v>0</v>
      </c>
    </row>
    <row r="2109" spans="1:21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  <c r="S2109" t="str">
        <f>IF(Table1[[#This Row],[Age]]&lt;=25,"Young",IF(Table1[[#This Row],[Age]]&lt;=50,"Adult","Senior"))</f>
        <v>Adult</v>
      </c>
      <c r="T2109" s="1">
        <f>Table1[[#This Row],[Purchase Amount (USD)]]</f>
        <v>75</v>
      </c>
      <c r="U2109">
        <f>IF(Table1[[#This Row],[Subscription Status]]="Yes",1,IF(Table1[[#This Row],[Subscription Status]]="No",0))</f>
        <v>0</v>
      </c>
    </row>
    <row r="2110" spans="1:21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  <c r="S2110" t="str">
        <f>IF(Table1[[#This Row],[Age]]&lt;=25,"Young",IF(Table1[[#This Row],[Age]]&lt;=50,"Adult","Senior"))</f>
        <v>Senior</v>
      </c>
      <c r="T2110" s="1">
        <f>Table1[[#This Row],[Purchase Amount (USD)]]</f>
        <v>46</v>
      </c>
      <c r="U2110">
        <f>IF(Table1[[#This Row],[Subscription Status]]="Yes",1,IF(Table1[[#This Row],[Subscription Status]]="No",0))</f>
        <v>0</v>
      </c>
    </row>
    <row r="2111" spans="1:21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  <c r="S2111" t="str">
        <f>IF(Table1[[#This Row],[Age]]&lt;=25,"Young",IF(Table1[[#This Row],[Age]]&lt;=50,"Adult","Senior"))</f>
        <v>Senior</v>
      </c>
      <c r="T2111" s="1">
        <f>Table1[[#This Row],[Purchase Amount (USD)]]</f>
        <v>31</v>
      </c>
      <c r="U2111">
        <f>IF(Table1[[#This Row],[Subscription Status]]="Yes",1,IF(Table1[[#This Row],[Subscription Status]]="No",0))</f>
        <v>0</v>
      </c>
    </row>
    <row r="2112" spans="1:21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  <c r="S2112" t="str">
        <f>IF(Table1[[#This Row],[Age]]&lt;=25,"Young",IF(Table1[[#This Row],[Age]]&lt;=50,"Adult","Senior"))</f>
        <v>Senior</v>
      </c>
      <c r="T2112" s="1">
        <f>Table1[[#This Row],[Purchase Amount (USD)]]</f>
        <v>93</v>
      </c>
      <c r="U2112">
        <f>IF(Table1[[#This Row],[Subscription Status]]="Yes",1,IF(Table1[[#This Row],[Subscription Status]]="No",0))</f>
        <v>0</v>
      </c>
    </row>
    <row r="2113" spans="1:21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  <c r="S2113" t="str">
        <f>IF(Table1[[#This Row],[Age]]&lt;=25,"Young",IF(Table1[[#This Row],[Age]]&lt;=50,"Adult","Senior"))</f>
        <v>Adult</v>
      </c>
      <c r="T2113" s="1">
        <f>Table1[[#This Row],[Purchase Amount (USD)]]</f>
        <v>85</v>
      </c>
      <c r="U2113">
        <f>IF(Table1[[#This Row],[Subscription Status]]="Yes",1,IF(Table1[[#This Row],[Subscription Status]]="No",0))</f>
        <v>0</v>
      </c>
    </row>
    <row r="2114" spans="1:21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  <c r="S2114" t="str">
        <f>IF(Table1[[#This Row],[Age]]&lt;=25,"Young",IF(Table1[[#This Row],[Age]]&lt;=50,"Adult","Senior"))</f>
        <v>Adult</v>
      </c>
      <c r="T2114" s="1">
        <f>Table1[[#This Row],[Purchase Amount (USD)]]</f>
        <v>68</v>
      </c>
      <c r="U2114">
        <f>IF(Table1[[#This Row],[Subscription Status]]="Yes",1,IF(Table1[[#This Row],[Subscription Status]]="No",0))</f>
        <v>0</v>
      </c>
    </row>
    <row r="2115" spans="1:21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  <c r="S2115" t="str">
        <f>IF(Table1[[#This Row],[Age]]&lt;=25,"Young",IF(Table1[[#This Row],[Age]]&lt;=50,"Adult","Senior"))</f>
        <v>Senior</v>
      </c>
      <c r="T2115" s="1">
        <f>Table1[[#This Row],[Purchase Amount (USD)]]</f>
        <v>40</v>
      </c>
      <c r="U2115">
        <f>IF(Table1[[#This Row],[Subscription Status]]="Yes",1,IF(Table1[[#This Row],[Subscription Status]]="No",0))</f>
        <v>0</v>
      </c>
    </row>
    <row r="2116" spans="1:21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  <c r="S2116" t="str">
        <f>IF(Table1[[#This Row],[Age]]&lt;=25,"Young",IF(Table1[[#This Row],[Age]]&lt;=50,"Adult","Senior"))</f>
        <v>Adult</v>
      </c>
      <c r="T2116" s="1">
        <f>Table1[[#This Row],[Purchase Amount (USD)]]</f>
        <v>51</v>
      </c>
      <c r="U2116">
        <f>IF(Table1[[#This Row],[Subscription Status]]="Yes",1,IF(Table1[[#This Row],[Subscription Status]]="No",0))</f>
        <v>0</v>
      </c>
    </row>
    <row r="2117" spans="1:21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  <c r="S2117" t="str">
        <f>IF(Table1[[#This Row],[Age]]&lt;=25,"Young",IF(Table1[[#This Row],[Age]]&lt;=50,"Adult","Senior"))</f>
        <v>Adult</v>
      </c>
      <c r="T2117" s="1">
        <f>Table1[[#This Row],[Purchase Amount (USD)]]</f>
        <v>85</v>
      </c>
      <c r="U2117">
        <f>IF(Table1[[#This Row],[Subscription Status]]="Yes",1,IF(Table1[[#This Row],[Subscription Status]]="No",0))</f>
        <v>0</v>
      </c>
    </row>
    <row r="2118" spans="1:21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  <c r="S2118" t="str">
        <f>IF(Table1[[#This Row],[Age]]&lt;=25,"Young",IF(Table1[[#This Row],[Age]]&lt;=50,"Adult","Senior"))</f>
        <v>Senior</v>
      </c>
      <c r="T2118" s="1">
        <f>Table1[[#This Row],[Purchase Amount (USD)]]</f>
        <v>23</v>
      </c>
      <c r="U2118">
        <f>IF(Table1[[#This Row],[Subscription Status]]="Yes",1,IF(Table1[[#This Row],[Subscription Status]]="No",0))</f>
        <v>0</v>
      </c>
    </row>
    <row r="2119" spans="1:21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  <c r="S2119" t="str">
        <f>IF(Table1[[#This Row],[Age]]&lt;=25,"Young",IF(Table1[[#This Row],[Age]]&lt;=50,"Adult","Senior"))</f>
        <v>Adult</v>
      </c>
      <c r="T2119" s="1">
        <f>Table1[[#This Row],[Purchase Amount (USD)]]</f>
        <v>28</v>
      </c>
      <c r="U2119">
        <f>IF(Table1[[#This Row],[Subscription Status]]="Yes",1,IF(Table1[[#This Row],[Subscription Status]]="No",0))</f>
        <v>0</v>
      </c>
    </row>
    <row r="2120" spans="1:21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  <c r="S2120" t="str">
        <f>IF(Table1[[#This Row],[Age]]&lt;=25,"Young",IF(Table1[[#This Row],[Age]]&lt;=50,"Adult","Senior"))</f>
        <v>Senior</v>
      </c>
      <c r="T2120" s="1">
        <f>Table1[[#This Row],[Purchase Amount (USD)]]</f>
        <v>44</v>
      </c>
      <c r="U2120">
        <f>IF(Table1[[#This Row],[Subscription Status]]="Yes",1,IF(Table1[[#This Row],[Subscription Status]]="No",0))</f>
        <v>0</v>
      </c>
    </row>
    <row r="2121" spans="1:21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  <c r="S2121" t="str">
        <f>IF(Table1[[#This Row],[Age]]&lt;=25,"Young",IF(Table1[[#This Row],[Age]]&lt;=50,"Adult","Senior"))</f>
        <v>Senior</v>
      </c>
      <c r="T2121" s="1">
        <f>Table1[[#This Row],[Purchase Amount (USD)]]</f>
        <v>57</v>
      </c>
      <c r="U2121">
        <f>IF(Table1[[#This Row],[Subscription Status]]="Yes",1,IF(Table1[[#This Row],[Subscription Status]]="No",0))</f>
        <v>0</v>
      </c>
    </row>
    <row r="2122" spans="1:21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  <c r="S2122" t="str">
        <f>IF(Table1[[#This Row],[Age]]&lt;=25,"Young",IF(Table1[[#This Row],[Age]]&lt;=50,"Adult","Senior"))</f>
        <v>Senior</v>
      </c>
      <c r="T2122" s="1">
        <f>Table1[[#This Row],[Purchase Amount (USD)]]</f>
        <v>98</v>
      </c>
      <c r="U2122">
        <f>IF(Table1[[#This Row],[Subscription Status]]="Yes",1,IF(Table1[[#This Row],[Subscription Status]]="No",0))</f>
        <v>0</v>
      </c>
    </row>
    <row r="2123" spans="1:21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  <c r="S2123" t="str">
        <f>IF(Table1[[#This Row],[Age]]&lt;=25,"Young",IF(Table1[[#This Row],[Age]]&lt;=50,"Adult","Senior"))</f>
        <v>Adult</v>
      </c>
      <c r="T2123" s="1">
        <f>Table1[[#This Row],[Purchase Amount (USD)]]</f>
        <v>68</v>
      </c>
      <c r="U2123">
        <f>IF(Table1[[#This Row],[Subscription Status]]="Yes",1,IF(Table1[[#This Row],[Subscription Status]]="No",0))</f>
        <v>0</v>
      </c>
    </row>
    <row r="2124" spans="1:21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  <c r="S2124" t="str">
        <f>IF(Table1[[#This Row],[Age]]&lt;=25,"Young",IF(Table1[[#This Row],[Age]]&lt;=50,"Adult","Senior"))</f>
        <v>Adult</v>
      </c>
      <c r="T2124" s="1">
        <f>Table1[[#This Row],[Purchase Amount (USD)]]</f>
        <v>36</v>
      </c>
      <c r="U2124">
        <f>IF(Table1[[#This Row],[Subscription Status]]="Yes",1,IF(Table1[[#This Row],[Subscription Status]]="No",0))</f>
        <v>0</v>
      </c>
    </row>
    <row r="2125" spans="1:21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  <c r="S2125" t="str">
        <f>IF(Table1[[#This Row],[Age]]&lt;=25,"Young",IF(Table1[[#This Row],[Age]]&lt;=50,"Adult","Senior"))</f>
        <v>Senior</v>
      </c>
      <c r="T2125" s="1">
        <f>Table1[[#This Row],[Purchase Amount (USD)]]</f>
        <v>71</v>
      </c>
      <c r="U2125">
        <f>IF(Table1[[#This Row],[Subscription Status]]="Yes",1,IF(Table1[[#This Row],[Subscription Status]]="No",0))</f>
        <v>0</v>
      </c>
    </row>
    <row r="2126" spans="1:21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  <c r="S2126" t="str">
        <f>IF(Table1[[#This Row],[Age]]&lt;=25,"Young",IF(Table1[[#This Row],[Age]]&lt;=50,"Adult","Senior"))</f>
        <v>Adult</v>
      </c>
      <c r="T2126" s="1">
        <f>Table1[[#This Row],[Purchase Amount (USD)]]</f>
        <v>60</v>
      </c>
      <c r="U2126">
        <f>IF(Table1[[#This Row],[Subscription Status]]="Yes",1,IF(Table1[[#This Row],[Subscription Status]]="No",0))</f>
        <v>0</v>
      </c>
    </row>
    <row r="2127" spans="1:21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  <c r="S2127" t="str">
        <f>IF(Table1[[#This Row],[Age]]&lt;=25,"Young",IF(Table1[[#This Row],[Age]]&lt;=50,"Adult","Senior"))</f>
        <v>Senior</v>
      </c>
      <c r="T2127" s="1">
        <f>Table1[[#This Row],[Purchase Amount (USD)]]</f>
        <v>87</v>
      </c>
      <c r="U2127">
        <f>IF(Table1[[#This Row],[Subscription Status]]="Yes",1,IF(Table1[[#This Row],[Subscription Status]]="No",0))</f>
        <v>0</v>
      </c>
    </row>
    <row r="2128" spans="1:21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  <c r="S2128" t="str">
        <f>IF(Table1[[#This Row],[Age]]&lt;=25,"Young",IF(Table1[[#This Row],[Age]]&lt;=50,"Adult","Senior"))</f>
        <v>Senior</v>
      </c>
      <c r="T2128" s="1">
        <f>Table1[[#This Row],[Purchase Amount (USD)]]</f>
        <v>38</v>
      </c>
      <c r="U2128">
        <f>IF(Table1[[#This Row],[Subscription Status]]="Yes",1,IF(Table1[[#This Row],[Subscription Status]]="No",0))</f>
        <v>0</v>
      </c>
    </row>
    <row r="2129" spans="1:21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  <c r="S2129" t="str">
        <f>IF(Table1[[#This Row],[Age]]&lt;=25,"Young",IF(Table1[[#This Row],[Age]]&lt;=50,"Adult","Senior"))</f>
        <v>Senior</v>
      </c>
      <c r="T2129" s="1">
        <f>Table1[[#This Row],[Purchase Amount (USD)]]</f>
        <v>45</v>
      </c>
      <c r="U2129">
        <f>IF(Table1[[#This Row],[Subscription Status]]="Yes",1,IF(Table1[[#This Row],[Subscription Status]]="No",0))</f>
        <v>0</v>
      </c>
    </row>
    <row r="2130" spans="1:21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  <c r="S2130" t="str">
        <f>IF(Table1[[#This Row],[Age]]&lt;=25,"Young",IF(Table1[[#This Row],[Age]]&lt;=50,"Adult","Senior"))</f>
        <v>Senior</v>
      </c>
      <c r="T2130" s="1">
        <f>Table1[[#This Row],[Purchase Amount (USD)]]</f>
        <v>47</v>
      </c>
      <c r="U2130">
        <f>IF(Table1[[#This Row],[Subscription Status]]="Yes",1,IF(Table1[[#This Row],[Subscription Status]]="No",0))</f>
        <v>0</v>
      </c>
    </row>
    <row r="2131" spans="1:21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  <c r="S2131" t="str">
        <f>IF(Table1[[#This Row],[Age]]&lt;=25,"Young",IF(Table1[[#This Row],[Age]]&lt;=50,"Adult","Senior"))</f>
        <v>Adult</v>
      </c>
      <c r="T2131" s="1">
        <f>Table1[[#This Row],[Purchase Amount (USD)]]</f>
        <v>57</v>
      </c>
      <c r="U2131">
        <f>IF(Table1[[#This Row],[Subscription Status]]="Yes",1,IF(Table1[[#This Row],[Subscription Status]]="No",0))</f>
        <v>0</v>
      </c>
    </row>
    <row r="2132" spans="1:21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  <c r="S2132" t="str">
        <f>IF(Table1[[#This Row],[Age]]&lt;=25,"Young",IF(Table1[[#This Row],[Age]]&lt;=50,"Adult","Senior"))</f>
        <v>Young</v>
      </c>
      <c r="T2132" s="1">
        <f>Table1[[#This Row],[Purchase Amount (USD)]]</f>
        <v>68</v>
      </c>
      <c r="U2132">
        <f>IF(Table1[[#This Row],[Subscription Status]]="Yes",1,IF(Table1[[#This Row],[Subscription Status]]="No",0))</f>
        <v>0</v>
      </c>
    </row>
    <row r="2133" spans="1:21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  <c r="S2133" t="str">
        <f>IF(Table1[[#This Row],[Age]]&lt;=25,"Young",IF(Table1[[#This Row],[Age]]&lt;=50,"Adult","Senior"))</f>
        <v>Young</v>
      </c>
      <c r="T2133" s="1">
        <f>Table1[[#This Row],[Purchase Amount (USD)]]</f>
        <v>52</v>
      </c>
      <c r="U2133">
        <f>IF(Table1[[#This Row],[Subscription Status]]="Yes",1,IF(Table1[[#This Row],[Subscription Status]]="No",0))</f>
        <v>0</v>
      </c>
    </row>
    <row r="2134" spans="1:21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  <c r="S2134" t="str">
        <f>IF(Table1[[#This Row],[Age]]&lt;=25,"Young",IF(Table1[[#This Row],[Age]]&lt;=50,"Adult","Senior"))</f>
        <v>Young</v>
      </c>
      <c r="T2134" s="1">
        <f>Table1[[#This Row],[Purchase Amount (USD)]]</f>
        <v>87</v>
      </c>
      <c r="U2134">
        <f>IF(Table1[[#This Row],[Subscription Status]]="Yes",1,IF(Table1[[#This Row],[Subscription Status]]="No",0))</f>
        <v>0</v>
      </c>
    </row>
    <row r="2135" spans="1:21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  <c r="S2135" t="str">
        <f>IF(Table1[[#This Row],[Age]]&lt;=25,"Young",IF(Table1[[#This Row],[Age]]&lt;=50,"Adult","Senior"))</f>
        <v>Young</v>
      </c>
      <c r="T2135" s="1">
        <f>Table1[[#This Row],[Purchase Amount (USD)]]</f>
        <v>34</v>
      </c>
      <c r="U2135">
        <f>IF(Table1[[#This Row],[Subscription Status]]="Yes",1,IF(Table1[[#This Row],[Subscription Status]]="No",0))</f>
        <v>0</v>
      </c>
    </row>
    <row r="2136" spans="1:21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  <c r="S2136" t="str">
        <f>IF(Table1[[#This Row],[Age]]&lt;=25,"Young",IF(Table1[[#This Row],[Age]]&lt;=50,"Adult","Senior"))</f>
        <v>Senior</v>
      </c>
      <c r="T2136" s="1">
        <f>Table1[[#This Row],[Purchase Amount (USD)]]</f>
        <v>41</v>
      </c>
      <c r="U2136">
        <f>IF(Table1[[#This Row],[Subscription Status]]="Yes",1,IF(Table1[[#This Row],[Subscription Status]]="No",0))</f>
        <v>0</v>
      </c>
    </row>
    <row r="2137" spans="1:21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  <c r="S2137" t="str">
        <f>IF(Table1[[#This Row],[Age]]&lt;=25,"Young",IF(Table1[[#This Row],[Age]]&lt;=50,"Adult","Senior"))</f>
        <v>Adult</v>
      </c>
      <c r="T2137" s="1">
        <f>Table1[[#This Row],[Purchase Amount (USD)]]</f>
        <v>94</v>
      </c>
      <c r="U2137">
        <f>IF(Table1[[#This Row],[Subscription Status]]="Yes",1,IF(Table1[[#This Row],[Subscription Status]]="No",0))</f>
        <v>0</v>
      </c>
    </row>
    <row r="2138" spans="1:21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  <c r="S2138" t="str">
        <f>IF(Table1[[#This Row],[Age]]&lt;=25,"Young",IF(Table1[[#This Row],[Age]]&lt;=50,"Adult","Senior"))</f>
        <v>Adult</v>
      </c>
      <c r="T2138" s="1">
        <f>Table1[[#This Row],[Purchase Amount (USD)]]</f>
        <v>93</v>
      </c>
      <c r="U2138">
        <f>IF(Table1[[#This Row],[Subscription Status]]="Yes",1,IF(Table1[[#This Row],[Subscription Status]]="No",0))</f>
        <v>0</v>
      </c>
    </row>
    <row r="2139" spans="1:21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  <c r="S2139" t="str">
        <f>IF(Table1[[#This Row],[Age]]&lt;=25,"Young",IF(Table1[[#This Row],[Age]]&lt;=50,"Adult","Senior"))</f>
        <v>Adult</v>
      </c>
      <c r="T2139" s="1">
        <f>Table1[[#This Row],[Purchase Amount (USD)]]</f>
        <v>51</v>
      </c>
      <c r="U2139">
        <f>IF(Table1[[#This Row],[Subscription Status]]="Yes",1,IF(Table1[[#This Row],[Subscription Status]]="No",0))</f>
        <v>0</v>
      </c>
    </row>
    <row r="2140" spans="1:21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  <c r="S2140" t="str">
        <f>IF(Table1[[#This Row],[Age]]&lt;=25,"Young",IF(Table1[[#This Row],[Age]]&lt;=50,"Adult","Senior"))</f>
        <v>Senior</v>
      </c>
      <c r="T2140" s="1">
        <f>Table1[[#This Row],[Purchase Amount (USD)]]</f>
        <v>42</v>
      </c>
      <c r="U2140">
        <f>IF(Table1[[#This Row],[Subscription Status]]="Yes",1,IF(Table1[[#This Row],[Subscription Status]]="No",0))</f>
        <v>0</v>
      </c>
    </row>
    <row r="2141" spans="1:21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  <c r="S2141" t="str">
        <f>IF(Table1[[#This Row],[Age]]&lt;=25,"Young",IF(Table1[[#This Row],[Age]]&lt;=50,"Adult","Senior"))</f>
        <v>Adult</v>
      </c>
      <c r="T2141" s="1">
        <f>Table1[[#This Row],[Purchase Amount (USD)]]</f>
        <v>95</v>
      </c>
      <c r="U2141">
        <f>IF(Table1[[#This Row],[Subscription Status]]="Yes",1,IF(Table1[[#This Row],[Subscription Status]]="No",0))</f>
        <v>0</v>
      </c>
    </row>
    <row r="2142" spans="1:21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  <c r="S2142" t="str">
        <f>IF(Table1[[#This Row],[Age]]&lt;=25,"Young",IF(Table1[[#This Row],[Age]]&lt;=50,"Adult","Senior"))</f>
        <v>Senior</v>
      </c>
      <c r="T2142" s="1">
        <f>Table1[[#This Row],[Purchase Amount (USD)]]</f>
        <v>90</v>
      </c>
      <c r="U2142">
        <f>IF(Table1[[#This Row],[Subscription Status]]="Yes",1,IF(Table1[[#This Row],[Subscription Status]]="No",0))</f>
        <v>0</v>
      </c>
    </row>
    <row r="2143" spans="1:21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  <c r="S2143" t="str">
        <f>IF(Table1[[#This Row],[Age]]&lt;=25,"Young",IF(Table1[[#This Row],[Age]]&lt;=50,"Adult","Senior"))</f>
        <v>Young</v>
      </c>
      <c r="T2143" s="1">
        <f>Table1[[#This Row],[Purchase Amount (USD)]]</f>
        <v>98</v>
      </c>
      <c r="U2143">
        <f>IF(Table1[[#This Row],[Subscription Status]]="Yes",1,IF(Table1[[#This Row],[Subscription Status]]="No",0))</f>
        <v>0</v>
      </c>
    </row>
    <row r="2144" spans="1:21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  <c r="S2144" t="str">
        <f>IF(Table1[[#This Row],[Age]]&lt;=25,"Young",IF(Table1[[#This Row],[Age]]&lt;=50,"Adult","Senior"))</f>
        <v>Adult</v>
      </c>
      <c r="T2144" s="1">
        <f>Table1[[#This Row],[Purchase Amount (USD)]]</f>
        <v>39</v>
      </c>
      <c r="U2144">
        <f>IF(Table1[[#This Row],[Subscription Status]]="Yes",1,IF(Table1[[#This Row],[Subscription Status]]="No",0))</f>
        <v>0</v>
      </c>
    </row>
    <row r="2145" spans="1:21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  <c r="S2145" t="str">
        <f>IF(Table1[[#This Row],[Age]]&lt;=25,"Young",IF(Table1[[#This Row],[Age]]&lt;=50,"Adult","Senior"))</f>
        <v>Senior</v>
      </c>
      <c r="T2145" s="1">
        <f>Table1[[#This Row],[Purchase Amount (USD)]]</f>
        <v>66</v>
      </c>
      <c r="U2145">
        <f>IF(Table1[[#This Row],[Subscription Status]]="Yes",1,IF(Table1[[#This Row],[Subscription Status]]="No",0))</f>
        <v>0</v>
      </c>
    </row>
    <row r="2146" spans="1:21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  <c r="S2146" t="str">
        <f>IF(Table1[[#This Row],[Age]]&lt;=25,"Young",IF(Table1[[#This Row],[Age]]&lt;=50,"Adult","Senior"))</f>
        <v>Adult</v>
      </c>
      <c r="T2146" s="1">
        <f>Table1[[#This Row],[Purchase Amount (USD)]]</f>
        <v>23</v>
      </c>
      <c r="U2146">
        <f>IF(Table1[[#This Row],[Subscription Status]]="Yes",1,IF(Table1[[#This Row],[Subscription Status]]="No",0))</f>
        <v>0</v>
      </c>
    </row>
    <row r="2147" spans="1:21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  <c r="S2147" t="str">
        <f>IF(Table1[[#This Row],[Age]]&lt;=25,"Young",IF(Table1[[#This Row],[Age]]&lt;=50,"Adult","Senior"))</f>
        <v>Adult</v>
      </c>
      <c r="T2147" s="1">
        <f>Table1[[#This Row],[Purchase Amount (USD)]]</f>
        <v>73</v>
      </c>
      <c r="U2147">
        <f>IF(Table1[[#This Row],[Subscription Status]]="Yes",1,IF(Table1[[#This Row],[Subscription Status]]="No",0))</f>
        <v>0</v>
      </c>
    </row>
    <row r="2148" spans="1:21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  <c r="S2148" t="str">
        <f>IF(Table1[[#This Row],[Age]]&lt;=25,"Young",IF(Table1[[#This Row],[Age]]&lt;=50,"Adult","Senior"))</f>
        <v>Adult</v>
      </c>
      <c r="T2148" s="1">
        <f>Table1[[#This Row],[Purchase Amount (USD)]]</f>
        <v>23</v>
      </c>
      <c r="U2148">
        <f>IF(Table1[[#This Row],[Subscription Status]]="Yes",1,IF(Table1[[#This Row],[Subscription Status]]="No",0))</f>
        <v>0</v>
      </c>
    </row>
    <row r="2149" spans="1:21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  <c r="S2149" t="str">
        <f>IF(Table1[[#This Row],[Age]]&lt;=25,"Young",IF(Table1[[#This Row],[Age]]&lt;=50,"Adult","Senior"))</f>
        <v>Adult</v>
      </c>
      <c r="T2149" s="1">
        <f>Table1[[#This Row],[Purchase Amount (USD)]]</f>
        <v>43</v>
      </c>
      <c r="U2149">
        <f>IF(Table1[[#This Row],[Subscription Status]]="Yes",1,IF(Table1[[#This Row],[Subscription Status]]="No",0))</f>
        <v>0</v>
      </c>
    </row>
    <row r="2150" spans="1:21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  <c r="S2150" t="str">
        <f>IF(Table1[[#This Row],[Age]]&lt;=25,"Young",IF(Table1[[#This Row],[Age]]&lt;=50,"Adult","Senior"))</f>
        <v>Young</v>
      </c>
      <c r="T2150" s="1">
        <f>Table1[[#This Row],[Purchase Amount (USD)]]</f>
        <v>45</v>
      </c>
      <c r="U2150">
        <f>IF(Table1[[#This Row],[Subscription Status]]="Yes",1,IF(Table1[[#This Row],[Subscription Status]]="No",0))</f>
        <v>0</v>
      </c>
    </row>
    <row r="2151" spans="1:21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  <c r="S2151" t="str">
        <f>IF(Table1[[#This Row],[Age]]&lt;=25,"Young",IF(Table1[[#This Row],[Age]]&lt;=50,"Adult","Senior"))</f>
        <v>Adult</v>
      </c>
      <c r="T2151" s="1">
        <f>Table1[[#This Row],[Purchase Amount (USD)]]</f>
        <v>21</v>
      </c>
      <c r="U2151">
        <f>IF(Table1[[#This Row],[Subscription Status]]="Yes",1,IF(Table1[[#This Row],[Subscription Status]]="No",0))</f>
        <v>0</v>
      </c>
    </row>
    <row r="2152" spans="1:21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  <c r="S2152" t="str">
        <f>IF(Table1[[#This Row],[Age]]&lt;=25,"Young",IF(Table1[[#This Row],[Age]]&lt;=50,"Adult","Senior"))</f>
        <v>Senior</v>
      </c>
      <c r="T2152" s="1">
        <f>Table1[[#This Row],[Purchase Amount (USD)]]</f>
        <v>40</v>
      </c>
      <c r="U2152">
        <f>IF(Table1[[#This Row],[Subscription Status]]="Yes",1,IF(Table1[[#This Row],[Subscription Status]]="No",0))</f>
        <v>0</v>
      </c>
    </row>
    <row r="2153" spans="1:21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  <c r="S2153" t="str">
        <f>IF(Table1[[#This Row],[Age]]&lt;=25,"Young",IF(Table1[[#This Row],[Age]]&lt;=50,"Adult","Senior"))</f>
        <v>Senior</v>
      </c>
      <c r="T2153" s="1">
        <f>Table1[[#This Row],[Purchase Amount (USD)]]</f>
        <v>58</v>
      </c>
      <c r="U2153">
        <f>IF(Table1[[#This Row],[Subscription Status]]="Yes",1,IF(Table1[[#This Row],[Subscription Status]]="No",0))</f>
        <v>0</v>
      </c>
    </row>
    <row r="2154" spans="1:21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  <c r="S2154" t="str">
        <f>IF(Table1[[#This Row],[Age]]&lt;=25,"Young",IF(Table1[[#This Row],[Age]]&lt;=50,"Adult","Senior"))</f>
        <v>Adult</v>
      </c>
      <c r="T2154" s="1">
        <f>Table1[[#This Row],[Purchase Amount (USD)]]</f>
        <v>48</v>
      </c>
      <c r="U2154">
        <f>IF(Table1[[#This Row],[Subscription Status]]="Yes",1,IF(Table1[[#This Row],[Subscription Status]]="No",0))</f>
        <v>0</v>
      </c>
    </row>
    <row r="2155" spans="1:21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  <c r="S2155" t="str">
        <f>IF(Table1[[#This Row],[Age]]&lt;=25,"Young",IF(Table1[[#This Row],[Age]]&lt;=50,"Adult","Senior"))</f>
        <v>Adult</v>
      </c>
      <c r="T2155" s="1">
        <f>Table1[[#This Row],[Purchase Amount (USD)]]</f>
        <v>94</v>
      </c>
      <c r="U2155">
        <f>IF(Table1[[#This Row],[Subscription Status]]="Yes",1,IF(Table1[[#This Row],[Subscription Status]]="No",0))</f>
        <v>0</v>
      </c>
    </row>
    <row r="2156" spans="1:21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  <c r="S2156" t="str">
        <f>IF(Table1[[#This Row],[Age]]&lt;=25,"Young",IF(Table1[[#This Row],[Age]]&lt;=50,"Adult","Senior"))</f>
        <v>Adult</v>
      </c>
      <c r="T2156" s="1">
        <f>Table1[[#This Row],[Purchase Amount (USD)]]</f>
        <v>74</v>
      </c>
      <c r="U2156">
        <f>IF(Table1[[#This Row],[Subscription Status]]="Yes",1,IF(Table1[[#This Row],[Subscription Status]]="No",0))</f>
        <v>0</v>
      </c>
    </row>
    <row r="2157" spans="1:21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  <c r="S2157" t="str">
        <f>IF(Table1[[#This Row],[Age]]&lt;=25,"Young",IF(Table1[[#This Row],[Age]]&lt;=50,"Adult","Senior"))</f>
        <v>Adult</v>
      </c>
      <c r="T2157" s="1">
        <f>Table1[[#This Row],[Purchase Amount (USD)]]</f>
        <v>51</v>
      </c>
      <c r="U2157">
        <f>IF(Table1[[#This Row],[Subscription Status]]="Yes",1,IF(Table1[[#This Row],[Subscription Status]]="No",0))</f>
        <v>0</v>
      </c>
    </row>
    <row r="2158" spans="1:21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  <c r="S2158" t="str">
        <f>IF(Table1[[#This Row],[Age]]&lt;=25,"Young",IF(Table1[[#This Row],[Age]]&lt;=50,"Adult","Senior"))</f>
        <v>Adult</v>
      </c>
      <c r="T2158" s="1">
        <f>Table1[[#This Row],[Purchase Amount (USD)]]</f>
        <v>83</v>
      </c>
      <c r="U2158">
        <f>IF(Table1[[#This Row],[Subscription Status]]="Yes",1,IF(Table1[[#This Row],[Subscription Status]]="No",0))</f>
        <v>0</v>
      </c>
    </row>
    <row r="2159" spans="1:21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  <c r="S2159" t="str">
        <f>IF(Table1[[#This Row],[Age]]&lt;=25,"Young",IF(Table1[[#This Row],[Age]]&lt;=50,"Adult","Senior"))</f>
        <v>Adult</v>
      </c>
      <c r="T2159" s="1">
        <f>Table1[[#This Row],[Purchase Amount (USD)]]</f>
        <v>68</v>
      </c>
      <c r="U2159">
        <f>IF(Table1[[#This Row],[Subscription Status]]="Yes",1,IF(Table1[[#This Row],[Subscription Status]]="No",0))</f>
        <v>0</v>
      </c>
    </row>
    <row r="2160" spans="1:21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  <c r="S2160" t="str">
        <f>IF(Table1[[#This Row],[Age]]&lt;=25,"Young",IF(Table1[[#This Row],[Age]]&lt;=50,"Adult","Senior"))</f>
        <v>Young</v>
      </c>
      <c r="T2160" s="1">
        <f>Table1[[#This Row],[Purchase Amount (USD)]]</f>
        <v>84</v>
      </c>
      <c r="U2160">
        <f>IF(Table1[[#This Row],[Subscription Status]]="Yes",1,IF(Table1[[#This Row],[Subscription Status]]="No",0))</f>
        <v>0</v>
      </c>
    </row>
    <row r="2161" spans="1:21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  <c r="S2161" t="str">
        <f>IF(Table1[[#This Row],[Age]]&lt;=25,"Young",IF(Table1[[#This Row],[Age]]&lt;=50,"Adult","Senior"))</f>
        <v>Young</v>
      </c>
      <c r="T2161" s="1">
        <f>Table1[[#This Row],[Purchase Amount (USD)]]</f>
        <v>58</v>
      </c>
      <c r="U2161">
        <f>IF(Table1[[#This Row],[Subscription Status]]="Yes",1,IF(Table1[[#This Row],[Subscription Status]]="No",0))</f>
        <v>0</v>
      </c>
    </row>
    <row r="2162" spans="1:21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  <c r="S2162" t="str">
        <f>IF(Table1[[#This Row],[Age]]&lt;=25,"Young",IF(Table1[[#This Row],[Age]]&lt;=50,"Adult","Senior"))</f>
        <v>Adult</v>
      </c>
      <c r="T2162" s="1">
        <f>Table1[[#This Row],[Purchase Amount (USD)]]</f>
        <v>92</v>
      </c>
      <c r="U2162">
        <f>IF(Table1[[#This Row],[Subscription Status]]="Yes",1,IF(Table1[[#This Row],[Subscription Status]]="No",0))</f>
        <v>0</v>
      </c>
    </row>
    <row r="2163" spans="1:21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  <c r="S2163" t="str">
        <f>IF(Table1[[#This Row],[Age]]&lt;=25,"Young",IF(Table1[[#This Row],[Age]]&lt;=50,"Adult","Senior"))</f>
        <v>Young</v>
      </c>
      <c r="T2163" s="1">
        <f>Table1[[#This Row],[Purchase Amount (USD)]]</f>
        <v>69</v>
      </c>
      <c r="U2163">
        <f>IF(Table1[[#This Row],[Subscription Status]]="Yes",1,IF(Table1[[#This Row],[Subscription Status]]="No",0))</f>
        <v>0</v>
      </c>
    </row>
    <row r="2164" spans="1:21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  <c r="S2164" t="str">
        <f>IF(Table1[[#This Row],[Age]]&lt;=25,"Young",IF(Table1[[#This Row],[Age]]&lt;=50,"Adult","Senior"))</f>
        <v>Senior</v>
      </c>
      <c r="T2164" s="1">
        <f>Table1[[#This Row],[Purchase Amount (USD)]]</f>
        <v>48</v>
      </c>
      <c r="U2164">
        <f>IF(Table1[[#This Row],[Subscription Status]]="Yes",1,IF(Table1[[#This Row],[Subscription Status]]="No",0))</f>
        <v>0</v>
      </c>
    </row>
    <row r="2165" spans="1:21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  <c r="S2165" t="str">
        <f>IF(Table1[[#This Row],[Age]]&lt;=25,"Young",IF(Table1[[#This Row],[Age]]&lt;=50,"Adult","Senior"))</f>
        <v>Senior</v>
      </c>
      <c r="T2165" s="1">
        <f>Table1[[#This Row],[Purchase Amount (USD)]]</f>
        <v>60</v>
      </c>
      <c r="U2165">
        <f>IF(Table1[[#This Row],[Subscription Status]]="Yes",1,IF(Table1[[#This Row],[Subscription Status]]="No",0))</f>
        <v>0</v>
      </c>
    </row>
    <row r="2166" spans="1:21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  <c r="S2166" t="str">
        <f>IF(Table1[[#This Row],[Age]]&lt;=25,"Young",IF(Table1[[#This Row],[Age]]&lt;=50,"Adult","Senior"))</f>
        <v>Adult</v>
      </c>
      <c r="T2166" s="1">
        <f>Table1[[#This Row],[Purchase Amount (USD)]]</f>
        <v>20</v>
      </c>
      <c r="U2166">
        <f>IF(Table1[[#This Row],[Subscription Status]]="Yes",1,IF(Table1[[#This Row],[Subscription Status]]="No",0))</f>
        <v>0</v>
      </c>
    </row>
    <row r="2167" spans="1:21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  <c r="S2167" t="str">
        <f>IF(Table1[[#This Row],[Age]]&lt;=25,"Young",IF(Table1[[#This Row],[Age]]&lt;=50,"Adult","Senior"))</f>
        <v>Adult</v>
      </c>
      <c r="T2167" s="1">
        <f>Table1[[#This Row],[Purchase Amount (USD)]]</f>
        <v>55</v>
      </c>
      <c r="U2167">
        <f>IF(Table1[[#This Row],[Subscription Status]]="Yes",1,IF(Table1[[#This Row],[Subscription Status]]="No",0))</f>
        <v>0</v>
      </c>
    </row>
    <row r="2168" spans="1:21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  <c r="S2168" t="str">
        <f>IF(Table1[[#This Row],[Age]]&lt;=25,"Young",IF(Table1[[#This Row],[Age]]&lt;=50,"Adult","Senior"))</f>
        <v>Adult</v>
      </c>
      <c r="T2168" s="1">
        <f>Table1[[#This Row],[Purchase Amount (USD)]]</f>
        <v>88</v>
      </c>
      <c r="U2168">
        <f>IF(Table1[[#This Row],[Subscription Status]]="Yes",1,IF(Table1[[#This Row],[Subscription Status]]="No",0))</f>
        <v>0</v>
      </c>
    </row>
    <row r="2169" spans="1:21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  <c r="S2169" t="str">
        <f>IF(Table1[[#This Row],[Age]]&lt;=25,"Young",IF(Table1[[#This Row],[Age]]&lt;=50,"Adult","Senior"))</f>
        <v>Adult</v>
      </c>
      <c r="T2169" s="1">
        <f>Table1[[#This Row],[Purchase Amount (USD)]]</f>
        <v>48</v>
      </c>
      <c r="U2169">
        <f>IF(Table1[[#This Row],[Subscription Status]]="Yes",1,IF(Table1[[#This Row],[Subscription Status]]="No",0))</f>
        <v>0</v>
      </c>
    </row>
    <row r="2170" spans="1:21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  <c r="S2170" t="str">
        <f>IF(Table1[[#This Row],[Age]]&lt;=25,"Young",IF(Table1[[#This Row],[Age]]&lt;=50,"Adult","Senior"))</f>
        <v>Young</v>
      </c>
      <c r="T2170" s="1">
        <f>Table1[[#This Row],[Purchase Amount (USD)]]</f>
        <v>74</v>
      </c>
      <c r="U2170">
        <f>IF(Table1[[#This Row],[Subscription Status]]="Yes",1,IF(Table1[[#This Row],[Subscription Status]]="No",0))</f>
        <v>0</v>
      </c>
    </row>
    <row r="2171" spans="1:21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  <c r="S2171" t="str">
        <f>IF(Table1[[#This Row],[Age]]&lt;=25,"Young",IF(Table1[[#This Row],[Age]]&lt;=50,"Adult","Senior"))</f>
        <v>Adult</v>
      </c>
      <c r="T2171" s="1">
        <f>Table1[[#This Row],[Purchase Amount (USD)]]</f>
        <v>42</v>
      </c>
      <c r="U2171">
        <f>IF(Table1[[#This Row],[Subscription Status]]="Yes",1,IF(Table1[[#This Row],[Subscription Status]]="No",0))</f>
        <v>0</v>
      </c>
    </row>
    <row r="2172" spans="1:21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  <c r="S2172" t="str">
        <f>IF(Table1[[#This Row],[Age]]&lt;=25,"Young",IF(Table1[[#This Row],[Age]]&lt;=50,"Adult","Senior"))</f>
        <v>Adult</v>
      </c>
      <c r="T2172" s="1">
        <f>Table1[[#This Row],[Purchase Amount (USD)]]</f>
        <v>32</v>
      </c>
      <c r="U2172">
        <f>IF(Table1[[#This Row],[Subscription Status]]="Yes",1,IF(Table1[[#This Row],[Subscription Status]]="No",0))</f>
        <v>0</v>
      </c>
    </row>
    <row r="2173" spans="1:21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  <c r="S2173" t="str">
        <f>IF(Table1[[#This Row],[Age]]&lt;=25,"Young",IF(Table1[[#This Row],[Age]]&lt;=50,"Adult","Senior"))</f>
        <v>Adult</v>
      </c>
      <c r="T2173" s="1">
        <f>Table1[[#This Row],[Purchase Amount (USD)]]</f>
        <v>98</v>
      </c>
      <c r="U2173">
        <f>IF(Table1[[#This Row],[Subscription Status]]="Yes",1,IF(Table1[[#This Row],[Subscription Status]]="No",0))</f>
        <v>0</v>
      </c>
    </row>
    <row r="2174" spans="1:21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  <c r="S2174" t="str">
        <f>IF(Table1[[#This Row],[Age]]&lt;=25,"Young",IF(Table1[[#This Row],[Age]]&lt;=50,"Adult","Senior"))</f>
        <v>Adult</v>
      </c>
      <c r="T2174" s="1">
        <f>Table1[[#This Row],[Purchase Amount (USD)]]</f>
        <v>89</v>
      </c>
      <c r="U2174">
        <f>IF(Table1[[#This Row],[Subscription Status]]="Yes",1,IF(Table1[[#This Row],[Subscription Status]]="No",0))</f>
        <v>0</v>
      </c>
    </row>
    <row r="2175" spans="1:21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  <c r="S2175" t="str">
        <f>IF(Table1[[#This Row],[Age]]&lt;=25,"Young",IF(Table1[[#This Row],[Age]]&lt;=50,"Adult","Senior"))</f>
        <v>Young</v>
      </c>
      <c r="T2175" s="1">
        <f>Table1[[#This Row],[Purchase Amount (USD)]]</f>
        <v>97</v>
      </c>
      <c r="U2175">
        <f>IF(Table1[[#This Row],[Subscription Status]]="Yes",1,IF(Table1[[#This Row],[Subscription Status]]="No",0))</f>
        <v>0</v>
      </c>
    </row>
    <row r="2176" spans="1:21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  <c r="S2176" t="str">
        <f>IF(Table1[[#This Row],[Age]]&lt;=25,"Young",IF(Table1[[#This Row],[Age]]&lt;=50,"Adult","Senior"))</f>
        <v>Adult</v>
      </c>
      <c r="T2176" s="1">
        <f>Table1[[#This Row],[Purchase Amount (USD)]]</f>
        <v>49</v>
      </c>
      <c r="U2176">
        <f>IF(Table1[[#This Row],[Subscription Status]]="Yes",1,IF(Table1[[#This Row],[Subscription Status]]="No",0))</f>
        <v>0</v>
      </c>
    </row>
    <row r="2177" spans="1:21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  <c r="S2177" t="str">
        <f>IF(Table1[[#This Row],[Age]]&lt;=25,"Young",IF(Table1[[#This Row],[Age]]&lt;=50,"Adult","Senior"))</f>
        <v>Senior</v>
      </c>
      <c r="T2177" s="1">
        <f>Table1[[#This Row],[Purchase Amount (USD)]]</f>
        <v>50</v>
      </c>
      <c r="U2177">
        <f>IF(Table1[[#This Row],[Subscription Status]]="Yes",1,IF(Table1[[#This Row],[Subscription Status]]="No",0))</f>
        <v>0</v>
      </c>
    </row>
    <row r="2178" spans="1:21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  <c r="S2178" t="str">
        <f>IF(Table1[[#This Row],[Age]]&lt;=25,"Young",IF(Table1[[#This Row],[Age]]&lt;=50,"Adult","Senior"))</f>
        <v>Young</v>
      </c>
      <c r="T2178" s="1">
        <f>Table1[[#This Row],[Purchase Amount (USD)]]</f>
        <v>91</v>
      </c>
      <c r="U2178">
        <f>IF(Table1[[#This Row],[Subscription Status]]="Yes",1,IF(Table1[[#This Row],[Subscription Status]]="No",0))</f>
        <v>0</v>
      </c>
    </row>
    <row r="2179" spans="1:21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  <c r="S2179" t="str">
        <f>IF(Table1[[#This Row],[Age]]&lt;=25,"Young",IF(Table1[[#This Row],[Age]]&lt;=50,"Adult","Senior"))</f>
        <v>Young</v>
      </c>
      <c r="T2179" s="1">
        <f>Table1[[#This Row],[Purchase Amount (USD)]]</f>
        <v>93</v>
      </c>
      <c r="U2179">
        <f>IF(Table1[[#This Row],[Subscription Status]]="Yes",1,IF(Table1[[#This Row],[Subscription Status]]="No",0))</f>
        <v>0</v>
      </c>
    </row>
    <row r="2180" spans="1:21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  <c r="S2180" t="str">
        <f>IF(Table1[[#This Row],[Age]]&lt;=25,"Young",IF(Table1[[#This Row],[Age]]&lt;=50,"Adult","Senior"))</f>
        <v>Young</v>
      </c>
      <c r="T2180" s="1">
        <f>Table1[[#This Row],[Purchase Amount (USD)]]</f>
        <v>98</v>
      </c>
      <c r="U2180">
        <f>IF(Table1[[#This Row],[Subscription Status]]="Yes",1,IF(Table1[[#This Row],[Subscription Status]]="No",0))</f>
        <v>0</v>
      </c>
    </row>
    <row r="2181" spans="1:21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  <c r="S2181" t="str">
        <f>IF(Table1[[#This Row],[Age]]&lt;=25,"Young",IF(Table1[[#This Row],[Age]]&lt;=50,"Adult","Senior"))</f>
        <v>Adult</v>
      </c>
      <c r="T2181" s="1">
        <f>Table1[[#This Row],[Purchase Amount (USD)]]</f>
        <v>82</v>
      </c>
      <c r="U2181">
        <f>IF(Table1[[#This Row],[Subscription Status]]="Yes",1,IF(Table1[[#This Row],[Subscription Status]]="No",0))</f>
        <v>0</v>
      </c>
    </row>
    <row r="2182" spans="1:21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  <c r="S2182" t="str">
        <f>IF(Table1[[#This Row],[Age]]&lt;=25,"Young",IF(Table1[[#This Row],[Age]]&lt;=50,"Adult","Senior"))</f>
        <v>Adult</v>
      </c>
      <c r="T2182" s="1">
        <f>Table1[[#This Row],[Purchase Amount (USD)]]</f>
        <v>37</v>
      </c>
      <c r="U2182">
        <f>IF(Table1[[#This Row],[Subscription Status]]="Yes",1,IF(Table1[[#This Row],[Subscription Status]]="No",0))</f>
        <v>0</v>
      </c>
    </row>
    <row r="2183" spans="1:21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  <c r="S2183" t="str">
        <f>IF(Table1[[#This Row],[Age]]&lt;=25,"Young",IF(Table1[[#This Row],[Age]]&lt;=50,"Adult","Senior"))</f>
        <v>Young</v>
      </c>
      <c r="T2183" s="1">
        <f>Table1[[#This Row],[Purchase Amount (USD)]]</f>
        <v>63</v>
      </c>
      <c r="U2183">
        <f>IF(Table1[[#This Row],[Subscription Status]]="Yes",1,IF(Table1[[#This Row],[Subscription Status]]="No",0))</f>
        <v>0</v>
      </c>
    </row>
    <row r="2184" spans="1:21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  <c r="S2184" t="str">
        <f>IF(Table1[[#This Row],[Age]]&lt;=25,"Young",IF(Table1[[#This Row],[Age]]&lt;=50,"Adult","Senior"))</f>
        <v>Adult</v>
      </c>
      <c r="T2184" s="1">
        <f>Table1[[#This Row],[Purchase Amount (USD)]]</f>
        <v>99</v>
      </c>
      <c r="U2184">
        <f>IF(Table1[[#This Row],[Subscription Status]]="Yes",1,IF(Table1[[#This Row],[Subscription Status]]="No",0))</f>
        <v>0</v>
      </c>
    </row>
    <row r="2185" spans="1:21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  <c r="S2185" t="str">
        <f>IF(Table1[[#This Row],[Age]]&lt;=25,"Young",IF(Table1[[#This Row],[Age]]&lt;=50,"Adult","Senior"))</f>
        <v>Adult</v>
      </c>
      <c r="T2185" s="1">
        <f>Table1[[#This Row],[Purchase Amount (USD)]]</f>
        <v>37</v>
      </c>
      <c r="U2185">
        <f>IF(Table1[[#This Row],[Subscription Status]]="Yes",1,IF(Table1[[#This Row],[Subscription Status]]="No",0))</f>
        <v>0</v>
      </c>
    </row>
    <row r="2186" spans="1:21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  <c r="S2186" t="str">
        <f>IF(Table1[[#This Row],[Age]]&lt;=25,"Young",IF(Table1[[#This Row],[Age]]&lt;=50,"Adult","Senior"))</f>
        <v>Adult</v>
      </c>
      <c r="T2186" s="1">
        <f>Table1[[#This Row],[Purchase Amount (USD)]]</f>
        <v>34</v>
      </c>
      <c r="U2186">
        <f>IF(Table1[[#This Row],[Subscription Status]]="Yes",1,IF(Table1[[#This Row],[Subscription Status]]="No",0))</f>
        <v>0</v>
      </c>
    </row>
    <row r="2187" spans="1:21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  <c r="S2187" t="str">
        <f>IF(Table1[[#This Row],[Age]]&lt;=25,"Young",IF(Table1[[#This Row],[Age]]&lt;=50,"Adult","Senior"))</f>
        <v>Adult</v>
      </c>
      <c r="T2187" s="1">
        <f>Table1[[#This Row],[Purchase Amount (USD)]]</f>
        <v>32</v>
      </c>
      <c r="U2187">
        <f>IF(Table1[[#This Row],[Subscription Status]]="Yes",1,IF(Table1[[#This Row],[Subscription Status]]="No",0))</f>
        <v>0</v>
      </c>
    </row>
    <row r="2188" spans="1:21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  <c r="S2188" t="str">
        <f>IF(Table1[[#This Row],[Age]]&lt;=25,"Young",IF(Table1[[#This Row],[Age]]&lt;=50,"Adult","Senior"))</f>
        <v>Senior</v>
      </c>
      <c r="T2188" s="1">
        <f>Table1[[#This Row],[Purchase Amount (USD)]]</f>
        <v>23</v>
      </c>
      <c r="U2188">
        <f>IF(Table1[[#This Row],[Subscription Status]]="Yes",1,IF(Table1[[#This Row],[Subscription Status]]="No",0))</f>
        <v>0</v>
      </c>
    </row>
    <row r="2189" spans="1:21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  <c r="S2189" t="str">
        <f>IF(Table1[[#This Row],[Age]]&lt;=25,"Young",IF(Table1[[#This Row],[Age]]&lt;=50,"Adult","Senior"))</f>
        <v>Adult</v>
      </c>
      <c r="T2189" s="1">
        <f>Table1[[#This Row],[Purchase Amount (USD)]]</f>
        <v>78</v>
      </c>
      <c r="U2189">
        <f>IF(Table1[[#This Row],[Subscription Status]]="Yes",1,IF(Table1[[#This Row],[Subscription Status]]="No",0))</f>
        <v>0</v>
      </c>
    </row>
    <row r="2190" spans="1:21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  <c r="S2190" t="str">
        <f>IF(Table1[[#This Row],[Age]]&lt;=25,"Young",IF(Table1[[#This Row],[Age]]&lt;=50,"Adult","Senior"))</f>
        <v>Adult</v>
      </c>
      <c r="T2190" s="1">
        <f>Table1[[#This Row],[Purchase Amount (USD)]]</f>
        <v>54</v>
      </c>
      <c r="U2190">
        <f>IF(Table1[[#This Row],[Subscription Status]]="Yes",1,IF(Table1[[#This Row],[Subscription Status]]="No",0))</f>
        <v>0</v>
      </c>
    </row>
    <row r="2191" spans="1:21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  <c r="S2191" t="str">
        <f>IF(Table1[[#This Row],[Age]]&lt;=25,"Young",IF(Table1[[#This Row],[Age]]&lt;=50,"Adult","Senior"))</f>
        <v>Adult</v>
      </c>
      <c r="T2191" s="1">
        <f>Table1[[#This Row],[Purchase Amount (USD)]]</f>
        <v>94</v>
      </c>
      <c r="U2191">
        <f>IF(Table1[[#This Row],[Subscription Status]]="Yes",1,IF(Table1[[#This Row],[Subscription Status]]="No",0))</f>
        <v>0</v>
      </c>
    </row>
    <row r="2192" spans="1:21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  <c r="S2192" t="str">
        <f>IF(Table1[[#This Row],[Age]]&lt;=25,"Young",IF(Table1[[#This Row],[Age]]&lt;=50,"Adult","Senior"))</f>
        <v>Adult</v>
      </c>
      <c r="T2192" s="1">
        <f>Table1[[#This Row],[Purchase Amount (USD)]]</f>
        <v>75</v>
      </c>
      <c r="U2192">
        <f>IF(Table1[[#This Row],[Subscription Status]]="Yes",1,IF(Table1[[#This Row],[Subscription Status]]="No",0))</f>
        <v>0</v>
      </c>
    </row>
    <row r="2193" spans="1:21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  <c r="S2193" t="str">
        <f>IF(Table1[[#This Row],[Age]]&lt;=25,"Young",IF(Table1[[#This Row],[Age]]&lt;=50,"Adult","Senior"))</f>
        <v>Adult</v>
      </c>
      <c r="T2193" s="1">
        <f>Table1[[#This Row],[Purchase Amount (USD)]]</f>
        <v>69</v>
      </c>
      <c r="U2193">
        <f>IF(Table1[[#This Row],[Subscription Status]]="Yes",1,IF(Table1[[#This Row],[Subscription Status]]="No",0))</f>
        <v>0</v>
      </c>
    </row>
    <row r="2194" spans="1:21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  <c r="S2194" t="str">
        <f>IF(Table1[[#This Row],[Age]]&lt;=25,"Young",IF(Table1[[#This Row],[Age]]&lt;=50,"Adult","Senior"))</f>
        <v>Adult</v>
      </c>
      <c r="T2194" s="1">
        <f>Table1[[#This Row],[Purchase Amount (USD)]]</f>
        <v>35</v>
      </c>
      <c r="U2194">
        <f>IF(Table1[[#This Row],[Subscription Status]]="Yes",1,IF(Table1[[#This Row],[Subscription Status]]="No",0))</f>
        <v>0</v>
      </c>
    </row>
    <row r="2195" spans="1:21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  <c r="S2195" t="str">
        <f>IF(Table1[[#This Row],[Age]]&lt;=25,"Young",IF(Table1[[#This Row],[Age]]&lt;=50,"Adult","Senior"))</f>
        <v>Adult</v>
      </c>
      <c r="T2195" s="1">
        <f>Table1[[#This Row],[Purchase Amount (USD)]]</f>
        <v>78</v>
      </c>
      <c r="U2195">
        <f>IF(Table1[[#This Row],[Subscription Status]]="Yes",1,IF(Table1[[#This Row],[Subscription Status]]="No",0))</f>
        <v>0</v>
      </c>
    </row>
    <row r="2196" spans="1:21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  <c r="S2196" t="str">
        <f>IF(Table1[[#This Row],[Age]]&lt;=25,"Young",IF(Table1[[#This Row],[Age]]&lt;=50,"Adult","Senior"))</f>
        <v>Senior</v>
      </c>
      <c r="T2196" s="1">
        <f>Table1[[#This Row],[Purchase Amount (USD)]]</f>
        <v>29</v>
      </c>
      <c r="U2196">
        <f>IF(Table1[[#This Row],[Subscription Status]]="Yes",1,IF(Table1[[#This Row],[Subscription Status]]="No",0))</f>
        <v>0</v>
      </c>
    </row>
    <row r="2197" spans="1:21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  <c r="S2197" t="str">
        <f>IF(Table1[[#This Row],[Age]]&lt;=25,"Young",IF(Table1[[#This Row],[Age]]&lt;=50,"Adult","Senior"))</f>
        <v>Senior</v>
      </c>
      <c r="T2197" s="1">
        <f>Table1[[#This Row],[Purchase Amount (USD)]]</f>
        <v>62</v>
      </c>
      <c r="U2197">
        <f>IF(Table1[[#This Row],[Subscription Status]]="Yes",1,IF(Table1[[#This Row],[Subscription Status]]="No",0))</f>
        <v>0</v>
      </c>
    </row>
    <row r="2198" spans="1:21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  <c r="S2198" t="str">
        <f>IF(Table1[[#This Row],[Age]]&lt;=25,"Young",IF(Table1[[#This Row],[Age]]&lt;=50,"Adult","Senior"))</f>
        <v>Young</v>
      </c>
      <c r="T2198" s="1">
        <f>Table1[[#This Row],[Purchase Amount (USD)]]</f>
        <v>58</v>
      </c>
      <c r="U2198">
        <f>IF(Table1[[#This Row],[Subscription Status]]="Yes",1,IF(Table1[[#This Row],[Subscription Status]]="No",0))</f>
        <v>0</v>
      </c>
    </row>
    <row r="2199" spans="1:21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  <c r="S2199" t="str">
        <f>IF(Table1[[#This Row],[Age]]&lt;=25,"Young",IF(Table1[[#This Row],[Age]]&lt;=50,"Adult","Senior"))</f>
        <v>Adult</v>
      </c>
      <c r="T2199" s="1">
        <f>Table1[[#This Row],[Purchase Amount (USD)]]</f>
        <v>88</v>
      </c>
      <c r="U2199">
        <f>IF(Table1[[#This Row],[Subscription Status]]="Yes",1,IF(Table1[[#This Row],[Subscription Status]]="No",0))</f>
        <v>0</v>
      </c>
    </row>
    <row r="2200" spans="1:21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  <c r="S2200" t="str">
        <f>IF(Table1[[#This Row],[Age]]&lt;=25,"Young",IF(Table1[[#This Row],[Age]]&lt;=50,"Adult","Senior"))</f>
        <v>Senior</v>
      </c>
      <c r="T2200" s="1">
        <f>Table1[[#This Row],[Purchase Amount (USD)]]</f>
        <v>80</v>
      </c>
      <c r="U2200">
        <f>IF(Table1[[#This Row],[Subscription Status]]="Yes",1,IF(Table1[[#This Row],[Subscription Status]]="No",0))</f>
        <v>0</v>
      </c>
    </row>
    <row r="2201" spans="1:21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  <c r="S2201" t="str">
        <f>IF(Table1[[#This Row],[Age]]&lt;=25,"Young",IF(Table1[[#This Row],[Age]]&lt;=50,"Adult","Senior"))</f>
        <v>Adult</v>
      </c>
      <c r="T2201" s="1">
        <f>Table1[[#This Row],[Purchase Amount (USD)]]</f>
        <v>47</v>
      </c>
      <c r="U2201">
        <f>IF(Table1[[#This Row],[Subscription Status]]="Yes",1,IF(Table1[[#This Row],[Subscription Status]]="No",0))</f>
        <v>0</v>
      </c>
    </row>
    <row r="2202" spans="1:21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  <c r="S2202" t="str">
        <f>IF(Table1[[#This Row],[Age]]&lt;=25,"Young",IF(Table1[[#This Row],[Age]]&lt;=50,"Adult","Senior"))</f>
        <v>Senior</v>
      </c>
      <c r="T2202" s="1">
        <f>Table1[[#This Row],[Purchase Amount (USD)]]</f>
        <v>51</v>
      </c>
      <c r="U2202">
        <f>IF(Table1[[#This Row],[Subscription Status]]="Yes",1,IF(Table1[[#This Row],[Subscription Status]]="No",0))</f>
        <v>0</v>
      </c>
    </row>
    <row r="2203" spans="1:21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  <c r="S2203" t="str">
        <f>IF(Table1[[#This Row],[Age]]&lt;=25,"Young",IF(Table1[[#This Row],[Age]]&lt;=50,"Adult","Senior"))</f>
        <v>Adult</v>
      </c>
      <c r="T2203" s="1">
        <f>Table1[[#This Row],[Purchase Amount (USD)]]</f>
        <v>25</v>
      </c>
      <c r="U2203">
        <f>IF(Table1[[#This Row],[Subscription Status]]="Yes",1,IF(Table1[[#This Row],[Subscription Status]]="No",0))</f>
        <v>0</v>
      </c>
    </row>
    <row r="2204" spans="1:21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  <c r="S2204" t="str">
        <f>IF(Table1[[#This Row],[Age]]&lt;=25,"Young",IF(Table1[[#This Row],[Age]]&lt;=50,"Adult","Senior"))</f>
        <v>Adult</v>
      </c>
      <c r="T2204" s="1">
        <f>Table1[[#This Row],[Purchase Amount (USD)]]</f>
        <v>36</v>
      </c>
      <c r="U2204">
        <f>IF(Table1[[#This Row],[Subscription Status]]="Yes",1,IF(Table1[[#This Row],[Subscription Status]]="No",0))</f>
        <v>0</v>
      </c>
    </row>
    <row r="2205" spans="1:21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  <c r="S2205" t="str">
        <f>IF(Table1[[#This Row],[Age]]&lt;=25,"Young",IF(Table1[[#This Row],[Age]]&lt;=50,"Adult","Senior"))</f>
        <v>Senior</v>
      </c>
      <c r="T2205" s="1">
        <f>Table1[[#This Row],[Purchase Amount (USD)]]</f>
        <v>79</v>
      </c>
      <c r="U2205">
        <f>IF(Table1[[#This Row],[Subscription Status]]="Yes",1,IF(Table1[[#This Row],[Subscription Status]]="No",0))</f>
        <v>0</v>
      </c>
    </row>
    <row r="2206" spans="1:21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  <c r="S2206" t="str">
        <f>IF(Table1[[#This Row],[Age]]&lt;=25,"Young",IF(Table1[[#This Row],[Age]]&lt;=50,"Adult","Senior"))</f>
        <v>Young</v>
      </c>
      <c r="T2206" s="1">
        <f>Table1[[#This Row],[Purchase Amount (USD)]]</f>
        <v>41</v>
      </c>
      <c r="U2206">
        <f>IF(Table1[[#This Row],[Subscription Status]]="Yes",1,IF(Table1[[#This Row],[Subscription Status]]="No",0))</f>
        <v>0</v>
      </c>
    </row>
    <row r="2207" spans="1:21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  <c r="S2207" t="str">
        <f>IF(Table1[[#This Row],[Age]]&lt;=25,"Young",IF(Table1[[#This Row],[Age]]&lt;=50,"Adult","Senior"))</f>
        <v>Adult</v>
      </c>
      <c r="T2207" s="1">
        <f>Table1[[#This Row],[Purchase Amount (USD)]]</f>
        <v>68</v>
      </c>
      <c r="U2207">
        <f>IF(Table1[[#This Row],[Subscription Status]]="Yes",1,IF(Table1[[#This Row],[Subscription Status]]="No",0))</f>
        <v>0</v>
      </c>
    </row>
    <row r="2208" spans="1:21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  <c r="S2208" t="str">
        <f>IF(Table1[[#This Row],[Age]]&lt;=25,"Young",IF(Table1[[#This Row],[Age]]&lt;=50,"Adult","Senior"))</f>
        <v>Adult</v>
      </c>
      <c r="T2208" s="1">
        <f>Table1[[#This Row],[Purchase Amount (USD)]]</f>
        <v>51</v>
      </c>
      <c r="U2208">
        <f>IF(Table1[[#This Row],[Subscription Status]]="Yes",1,IF(Table1[[#This Row],[Subscription Status]]="No",0))</f>
        <v>0</v>
      </c>
    </row>
    <row r="2209" spans="1:21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  <c r="S2209" t="str">
        <f>IF(Table1[[#This Row],[Age]]&lt;=25,"Young",IF(Table1[[#This Row],[Age]]&lt;=50,"Adult","Senior"))</f>
        <v>Senior</v>
      </c>
      <c r="T2209" s="1">
        <f>Table1[[#This Row],[Purchase Amount (USD)]]</f>
        <v>38</v>
      </c>
      <c r="U2209">
        <f>IF(Table1[[#This Row],[Subscription Status]]="Yes",1,IF(Table1[[#This Row],[Subscription Status]]="No",0))</f>
        <v>0</v>
      </c>
    </row>
    <row r="2210" spans="1:21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  <c r="S2210" t="str">
        <f>IF(Table1[[#This Row],[Age]]&lt;=25,"Young",IF(Table1[[#This Row],[Age]]&lt;=50,"Adult","Senior"))</f>
        <v>Adult</v>
      </c>
      <c r="T2210" s="1">
        <f>Table1[[#This Row],[Purchase Amount (USD)]]</f>
        <v>46</v>
      </c>
      <c r="U2210">
        <f>IF(Table1[[#This Row],[Subscription Status]]="Yes",1,IF(Table1[[#This Row],[Subscription Status]]="No",0))</f>
        <v>0</v>
      </c>
    </row>
    <row r="2211" spans="1:21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  <c r="S2211" t="str">
        <f>IF(Table1[[#This Row],[Age]]&lt;=25,"Young",IF(Table1[[#This Row],[Age]]&lt;=50,"Adult","Senior"))</f>
        <v>Adult</v>
      </c>
      <c r="T2211" s="1">
        <f>Table1[[#This Row],[Purchase Amount (USD)]]</f>
        <v>20</v>
      </c>
      <c r="U2211">
        <f>IF(Table1[[#This Row],[Subscription Status]]="Yes",1,IF(Table1[[#This Row],[Subscription Status]]="No",0))</f>
        <v>0</v>
      </c>
    </row>
    <row r="2212" spans="1:21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  <c r="S2212" t="str">
        <f>IF(Table1[[#This Row],[Age]]&lt;=25,"Young",IF(Table1[[#This Row],[Age]]&lt;=50,"Adult","Senior"))</f>
        <v>Adult</v>
      </c>
      <c r="T2212" s="1">
        <f>Table1[[#This Row],[Purchase Amount (USD)]]</f>
        <v>25</v>
      </c>
      <c r="U2212">
        <f>IF(Table1[[#This Row],[Subscription Status]]="Yes",1,IF(Table1[[#This Row],[Subscription Status]]="No",0))</f>
        <v>0</v>
      </c>
    </row>
    <row r="2213" spans="1:21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  <c r="S2213" t="str">
        <f>IF(Table1[[#This Row],[Age]]&lt;=25,"Young",IF(Table1[[#This Row],[Age]]&lt;=50,"Adult","Senior"))</f>
        <v>Adult</v>
      </c>
      <c r="T2213" s="1">
        <f>Table1[[#This Row],[Purchase Amount (USD)]]</f>
        <v>89</v>
      </c>
      <c r="U2213">
        <f>IF(Table1[[#This Row],[Subscription Status]]="Yes",1,IF(Table1[[#This Row],[Subscription Status]]="No",0))</f>
        <v>0</v>
      </c>
    </row>
    <row r="2214" spans="1:21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  <c r="S2214" t="str">
        <f>IF(Table1[[#This Row],[Age]]&lt;=25,"Young",IF(Table1[[#This Row],[Age]]&lt;=50,"Adult","Senior"))</f>
        <v>Senior</v>
      </c>
      <c r="T2214" s="1">
        <f>Table1[[#This Row],[Purchase Amount (USD)]]</f>
        <v>77</v>
      </c>
      <c r="U2214">
        <f>IF(Table1[[#This Row],[Subscription Status]]="Yes",1,IF(Table1[[#This Row],[Subscription Status]]="No",0))</f>
        <v>0</v>
      </c>
    </row>
    <row r="2215" spans="1:21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  <c r="S2215" t="str">
        <f>IF(Table1[[#This Row],[Age]]&lt;=25,"Young",IF(Table1[[#This Row],[Age]]&lt;=50,"Adult","Senior"))</f>
        <v>Senior</v>
      </c>
      <c r="T2215" s="1">
        <f>Table1[[#This Row],[Purchase Amount (USD)]]</f>
        <v>94</v>
      </c>
      <c r="U2215">
        <f>IF(Table1[[#This Row],[Subscription Status]]="Yes",1,IF(Table1[[#This Row],[Subscription Status]]="No",0))</f>
        <v>0</v>
      </c>
    </row>
    <row r="2216" spans="1:21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  <c r="S2216" t="str">
        <f>IF(Table1[[#This Row],[Age]]&lt;=25,"Young",IF(Table1[[#This Row],[Age]]&lt;=50,"Adult","Senior"))</f>
        <v>Adult</v>
      </c>
      <c r="T2216" s="1">
        <f>Table1[[#This Row],[Purchase Amount (USD)]]</f>
        <v>100</v>
      </c>
      <c r="U2216">
        <f>IF(Table1[[#This Row],[Subscription Status]]="Yes",1,IF(Table1[[#This Row],[Subscription Status]]="No",0))</f>
        <v>0</v>
      </c>
    </row>
    <row r="2217" spans="1:21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  <c r="S2217" t="str">
        <f>IF(Table1[[#This Row],[Age]]&lt;=25,"Young",IF(Table1[[#This Row],[Age]]&lt;=50,"Adult","Senior"))</f>
        <v>Young</v>
      </c>
      <c r="T2217" s="1">
        <f>Table1[[#This Row],[Purchase Amount (USD)]]</f>
        <v>96</v>
      </c>
      <c r="U2217">
        <f>IF(Table1[[#This Row],[Subscription Status]]="Yes",1,IF(Table1[[#This Row],[Subscription Status]]="No",0))</f>
        <v>0</v>
      </c>
    </row>
    <row r="2218" spans="1:21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  <c r="S2218" t="str">
        <f>IF(Table1[[#This Row],[Age]]&lt;=25,"Young",IF(Table1[[#This Row],[Age]]&lt;=50,"Adult","Senior"))</f>
        <v>Adult</v>
      </c>
      <c r="T2218" s="1">
        <f>Table1[[#This Row],[Purchase Amount (USD)]]</f>
        <v>36</v>
      </c>
      <c r="U2218">
        <f>IF(Table1[[#This Row],[Subscription Status]]="Yes",1,IF(Table1[[#This Row],[Subscription Status]]="No",0))</f>
        <v>0</v>
      </c>
    </row>
    <row r="2219" spans="1:21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  <c r="S2219" t="str">
        <f>IF(Table1[[#This Row],[Age]]&lt;=25,"Young",IF(Table1[[#This Row],[Age]]&lt;=50,"Adult","Senior"))</f>
        <v>Adult</v>
      </c>
      <c r="T2219" s="1">
        <f>Table1[[#This Row],[Purchase Amount (USD)]]</f>
        <v>27</v>
      </c>
      <c r="U2219">
        <f>IF(Table1[[#This Row],[Subscription Status]]="Yes",1,IF(Table1[[#This Row],[Subscription Status]]="No",0))</f>
        <v>0</v>
      </c>
    </row>
    <row r="2220" spans="1:21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  <c r="S2220" t="str">
        <f>IF(Table1[[#This Row],[Age]]&lt;=25,"Young",IF(Table1[[#This Row],[Age]]&lt;=50,"Adult","Senior"))</f>
        <v>Senior</v>
      </c>
      <c r="T2220" s="1">
        <f>Table1[[#This Row],[Purchase Amount (USD)]]</f>
        <v>67</v>
      </c>
      <c r="U2220">
        <f>IF(Table1[[#This Row],[Subscription Status]]="Yes",1,IF(Table1[[#This Row],[Subscription Status]]="No",0))</f>
        <v>0</v>
      </c>
    </row>
    <row r="2221" spans="1:21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  <c r="S2221" t="str">
        <f>IF(Table1[[#This Row],[Age]]&lt;=25,"Young",IF(Table1[[#This Row],[Age]]&lt;=50,"Adult","Senior"))</f>
        <v>Adult</v>
      </c>
      <c r="T2221" s="1">
        <f>Table1[[#This Row],[Purchase Amount (USD)]]</f>
        <v>91</v>
      </c>
      <c r="U2221">
        <f>IF(Table1[[#This Row],[Subscription Status]]="Yes",1,IF(Table1[[#This Row],[Subscription Status]]="No",0))</f>
        <v>0</v>
      </c>
    </row>
    <row r="2222" spans="1:21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  <c r="S2222" t="str">
        <f>IF(Table1[[#This Row],[Age]]&lt;=25,"Young",IF(Table1[[#This Row],[Age]]&lt;=50,"Adult","Senior"))</f>
        <v>Young</v>
      </c>
      <c r="T2222" s="1">
        <f>Table1[[#This Row],[Purchase Amount (USD)]]</f>
        <v>62</v>
      </c>
      <c r="U2222">
        <f>IF(Table1[[#This Row],[Subscription Status]]="Yes",1,IF(Table1[[#This Row],[Subscription Status]]="No",0))</f>
        <v>0</v>
      </c>
    </row>
    <row r="2223" spans="1:21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  <c r="S2223" t="str">
        <f>IF(Table1[[#This Row],[Age]]&lt;=25,"Young",IF(Table1[[#This Row],[Age]]&lt;=50,"Adult","Senior"))</f>
        <v>Young</v>
      </c>
      <c r="T2223" s="1">
        <f>Table1[[#This Row],[Purchase Amount (USD)]]</f>
        <v>88</v>
      </c>
      <c r="U2223">
        <f>IF(Table1[[#This Row],[Subscription Status]]="Yes",1,IF(Table1[[#This Row],[Subscription Status]]="No",0))</f>
        <v>0</v>
      </c>
    </row>
    <row r="2224" spans="1:21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  <c r="S2224" t="str">
        <f>IF(Table1[[#This Row],[Age]]&lt;=25,"Young",IF(Table1[[#This Row],[Age]]&lt;=50,"Adult","Senior"))</f>
        <v>Adult</v>
      </c>
      <c r="T2224" s="1">
        <f>Table1[[#This Row],[Purchase Amount (USD)]]</f>
        <v>66</v>
      </c>
      <c r="U2224">
        <f>IF(Table1[[#This Row],[Subscription Status]]="Yes",1,IF(Table1[[#This Row],[Subscription Status]]="No",0))</f>
        <v>0</v>
      </c>
    </row>
    <row r="2225" spans="1:21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  <c r="S2225" t="str">
        <f>IF(Table1[[#This Row],[Age]]&lt;=25,"Young",IF(Table1[[#This Row],[Age]]&lt;=50,"Adult","Senior"))</f>
        <v>Adult</v>
      </c>
      <c r="T2225" s="1">
        <f>Table1[[#This Row],[Purchase Amount (USD)]]</f>
        <v>65</v>
      </c>
      <c r="U2225">
        <f>IF(Table1[[#This Row],[Subscription Status]]="Yes",1,IF(Table1[[#This Row],[Subscription Status]]="No",0))</f>
        <v>0</v>
      </c>
    </row>
    <row r="2226" spans="1:21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  <c r="S2226" t="str">
        <f>IF(Table1[[#This Row],[Age]]&lt;=25,"Young",IF(Table1[[#This Row],[Age]]&lt;=50,"Adult","Senior"))</f>
        <v>Young</v>
      </c>
      <c r="T2226" s="1">
        <f>Table1[[#This Row],[Purchase Amount (USD)]]</f>
        <v>25</v>
      </c>
      <c r="U2226">
        <f>IF(Table1[[#This Row],[Subscription Status]]="Yes",1,IF(Table1[[#This Row],[Subscription Status]]="No",0))</f>
        <v>0</v>
      </c>
    </row>
    <row r="2227" spans="1:21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  <c r="S2227" t="str">
        <f>IF(Table1[[#This Row],[Age]]&lt;=25,"Young",IF(Table1[[#This Row],[Age]]&lt;=50,"Adult","Senior"))</f>
        <v>Adult</v>
      </c>
      <c r="T2227" s="1">
        <f>Table1[[#This Row],[Purchase Amount (USD)]]</f>
        <v>64</v>
      </c>
      <c r="U2227">
        <f>IF(Table1[[#This Row],[Subscription Status]]="Yes",1,IF(Table1[[#This Row],[Subscription Status]]="No",0))</f>
        <v>0</v>
      </c>
    </row>
    <row r="2228" spans="1:21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  <c r="S2228" t="str">
        <f>IF(Table1[[#This Row],[Age]]&lt;=25,"Young",IF(Table1[[#This Row],[Age]]&lt;=50,"Adult","Senior"))</f>
        <v>Young</v>
      </c>
      <c r="T2228" s="1">
        <f>Table1[[#This Row],[Purchase Amount (USD)]]</f>
        <v>72</v>
      </c>
      <c r="U2228">
        <f>IF(Table1[[#This Row],[Subscription Status]]="Yes",1,IF(Table1[[#This Row],[Subscription Status]]="No",0))</f>
        <v>0</v>
      </c>
    </row>
    <row r="2229" spans="1:21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  <c r="S2229" t="str">
        <f>IF(Table1[[#This Row],[Age]]&lt;=25,"Young",IF(Table1[[#This Row],[Age]]&lt;=50,"Adult","Senior"))</f>
        <v>Adult</v>
      </c>
      <c r="T2229" s="1">
        <f>Table1[[#This Row],[Purchase Amount (USD)]]</f>
        <v>74</v>
      </c>
      <c r="U2229">
        <f>IF(Table1[[#This Row],[Subscription Status]]="Yes",1,IF(Table1[[#This Row],[Subscription Status]]="No",0))</f>
        <v>0</v>
      </c>
    </row>
    <row r="2230" spans="1:21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  <c r="S2230" t="str">
        <f>IF(Table1[[#This Row],[Age]]&lt;=25,"Young",IF(Table1[[#This Row],[Age]]&lt;=50,"Adult","Senior"))</f>
        <v>Senior</v>
      </c>
      <c r="T2230" s="1">
        <f>Table1[[#This Row],[Purchase Amount (USD)]]</f>
        <v>50</v>
      </c>
      <c r="U2230">
        <f>IF(Table1[[#This Row],[Subscription Status]]="Yes",1,IF(Table1[[#This Row],[Subscription Status]]="No",0))</f>
        <v>0</v>
      </c>
    </row>
    <row r="2231" spans="1:21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  <c r="S2231" t="str">
        <f>IF(Table1[[#This Row],[Age]]&lt;=25,"Young",IF(Table1[[#This Row],[Age]]&lt;=50,"Adult","Senior"))</f>
        <v>Senior</v>
      </c>
      <c r="T2231" s="1">
        <f>Table1[[#This Row],[Purchase Amount (USD)]]</f>
        <v>97</v>
      </c>
      <c r="U2231">
        <f>IF(Table1[[#This Row],[Subscription Status]]="Yes",1,IF(Table1[[#This Row],[Subscription Status]]="No",0))</f>
        <v>0</v>
      </c>
    </row>
    <row r="2232" spans="1:21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  <c r="S2232" t="str">
        <f>IF(Table1[[#This Row],[Age]]&lt;=25,"Young",IF(Table1[[#This Row],[Age]]&lt;=50,"Adult","Senior"))</f>
        <v>Senior</v>
      </c>
      <c r="T2232" s="1">
        <f>Table1[[#This Row],[Purchase Amount (USD)]]</f>
        <v>36</v>
      </c>
      <c r="U2232">
        <f>IF(Table1[[#This Row],[Subscription Status]]="Yes",1,IF(Table1[[#This Row],[Subscription Status]]="No",0))</f>
        <v>0</v>
      </c>
    </row>
    <row r="2233" spans="1:21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  <c r="S2233" t="str">
        <f>IF(Table1[[#This Row],[Age]]&lt;=25,"Young",IF(Table1[[#This Row],[Age]]&lt;=50,"Adult","Senior"))</f>
        <v>Adult</v>
      </c>
      <c r="T2233" s="1">
        <f>Table1[[#This Row],[Purchase Amount (USD)]]</f>
        <v>49</v>
      </c>
      <c r="U2233">
        <f>IF(Table1[[#This Row],[Subscription Status]]="Yes",1,IF(Table1[[#This Row],[Subscription Status]]="No",0))</f>
        <v>0</v>
      </c>
    </row>
    <row r="2234" spans="1:21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  <c r="S2234" t="str">
        <f>IF(Table1[[#This Row],[Age]]&lt;=25,"Young",IF(Table1[[#This Row],[Age]]&lt;=50,"Adult","Senior"))</f>
        <v>Senior</v>
      </c>
      <c r="T2234" s="1">
        <f>Table1[[#This Row],[Purchase Amount (USD)]]</f>
        <v>64</v>
      </c>
      <c r="U2234">
        <f>IF(Table1[[#This Row],[Subscription Status]]="Yes",1,IF(Table1[[#This Row],[Subscription Status]]="No",0))</f>
        <v>0</v>
      </c>
    </row>
    <row r="2235" spans="1:21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  <c r="S2235" t="str">
        <f>IF(Table1[[#This Row],[Age]]&lt;=25,"Young",IF(Table1[[#This Row],[Age]]&lt;=50,"Adult","Senior"))</f>
        <v>Adult</v>
      </c>
      <c r="T2235" s="1">
        <f>Table1[[#This Row],[Purchase Amount (USD)]]</f>
        <v>31</v>
      </c>
      <c r="U2235">
        <f>IF(Table1[[#This Row],[Subscription Status]]="Yes",1,IF(Table1[[#This Row],[Subscription Status]]="No",0))</f>
        <v>0</v>
      </c>
    </row>
    <row r="2236" spans="1:21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  <c r="S2236" t="str">
        <f>IF(Table1[[#This Row],[Age]]&lt;=25,"Young",IF(Table1[[#This Row],[Age]]&lt;=50,"Adult","Senior"))</f>
        <v>Adult</v>
      </c>
      <c r="T2236" s="1">
        <f>Table1[[#This Row],[Purchase Amount (USD)]]</f>
        <v>66</v>
      </c>
      <c r="U2236">
        <f>IF(Table1[[#This Row],[Subscription Status]]="Yes",1,IF(Table1[[#This Row],[Subscription Status]]="No",0))</f>
        <v>0</v>
      </c>
    </row>
    <row r="2237" spans="1:21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  <c r="S2237" t="str">
        <f>IF(Table1[[#This Row],[Age]]&lt;=25,"Young",IF(Table1[[#This Row],[Age]]&lt;=50,"Adult","Senior"))</f>
        <v>Adult</v>
      </c>
      <c r="T2237" s="1">
        <f>Table1[[#This Row],[Purchase Amount (USD)]]</f>
        <v>82</v>
      </c>
      <c r="U2237">
        <f>IF(Table1[[#This Row],[Subscription Status]]="Yes",1,IF(Table1[[#This Row],[Subscription Status]]="No",0))</f>
        <v>0</v>
      </c>
    </row>
    <row r="2238" spans="1:21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  <c r="S2238" t="str">
        <f>IF(Table1[[#This Row],[Age]]&lt;=25,"Young",IF(Table1[[#This Row],[Age]]&lt;=50,"Adult","Senior"))</f>
        <v>Young</v>
      </c>
      <c r="T2238" s="1">
        <f>Table1[[#This Row],[Purchase Amount (USD)]]</f>
        <v>88</v>
      </c>
      <c r="U2238">
        <f>IF(Table1[[#This Row],[Subscription Status]]="Yes",1,IF(Table1[[#This Row],[Subscription Status]]="No",0))</f>
        <v>0</v>
      </c>
    </row>
    <row r="2239" spans="1:21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  <c r="S2239" t="str">
        <f>IF(Table1[[#This Row],[Age]]&lt;=25,"Young",IF(Table1[[#This Row],[Age]]&lt;=50,"Adult","Senior"))</f>
        <v>Adult</v>
      </c>
      <c r="T2239" s="1">
        <f>Table1[[#This Row],[Purchase Amount (USD)]]</f>
        <v>34</v>
      </c>
      <c r="U2239">
        <f>IF(Table1[[#This Row],[Subscription Status]]="Yes",1,IF(Table1[[#This Row],[Subscription Status]]="No",0))</f>
        <v>0</v>
      </c>
    </row>
    <row r="2240" spans="1:21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  <c r="S2240" t="str">
        <f>IF(Table1[[#This Row],[Age]]&lt;=25,"Young",IF(Table1[[#This Row],[Age]]&lt;=50,"Adult","Senior"))</f>
        <v>Adult</v>
      </c>
      <c r="T2240" s="1">
        <f>Table1[[#This Row],[Purchase Amount (USD)]]</f>
        <v>84</v>
      </c>
      <c r="U2240">
        <f>IF(Table1[[#This Row],[Subscription Status]]="Yes",1,IF(Table1[[#This Row],[Subscription Status]]="No",0))</f>
        <v>0</v>
      </c>
    </row>
    <row r="2241" spans="1:21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  <c r="S2241" t="str">
        <f>IF(Table1[[#This Row],[Age]]&lt;=25,"Young",IF(Table1[[#This Row],[Age]]&lt;=50,"Adult","Senior"))</f>
        <v>Adult</v>
      </c>
      <c r="T2241" s="1">
        <f>Table1[[#This Row],[Purchase Amount (USD)]]</f>
        <v>96</v>
      </c>
      <c r="U2241">
        <f>IF(Table1[[#This Row],[Subscription Status]]="Yes",1,IF(Table1[[#This Row],[Subscription Status]]="No",0))</f>
        <v>0</v>
      </c>
    </row>
    <row r="2242" spans="1:21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  <c r="S2242" t="str">
        <f>IF(Table1[[#This Row],[Age]]&lt;=25,"Young",IF(Table1[[#This Row],[Age]]&lt;=50,"Adult","Senior"))</f>
        <v>Senior</v>
      </c>
      <c r="T2242" s="1">
        <f>Table1[[#This Row],[Purchase Amount (USD)]]</f>
        <v>71</v>
      </c>
      <c r="U2242">
        <f>IF(Table1[[#This Row],[Subscription Status]]="Yes",1,IF(Table1[[#This Row],[Subscription Status]]="No",0))</f>
        <v>0</v>
      </c>
    </row>
    <row r="2243" spans="1:21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  <c r="S2243" t="str">
        <f>IF(Table1[[#This Row],[Age]]&lt;=25,"Young",IF(Table1[[#This Row],[Age]]&lt;=50,"Adult","Senior"))</f>
        <v>Young</v>
      </c>
      <c r="T2243" s="1">
        <f>Table1[[#This Row],[Purchase Amount (USD)]]</f>
        <v>77</v>
      </c>
      <c r="U2243">
        <f>IF(Table1[[#This Row],[Subscription Status]]="Yes",1,IF(Table1[[#This Row],[Subscription Status]]="No",0))</f>
        <v>0</v>
      </c>
    </row>
    <row r="2244" spans="1:21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  <c r="S2244" t="str">
        <f>IF(Table1[[#This Row],[Age]]&lt;=25,"Young",IF(Table1[[#This Row],[Age]]&lt;=50,"Adult","Senior"))</f>
        <v>Young</v>
      </c>
      <c r="T2244" s="1">
        <f>Table1[[#This Row],[Purchase Amount (USD)]]</f>
        <v>66</v>
      </c>
      <c r="U2244">
        <f>IF(Table1[[#This Row],[Subscription Status]]="Yes",1,IF(Table1[[#This Row],[Subscription Status]]="No",0))</f>
        <v>0</v>
      </c>
    </row>
    <row r="2245" spans="1:21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  <c r="S2245" t="str">
        <f>IF(Table1[[#This Row],[Age]]&lt;=25,"Young",IF(Table1[[#This Row],[Age]]&lt;=50,"Adult","Senior"))</f>
        <v>Senior</v>
      </c>
      <c r="T2245" s="1">
        <f>Table1[[#This Row],[Purchase Amount (USD)]]</f>
        <v>21</v>
      </c>
      <c r="U2245">
        <f>IF(Table1[[#This Row],[Subscription Status]]="Yes",1,IF(Table1[[#This Row],[Subscription Status]]="No",0))</f>
        <v>0</v>
      </c>
    </row>
    <row r="2246" spans="1:21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  <c r="S2246" t="str">
        <f>IF(Table1[[#This Row],[Age]]&lt;=25,"Young",IF(Table1[[#This Row],[Age]]&lt;=50,"Adult","Senior"))</f>
        <v>Adult</v>
      </c>
      <c r="T2246" s="1">
        <f>Table1[[#This Row],[Purchase Amount (USD)]]</f>
        <v>37</v>
      </c>
      <c r="U2246">
        <f>IF(Table1[[#This Row],[Subscription Status]]="Yes",1,IF(Table1[[#This Row],[Subscription Status]]="No",0))</f>
        <v>0</v>
      </c>
    </row>
    <row r="2247" spans="1:21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  <c r="S2247" t="str">
        <f>IF(Table1[[#This Row],[Age]]&lt;=25,"Young",IF(Table1[[#This Row],[Age]]&lt;=50,"Adult","Senior"))</f>
        <v>Adult</v>
      </c>
      <c r="T2247" s="1">
        <f>Table1[[#This Row],[Purchase Amount (USD)]]</f>
        <v>90</v>
      </c>
      <c r="U2247">
        <f>IF(Table1[[#This Row],[Subscription Status]]="Yes",1,IF(Table1[[#This Row],[Subscription Status]]="No",0))</f>
        <v>0</v>
      </c>
    </row>
    <row r="2248" spans="1:21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  <c r="S2248" t="str">
        <f>IF(Table1[[#This Row],[Age]]&lt;=25,"Young",IF(Table1[[#This Row],[Age]]&lt;=50,"Adult","Senior"))</f>
        <v>Adult</v>
      </c>
      <c r="T2248" s="1">
        <f>Table1[[#This Row],[Purchase Amount (USD)]]</f>
        <v>96</v>
      </c>
      <c r="U2248">
        <f>IF(Table1[[#This Row],[Subscription Status]]="Yes",1,IF(Table1[[#This Row],[Subscription Status]]="No",0))</f>
        <v>0</v>
      </c>
    </row>
    <row r="2249" spans="1:21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  <c r="S2249" t="str">
        <f>IF(Table1[[#This Row],[Age]]&lt;=25,"Young",IF(Table1[[#This Row],[Age]]&lt;=50,"Adult","Senior"))</f>
        <v>Adult</v>
      </c>
      <c r="T2249" s="1">
        <f>Table1[[#This Row],[Purchase Amount (USD)]]</f>
        <v>37</v>
      </c>
      <c r="U2249">
        <f>IF(Table1[[#This Row],[Subscription Status]]="Yes",1,IF(Table1[[#This Row],[Subscription Status]]="No",0))</f>
        <v>0</v>
      </c>
    </row>
    <row r="2250" spans="1:21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  <c r="S2250" t="str">
        <f>IF(Table1[[#This Row],[Age]]&lt;=25,"Young",IF(Table1[[#This Row],[Age]]&lt;=50,"Adult","Senior"))</f>
        <v>Senior</v>
      </c>
      <c r="T2250" s="1">
        <f>Table1[[#This Row],[Purchase Amount (USD)]]</f>
        <v>66</v>
      </c>
      <c r="U2250">
        <f>IF(Table1[[#This Row],[Subscription Status]]="Yes",1,IF(Table1[[#This Row],[Subscription Status]]="No",0))</f>
        <v>0</v>
      </c>
    </row>
    <row r="2251" spans="1:21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  <c r="S2251" t="str">
        <f>IF(Table1[[#This Row],[Age]]&lt;=25,"Young",IF(Table1[[#This Row],[Age]]&lt;=50,"Adult","Senior"))</f>
        <v>Adult</v>
      </c>
      <c r="T2251" s="1">
        <f>Table1[[#This Row],[Purchase Amount (USD)]]</f>
        <v>45</v>
      </c>
      <c r="U2251">
        <f>IF(Table1[[#This Row],[Subscription Status]]="Yes",1,IF(Table1[[#This Row],[Subscription Status]]="No",0))</f>
        <v>0</v>
      </c>
    </row>
    <row r="2252" spans="1:21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  <c r="S2252" t="str">
        <f>IF(Table1[[#This Row],[Age]]&lt;=25,"Young",IF(Table1[[#This Row],[Age]]&lt;=50,"Adult","Senior"))</f>
        <v>Adult</v>
      </c>
      <c r="T2252" s="1">
        <f>Table1[[#This Row],[Purchase Amount (USD)]]</f>
        <v>89</v>
      </c>
      <c r="U2252">
        <f>IF(Table1[[#This Row],[Subscription Status]]="Yes",1,IF(Table1[[#This Row],[Subscription Status]]="No",0))</f>
        <v>0</v>
      </c>
    </row>
    <row r="2253" spans="1:21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  <c r="S2253" t="str">
        <f>IF(Table1[[#This Row],[Age]]&lt;=25,"Young",IF(Table1[[#This Row],[Age]]&lt;=50,"Adult","Senior"))</f>
        <v>Adult</v>
      </c>
      <c r="T2253" s="1">
        <f>Table1[[#This Row],[Purchase Amount (USD)]]</f>
        <v>94</v>
      </c>
      <c r="U2253">
        <f>IF(Table1[[#This Row],[Subscription Status]]="Yes",1,IF(Table1[[#This Row],[Subscription Status]]="No",0))</f>
        <v>0</v>
      </c>
    </row>
    <row r="2254" spans="1:21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  <c r="S2254" t="str">
        <f>IF(Table1[[#This Row],[Age]]&lt;=25,"Young",IF(Table1[[#This Row],[Age]]&lt;=50,"Adult","Senior"))</f>
        <v>Adult</v>
      </c>
      <c r="T2254" s="1">
        <f>Table1[[#This Row],[Purchase Amount (USD)]]</f>
        <v>96</v>
      </c>
      <c r="U2254">
        <f>IF(Table1[[#This Row],[Subscription Status]]="Yes",1,IF(Table1[[#This Row],[Subscription Status]]="No",0))</f>
        <v>0</v>
      </c>
    </row>
    <row r="2255" spans="1:21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  <c r="S2255" t="str">
        <f>IF(Table1[[#This Row],[Age]]&lt;=25,"Young",IF(Table1[[#This Row],[Age]]&lt;=50,"Adult","Senior"))</f>
        <v>Senior</v>
      </c>
      <c r="T2255" s="1">
        <f>Table1[[#This Row],[Purchase Amount (USD)]]</f>
        <v>31</v>
      </c>
      <c r="U2255">
        <f>IF(Table1[[#This Row],[Subscription Status]]="Yes",1,IF(Table1[[#This Row],[Subscription Status]]="No",0))</f>
        <v>0</v>
      </c>
    </row>
    <row r="2256" spans="1:21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  <c r="S2256" t="str">
        <f>IF(Table1[[#This Row],[Age]]&lt;=25,"Young",IF(Table1[[#This Row],[Age]]&lt;=50,"Adult","Senior"))</f>
        <v>Young</v>
      </c>
      <c r="T2256" s="1">
        <f>Table1[[#This Row],[Purchase Amount (USD)]]</f>
        <v>79</v>
      </c>
      <c r="U2256">
        <f>IF(Table1[[#This Row],[Subscription Status]]="Yes",1,IF(Table1[[#This Row],[Subscription Status]]="No",0))</f>
        <v>0</v>
      </c>
    </row>
    <row r="2257" spans="1:21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  <c r="S2257" t="str">
        <f>IF(Table1[[#This Row],[Age]]&lt;=25,"Young",IF(Table1[[#This Row],[Age]]&lt;=50,"Adult","Senior"))</f>
        <v>Adult</v>
      </c>
      <c r="T2257" s="1">
        <f>Table1[[#This Row],[Purchase Amount (USD)]]</f>
        <v>39</v>
      </c>
      <c r="U2257">
        <f>IF(Table1[[#This Row],[Subscription Status]]="Yes",1,IF(Table1[[#This Row],[Subscription Status]]="No",0))</f>
        <v>0</v>
      </c>
    </row>
    <row r="2258" spans="1:21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  <c r="S2258" t="str">
        <f>IF(Table1[[#This Row],[Age]]&lt;=25,"Young",IF(Table1[[#This Row],[Age]]&lt;=50,"Adult","Senior"))</f>
        <v>Adult</v>
      </c>
      <c r="T2258" s="1">
        <f>Table1[[#This Row],[Purchase Amount (USD)]]</f>
        <v>22</v>
      </c>
      <c r="U2258">
        <f>IF(Table1[[#This Row],[Subscription Status]]="Yes",1,IF(Table1[[#This Row],[Subscription Status]]="No",0))</f>
        <v>0</v>
      </c>
    </row>
    <row r="2259" spans="1:21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  <c r="S2259" t="str">
        <f>IF(Table1[[#This Row],[Age]]&lt;=25,"Young",IF(Table1[[#This Row],[Age]]&lt;=50,"Adult","Senior"))</f>
        <v>Adult</v>
      </c>
      <c r="T2259" s="1">
        <f>Table1[[#This Row],[Purchase Amount (USD)]]</f>
        <v>32</v>
      </c>
      <c r="U2259">
        <f>IF(Table1[[#This Row],[Subscription Status]]="Yes",1,IF(Table1[[#This Row],[Subscription Status]]="No",0))</f>
        <v>0</v>
      </c>
    </row>
    <row r="2260" spans="1:21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  <c r="S2260" t="str">
        <f>IF(Table1[[#This Row],[Age]]&lt;=25,"Young",IF(Table1[[#This Row],[Age]]&lt;=50,"Adult","Senior"))</f>
        <v>Young</v>
      </c>
      <c r="T2260" s="1">
        <f>Table1[[#This Row],[Purchase Amount (USD)]]</f>
        <v>71</v>
      </c>
      <c r="U2260">
        <f>IF(Table1[[#This Row],[Subscription Status]]="Yes",1,IF(Table1[[#This Row],[Subscription Status]]="No",0))</f>
        <v>0</v>
      </c>
    </row>
    <row r="2261" spans="1:21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  <c r="S2261" t="str">
        <f>IF(Table1[[#This Row],[Age]]&lt;=25,"Young",IF(Table1[[#This Row],[Age]]&lt;=50,"Adult","Senior"))</f>
        <v>Senior</v>
      </c>
      <c r="T2261" s="1">
        <f>Table1[[#This Row],[Purchase Amount (USD)]]</f>
        <v>96</v>
      </c>
      <c r="U2261">
        <f>IF(Table1[[#This Row],[Subscription Status]]="Yes",1,IF(Table1[[#This Row],[Subscription Status]]="No",0))</f>
        <v>0</v>
      </c>
    </row>
    <row r="2262" spans="1:21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  <c r="S2262" t="str">
        <f>IF(Table1[[#This Row],[Age]]&lt;=25,"Young",IF(Table1[[#This Row],[Age]]&lt;=50,"Adult","Senior"))</f>
        <v>Adult</v>
      </c>
      <c r="T2262" s="1">
        <f>Table1[[#This Row],[Purchase Amount (USD)]]</f>
        <v>82</v>
      </c>
      <c r="U2262">
        <f>IF(Table1[[#This Row],[Subscription Status]]="Yes",1,IF(Table1[[#This Row],[Subscription Status]]="No",0))</f>
        <v>0</v>
      </c>
    </row>
    <row r="2263" spans="1:21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  <c r="S2263" t="str">
        <f>IF(Table1[[#This Row],[Age]]&lt;=25,"Young",IF(Table1[[#This Row],[Age]]&lt;=50,"Adult","Senior"))</f>
        <v>Senior</v>
      </c>
      <c r="T2263" s="1">
        <f>Table1[[#This Row],[Purchase Amount (USD)]]</f>
        <v>76</v>
      </c>
      <c r="U2263">
        <f>IF(Table1[[#This Row],[Subscription Status]]="Yes",1,IF(Table1[[#This Row],[Subscription Status]]="No",0))</f>
        <v>0</v>
      </c>
    </row>
    <row r="2264" spans="1:21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  <c r="S2264" t="str">
        <f>IF(Table1[[#This Row],[Age]]&lt;=25,"Young",IF(Table1[[#This Row],[Age]]&lt;=50,"Adult","Senior"))</f>
        <v>Senior</v>
      </c>
      <c r="T2264" s="1">
        <f>Table1[[#This Row],[Purchase Amount (USD)]]</f>
        <v>22</v>
      </c>
      <c r="U2264">
        <f>IF(Table1[[#This Row],[Subscription Status]]="Yes",1,IF(Table1[[#This Row],[Subscription Status]]="No",0))</f>
        <v>0</v>
      </c>
    </row>
    <row r="2265" spans="1:21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  <c r="S2265" t="str">
        <f>IF(Table1[[#This Row],[Age]]&lt;=25,"Young",IF(Table1[[#This Row],[Age]]&lt;=50,"Adult","Senior"))</f>
        <v>Adult</v>
      </c>
      <c r="T2265" s="1">
        <f>Table1[[#This Row],[Purchase Amount (USD)]]</f>
        <v>40</v>
      </c>
      <c r="U2265">
        <f>IF(Table1[[#This Row],[Subscription Status]]="Yes",1,IF(Table1[[#This Row],[Subscription Status]]="No",0))</f>
        <v>0</v>
      </c>
    </row>
    <row r="2266" spans="1:21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  <c r="S2266" t="str">
        <f>IF(Table1[[#This Row],[Age]]&lt;=25,"Young",IF(Table1[[#This Row],[Age]]&lt;=50,"Adult","Senior"))</f>
        <v>Senior</v>
      </c>
      <c r="T2266" s="1">
        <f>Table1[[#This Row],[Purchase Amount (USD)]]</f>
        <v>92</v>
      </c>
      <c r="U2266">
        <f>IF(Table1[[#This Row],[Subscription Status]]="Yes",1,IF(Table1[[#This Row],[Subscription Status]]="No",0))</f>
        <v>0</v>
      </c>
    </row>
    <row r="2267" spans="1:21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  <c r="S2267" t="str">
        <f>IF(Table1[[#This Row],[Age]]&lt;=25,"Young",IF(Table1[[#This Row],[Age]]&lt;=50,"Adult","Senior"))</f>
        <v>Adult</v>
      </c>
      <c r="T2267" s="1">
        <f>Table1[[#This Row],[Purchase Amount (USD)]]</f>
        <v>94</v>
      </c>
      <c r="U2267">
        <f>IF(Table1[[#This Row],[Subscription Status]]="Yes",1,IF(Table1[[#This Row],[Subscription Status]]="No",0))</f>
        <v>0</v>
      </c>
    </row>
    <row r="2268" spans="1:21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  <c r="S2268" t="str">
        <f>IF(Table1[[#This Row],[Age]]&lt;=25,"Young",IF(Table1[[#This Row],[Age]]&lt;=50,"Adult","Senior"))</f>
        <v>Young</v>
      </c>
      <c r="T2268" s="1">
        <f>Table1[[#This Row],[Purchase Amount (USD)]]</f>
        <v>44</v>
      </c>
      <c r="U2268">
        <f>IF(Table1[[#This Row],[Subscription Status]]="Yes",1,IF(Table1[[#This Row],[Subscription Status]]="No",0))</f>
        <v>0</v>
      </c>
    </row>
    <row r="2269" spans="1:21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  <c r="S2269" t="str">
        <f>IF(Table1[[#This Row],[Age]]&lt;=25,"Young",IF(Table1[[#This Row],[Age]]&lt;=50,"Adult","Senior"))</f>
        <v>Adult</v>
      </c>
      <c r="T2269" s="1">
        <f>Table1[[#This Row],[Purchase Amount (USD)]]</f>
        <v>49</v>
      </c>
      <c r="U2269">
        <f>IF(Table1[[#This Row],[Subscription Status]]="Yes",1,IF(Table1[[#This Row],[Subscription Status]]="No",0))</f>
        <v>0</v>
      </c>
    </row>
    <row r="2270" spans="1:21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  <c r="S2270" t="str">
        <f>IF(Table1[[#This Row],[Age]]&lt;=25,"Young",IF(Table1[[#This Row],[Age]]&lt;=50,"Adult","Senior"))</f>
        <v>Senior</v>
      </c>
      <c r="T2270" s="1">
        <f>Table1[[#This Row],[Purchase Amount (USD)]]</f>
        <v>26</v>
      </c>
      <c r="U2270">
        <f>IF(Table1[[#This Row],[Subscription Status]]="Yes",1,IF(Table1[[#This Row],[Subscription Status]]="No",0))</f>
        <v>0</v>
      </c>
    </row>
    <row r="2271" spans="1:21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  <c r="S2271" t="str">
        <f>IF(Table1[[#This Row],[Age]]&lt;=25,"Young",IF(Table1[[#This Row],[Age]]&lt;=50,"Adult","Senior"))</f>
        <v>Adult</v>
      </c>
      <c r="T2271" s="1">
        <f>Table1[[#This Row],[Purchase Amount (USD)]]</f>
        <v>38</v>
      </c>
      <c r="U2271">
        <f>IF(Table1[[#This Row],[Subscription Status]]="Yes",1,IF(Table1[[#This Row],[Subscription Status]]="No",0))</f>
        <v>0</v>
      </c>
    </row>
    <row r="2272" spans="1:21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  <c r="S2272" t="str">
        <f>IF(Table1[[#This Row],[Age]]&lt;=25,"Young",IF(Table1[[#This Row],[Age]]&lt;=50,"Adult","Senior"))</f>
        <v>Adult</v>
      </c>
      <c r="T2272" s="1">
        <f>Table1[[#This Row],[Purchase Amount (USD)]]</f>
        <v>72</v>
      </c>
      <c r="U2272">
        <f>IF(Table1[[#This Row],[Subscription Status]]="Yes",1,IF(Table1[[#This Row],[Subscription Status]]="No",0))</f>
        <v>0</v>
      </c>
    </row>
    <row r="2273" spans="1:21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  <c r="S2273" t="str">
        <f>IF(Table1[[#This Row],[Age]]&lt;=25,"Young",IF(Table1[[#This Row],[Age]]&lt;=50,"Adult","Senior"))</f>
        <v>Adult</v>
      </c>
      <c r="T2273" s="1">
        <f>Table1[[#This Row],[Purchase Amount (USD)]]</f>
        <v>99</v>
      </c>
      <c r="U2273">
        <f>IF(Table1[[#This Row],[Subscription Status]]="Yes",1,IF(Table1[[#This Row],[Subscription Status]]="No",0))</f>
        <v>0</v>
      </c>
    </row>
    <row r="2274" spans="1:21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  <c r="S2274" t="str">
        <f>IF(Table1[[#This Row],[Age]]&lt;=25,"Young",IF(Table1[[#This Row],[Age]]&lt;=50,"Adult","Senior"))</f>
        <v>Adult</v>
      </c>
      <c r="T2274" s="1">
        <f>Table1[[#This Row],[Purchase Amount (USD)]]</f>
        <v>38</v>
      </c>
      <c r="U2274">
        <f>IF(Table1[[#This Row],[Subscription Status]]="Yes",1,IF(Table1[[#This Row],[Subscription Status]]="No",0))</f>
        <v>0</v>
      </c>
    </row>
    <row r="2275" spans="1:21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  <c r="S2275" t="str">
        <f>IF(Table1[[#This Row],[Age]]&lt;=25,"Young",IF(Table1[[#This Row],[Age]]&lt;=50,"Adult","Senior"))</f>
        <v>Senior</v>
      </c>
      <c r="T2275" s="1">
        <f>Table1[[#This Row],[Purchase Amount (USD)]]</f>
        <v>96</v>
      </c>
      <c r="U2275">
        <f>IF(Table1[[#This Row],[Subscription Status]]="Yes",1,IF(Table1[[#This Row],[Subscription Status]]="No",0))</f>
        <v>0</v>
      </c>
    </row>
    <row r="2276" spans="1:21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  <c r="S2276" t="str">
        <f>IF(Table1[[#This Row],[Age]]&lt;=25,"Young",IF(Table1[[#This Row],[Age]]&lt;=50,"Adult","Senior"))</f>
        <v>Senior</v>
      </c>
      <c r="T2276" s="1">
        <f>Table1[[#This Row],[Purchase Amount (USD)]]</f>
        <v>27</v>
      </c>
      <c r="U2276">
        <f>IF(Table1[[#This Row],[Subscription Status]]="Yes",1,IF(Table1[[#This Row],[Subscription Status]]="No",0))</f>
        <v>0</v>
      </c>
    </row>
    <row r="2277" spans="1:21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  <c r="S2277" t="str">
        <f>IF(Table1[[#This Row],[Age]]&lt;=25,"Young",IF(Table1[[#This Row],[Age]]&lt;=50,"Adult","Senior"))</f>
        <v>Adult</v>
      </c>
      <c r="T2277" s="1">
        <f>Table1[[#This Row],[Purchase Amount (USD)]]</f>
        <v>24</v>
      </c>
      <c r="U2277">
        <f>IF(Table1[[#This Row],[Subscription Status]]="Yes",1,IF(Table1[[#This Row],[Subscription Status]]="No",0))</f>
        <v>0</v>
      </c>
    </row>
    <row r="2278" spans="1:21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  <c r="S2278" t="str">
        <f>IF(Table1[[#This Row],[Age]]&lt;=25,"Young",IF(Table1[[#This Row],[Age]]&lt;=50,"Adult","Senior"))</f>
        <v>Adult</v>
      </c>
      <c r="T2278" s="1">
        <f>Table1[[#This Row],[Purchase Amount (USD)]]</f>
        <v>82</v>
      </c>
      <c r="U2278">
        <f>IF(Table1[[#This Row],[Subscription Status]]="Yes",1,IF(Table1[[#This Row],[Subscription Status]]="No",0))</f>
        <v>0</v>
      </c>
    </row>
    <row r="2279" spans="1:21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  <c r="S2279" t="str">
        <f>IF(Table1[[#This Row],[Age]]&lt;=25,"Young",IF(Table1[[#This Row],[Age]]&lt;=50,"Adult","Senior"))</f>
        <v>Young</v>
      </c>
      <c r="T2279" s="1">
        <f>Table1[[#This Row],[Purchase Amount (USD)]]</f>
        <v>56</v>
      </c>
      <c r="U2279">
        <f>IF(Table1[[#This Row],[Subscription Status]]="Yes",1,IF(Table1[[#This Row],[Subscription Status]]="No",0))</f>
        <v>0</v>
      </c>
    </row>
    <row r="2280" spans="1:21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  <c r="S2280" t="str">
        <f>IF(Table1[[#This Row],[Age]]&lt;=25,"Young",IF(Table1[[#This Row],[Age]]&lt;=50,"Adult","Senior"))</f>
        <v>Senior</v>
      </c>
      <c r="T2280" s="1">
        <f>Table1[[#This Row],[Purchase Amount (USD)]]</f>
        <v>25</v>
      </c>
      <c r="U2280">
        <f>IF(Table1[[#This Row],[Subscription Status]]="Yes",1,IF(Table1[[#This Row],[Subscription Status]]="No",0))</f>
        <v>0</v>
      </c>
    </row>
    <row r="2281" spans="1:21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  <c r="S2281" t="str">
        <f>IF(Table1[[#This Row],[Age]]&lt;=25,"Young",IF(Table1[[#This Row],[Age]]&lt;=50,"Adult","Senior"))</f>
        <v>Senior</v>
      </c>
      <c r="T2281" s="1">
        <f>Table1[[#This Row],[Purchase Amount (USD)]]</f>
        <v>67</v>
      </c>
      <c r="U2281">
        <f>IF(Table1[[#This Row],[Subscription Status]]="Yes",1,IF(Table1[[#This Row],[Subscription Status]]="No",0))</f>
        <v>0</v>
      </c>
    </row>
    <row r="2282" spans="1:21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  <c r="S2282" t="str">
        <f>IF(Table1[[#This Row],[Age]]&lt;=25,"Young",IF(Table1[[#This Row],[Age]]&lt;=50,"Adult","Senior"))</f>
        <v>Young</v>
      </c>
      <c r="T2282" s="1">
        <f>Table1[[#This Row],[Purchase Amount (USD)]]</f>
        <v>21</v>
      </c>
      <c r="U2282">
        <f>IF(Table1[[#This Row],[Subscription Status]]="Yes",1,IF(Table1[[#This Row],[Subscription Status]]="No",0))</f>
        <v>0</v>
      </c>
    </row>
    <row r="2283" spans="1:21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  <c r="S2283" t="str">
        <f>IF(Table1[[#This Row],[Age]]&lt;=25,"Young",IF(Table1[[#This Row],[Age]]&lt;=50,"Adult","Senior"))</f>
        <v>Adult</v>
      </c>
      <c r="T2283" s="1">
        <f>Table1[[#This Row],[Purchase Amount (USD)]]</f>
        <v>27</v>
      </c>
      <c r="U2283">
        <f>IF(Table1[[#This Row],[Subscription Status]]="Yes",1,IF(Table1[[#This Row],[Subscription Status]]="No",0))</f>
        <v>0</v>
      </c>
    </row>
    <row r="2284" spans="1:21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  <c r="S2284" t="str">
        <f>IF(Table1[[#This Row],[Age]]&lt;=25,"Young",IF(Table1[[#This Row],[Age]]&lt;=50,"Adult","Senior"))</f>
        <v>Young</v>
      </c>
      <c r="T2284" s="1">
        <f>Table1[[#This Row],[Purchase Amount (USD)]]</f>
        <v>97</v>
      </c>
      <c r="U2284">
        <f>IF(Table1[[#This Row],[Subscription Status]]="Yes",1,IF(Table1[[#This Row],[Subscription Status]]="No",0))</f>
        <v>0</v>
      </c>
    </row>
    <row r="2285" spans="1:21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  <c r="S2285" t="str">
        <f>IF(Table1[[#This Row],[Age]]&lt;=25,"Young",IF(Table1[[#This Row],[Age]]&lt;=50,"Adult","Senior"))</f>
        <v>Adult</v>
      </c>
      <c r="T2285" s="1">
        <f>Table1[[#This Row],[Purchase Amount (USD)]]</f>
        <v>45</v>
      </c>
      <c r="U2285">
        <f>IF(Table1[[#This Row],[Subscription Status]]="Yes",1,IF(Table1[[#This Row],[Subscription Status]]="No",0))</f>
        <v>0</v>
      </c>
    </row>
    <row r="2286" spans="1:21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  <c r="S2286" t="str">
        <f>IF(Table1[[#This Row],[Age]]&lt;=25,"Young",IF(Table1[[#This Row],[Age]]&lt;=50,"Adult","Senior"))</f>
        <v>Adult</v>
      </c>
      <c r="T2286" s="1">
        <f>Table1[[#This Row],[Purchase Amount (USD)]]</f>
        <v>63</v>
      </c>
      <c r="U2286">
        <f>IF(Table1[[#This Row],[Subscription Status]]="Yes",1,IF(Table1[[#This Row],[Subscription Status]]="No",0))</f>
        <v>0</v>
      </c>
    </row>
    <row r="2287" spans="1:21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  <c r="S2287" t="str">
        <f>IF(Table1[[#This Row],[Age]]&lt;=25,"Young",IF(Table1[[#This Row],[Age]]&lt;=50,"Adult","Senior"))</f>
        <v>Adult</v>
      </c>
      <c r="T2287" s="1">
        <f>Table1[[#This Row],[Purchase Amount (USD)]]</f>
        <v>100</v>
      </c>
      <c r="U2287">
        <f>IF(Table1[[#This Row],[Subscription Status]]="Yes",1,IF(Table1[[#This Row],[Subscription Status]]="No",0))</f>
        <v>0</v>
      </c>
    </row>
    <row r="2288" spans="1:21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  <c r="S2288" t="str">
        <f>IF(Table1[[#This Row],[Age]]&lt;=25,"Young",IF(Table1[[#This Row],[Age]]&lt;=50,"Adult","Senior"))</f>
        <v>Senior</v>
      </c>
      <c r="T2288" s="1">
        <f>Table1[[#This Row],[Purchase Amount (USD)]]</f>
        <v>38</v>
      </c>
      <c r="U2288">
        <f>IF(Table1[[#This Row],[Subscription Status]]="Yes",1,IF(Table1[[#This Row],[Subscription Status]]="No",0))</f>
        <v>0</v>
      </c>
    </row>
    <row r="2289" spans="1:21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  <c r="S2289" t="str">
        <f>IF(Table1[[#This Row],[Age]]&lt;=25,"Young",IF(Table1[[#This Row],[Age]]&lt;=50,"Adult","Senior"))</f>
        <v>Senior</v>
      </c>
      <c r="T2289" s="1">
        <f>Table1[[#This Row],[Purchase Amount (USD)]]</f>
        <v>45</v>
      </c>
      <c r="U2289">
        <f>IF(Table1[[#This Row],[Subscription Status]]="Yes",1,IF(Table1[[#This Row],[Subscription Status]]="No",0))</f>
        <v>0</v>
      </c>
    </row>
    <row r="2290" spans="1:21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  <c r="S2290" t="str">
        <f>IF(Table1[[#This Row],[Age]]&lt;=25,"Young",IF(Table1[[#This Row],[Age]]&lt;=50,"Adult","Senior"))</f>
        <v>Adult</v>
      </c>
      <c r="T2290" s="1">
        <f>Table1[[#This Row],[Purchase Amount (USD)]]</f>
        <v>91</v>
      </c>
      <c r="U2290">
        <f>IF(Table1[[#This Row],[Subscription Status]]="Yes",1,IF(Table1[[#This Row],[Subscription Status]]="No",0))</f>
        <v>0</v>
      </c>
    </row>
    <row r="2291" spans="1:21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  <c r="S2291" t="str">
        <f>IF(Table1[[#This Row],[Age]]&lt;=25,"Young",IF(Table1[[#This Row],[Age]]&lt;=50,"Adult","Senior"))</f>
        <v>Senior</v>
      </c>
      <c r="T2291" s="1">
        <f>Table1[[#This Row],[Purchase Amount (USD)]]</f>
        <v>82</v>
      </c>
      <c r="U2291">
        <f>IF(Table1[[#This Row],[Subscription Status]]="Yes",1,IF(Table1[[#This Row],[Subscription Status]]="No",0))</f>
        <v>0</v>
      </c>
    </row>
    <row r="2292" spans="1:21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  <c r="S2292" t="str">
        <f>IF(Table1[[#This Row],[Age]]&lt;=25,"Young",IF(Table1[[#This Row],[Age]]&lt;=50,"Adult","Senior"))</f>
        <v>Adult</v>
      </c>
      <c r="T2292" s="1">
        <f>Table1[[#This Row],[Purchase Amount (USD)]]</f>
        <v>48</v>
      </c>
      <c r="U2292">
        <f>IF(Table1[[#This Row],[Subscription Status]]="Yes",1,IF(Table1[[#This Row],[Subscription Status]]="No",0))</f>
        <v>0</v>
      </c>
    </row>
    <row r="2293" spans="1:21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  <c r="S2293" t="str">
        <f>IF(Table1[[#This Row],[Age]]&lt;=25,"Young",IF(Table1[[#This Row],[Age]]&lt;=50,"Adult","Senior"))</f>
        <v>Adult</v>
      </c>
      <c r="T2293" s="1">
        <f>Table1[[#This Row],[Purchase Amount (USD)]]</f>
        <v>30</v>
      </c>
      <c r="U2293">
        <f>IF(Table1[[#This Row],[Subscription Status]]="Yes",1,IF(Table1[[#This Row],[Subscription Status]]="No",0))</f>
        <v>0</v>
      </c>
    </row>
    <row r="2294" spans="1:21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  <c r="S2294" t="str">
        <f>IF(Table1[[#This Row],[Age]]&lt;=25,"Young",IF(Table1[[#This Row],[Age]]&lt;=50,"Adult","Senior"))</f>
        <v>Adult</v>
      </c>
      <c r="T2294" s="1">
        <f>Table1[[#This Row],[Purchase Amount (USD)]]</f>
        <v>34</v>
      </c>
      <c r="U2294">
        <f>IF(Table1[[#This Row],[Subscription Status]]="Yes",1,IF(Table1[[#This Row],[Subscription Status]]="No",0))</f>
        <v>0</v>
      </c>
    </row>
    <row r="2295" spans="1:21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  <c r="S2295" t="str">
        <f>IF(Table1[[#This Row],[Age]]&lt;=25,"Young",IF(Table1[[#This Row],[Age]]&lt;=50,"Adult","Senior"))</f>
        <v>Adult</v>
      </c>
      <c r="T2295" s="1">
        <f>Table1[[#This Row],[Purchase Amount (USD)]]</f>
        <v>68</v>
      </c>
      <c r="U2295">
        <f>IF(Table1[[#This Row],[Subscription Status]]="Yes",1,IF(Table1[[#This Row],[Subscription Status]]="No",0))</f>
        <v>0</v>
      </c>
    </row>
    <row r="2296" spans="1:21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  <c r="S2296" t="str">
        <f>IF(Table1[[#This Row],[Age]]&lt;=25,"Young",IF(Table1[[#This Row],[Age]]&lt;=50,"Adult","Senior"))</f>
        <v>Senior</v>
      </c>
      <c r="T2296" s="1">
        <f>Table1[[#This Row],[Purchase Amount (USD)]]</f>
        <v>95</v>
      </c>
      <c r="U2296">
        <f>IF(Table1[[#This Row],[Subscription Status]]="Yes",1,IF(Table1[[#This Row],[Subscription Status]]="No",0))</f>
        <v>0</v>
      </c>
    </row>
    <row r="2297" spans="1:21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  <c r="S2297" t="str">
        <f>IF(Table1[[#This Row],[Age]]&lt;=25,"Young",IF(Table1[[#This Row],[Age]]&lt;=50,"Adult","Senior"))</f>
        <v>Adult</v>
      </c>
      <c r="T2297" s="1">
        <f>Table1[[#This Row],[Purchase Amount (USD)]]</f>
        <v>22</v>
      </c>
      <c r="U2297">
        <f>IF(Table1[[#This Row],[Subscription Status]]="Yes",1,IF(Table1[[#This Row],[Subscription Status]]="No",0))</f>
        <v>0</v>
      </c>
    </row>
    <row r="2298" spans="1:21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  <c r="S2298" t="str">
        <f>IF(Table1[[#This Row],[Age]]&lt;=25,"Young",IF(Table1[[#This Row],[Age]]&lt;=50,"Adult","Senior"))</f>
        <v>Adult</v>
      </c>
      <c r="T2298" s="1">
        <f>Table1[[#This Row],[Purchase Amount (USD)]]</f>
        <v>88</v>
      </c>
      <c r="U2298">
        <f>IF(Table1[[#This Row],[Subscription Status]]="Yes",1,IF(Table1[[#This Row],[Subscription Status]]="No",0))</f>
        <v>0</v>
      </c>
    </row>
    <row r="2299" spans="1:21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  <c r="S2299" t="str">
        <f>IF(Table1[[#This Row],[Age]]&lt;=25,"Young",IF(Table1[[#This Row],[Age]]&lt;=50,"Adult","Senior"))</f>
        <v>Senior</v>
      </c>
      <c r="T2299" s="1">
        <f>Table1[[#This Row],[Purchase Amount (USD)]]</f>
        <v>83</v>
      </c>
      <c r="U2299">
        <f>IF(Table1[[#This Row],[Subscription Status]]="Yes",1,IF(Table1[[#This Row],[Subscription Status]]="No",0))</f>
        <v>0</v>
      </c>
    </row>
    <row r="2300" spans="1:21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  <c r="S2300" t="str">
        <f>IF(Table1[[#This Row],[Age]]&lt;=25,"Young",IF(Table1[[#This Row],[Age]]&lt;=50,"Adult","Senior"))</f>
        <v>Adult</v>
      </c>
      <c r="T2300" s="1">
        <f>Table1[[#This Row],[Purchase Amount (USD)]]</f>
        <v>87</v>
      </c>
      <c r="U2300">
        <f>IF(Table1[[#This Row],[Subscription Status]]="Yes",1,IF(Table1[[#This Row],[Subscription Status]]="No",0))</f>
        <v>0</v>
      </c>
    </row>
    <row r="2301" spans="1:21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  <c r="S2301" t="str">
        <f>IF(Table1[[#This Row],[Age]]&lt;=25,"Young",IF(Table1[[#This Row],[Age]]&lt;=50,"Adult","Senior"))</f>
        <v>Senior</v>
      </c>
      <c r="T2301" s="1">
        <f>Table1[[#This Row],[Purchase Amount (USD)]]</f>
        <v>57</v>
      </c>
      <c r="U2301">
        <f>IF(Table1[[#This Row],[Subscription Status]]="Yes",1,IF(Table1[[#This Row],[Subscription Status]]="No",0))</f>
        <v>0</v>
      </c>
    </row>
    <row r="2302" spans="1:21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  <c r="S2302" t="str">
        <f>IF(Table1[[#This Row],[Age]]&lt;=25,"Young",IF(Table1[[#This Row],[Age]]&lt;=50,"Adult","Senior"))</f>
        <v>Young</v>
      </c>
      <c r="T2302" s="1">
        <f>Table1[[#This Row],[Purchase Amount (USD)]]</f>
        <v>88</v>
      </c>
      <c r="U2302">
        <f>IF(Table1[[#This Row],[Subscription Status]]="Yes",1,IF(Table1[[#This Row],[Subscription Status]]="No",0))</f>
        <v>0</v>
      </c>
    </row>
    <row r="2303" spans="1:21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  <c r="S2303" t="str">
        <f>IF(Table1[[#This Row],[Age]]&lt;=25,"Young",IF(Table1[[#This Row],[Age]]&lt;=50,"Adult","Senior"))</f>
        <v>Adult</v>
      </c>
      <c r="T2303" s="1">
        <f>Table1[[#This Row],[Purchase Amount (USD)]]</f>
        <v>20</v>
      </c>
      <c r="U2303">
        <f>IF(Table1[[#This Row],[Subscription Status]]="Yes",1,IF(Table1[[#This Row],[Subscription Status]]="No",0))</f>
        <v>0</v>
      </c>
    </row>
    <row r="2304" spans="1:21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  <c r="S2304" t="str">
        <f>IF(Table1[[#This Row],[Age]]&lt;=25,"Young",IF(Table1[[#This Row],[Age]]&lt;=50,"Adult","Senior"))</f>
        <v>Adult</v>
      </c>
      <c r="T2304" s="1">
        <f>Table1[[#This Row],[Purchase Amount (USD)]]</f>
        <v>39</v>
      </c>
      <c r="U2304">
        <f>IF(Table1[[#This Row],[Subscription Status]]="Yes",1,IF(Table1[[#This Row],[Subscription Status]]="No",0))</f>
        <v>0</v>
      </c>
    </row>
    <row r="2305" spans="1:21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  <c r="S2305" t="str">
        <f>IF(Table1[[#This Row],[Age]]&lt;=25,"Young",IF(Table1[[#This Row],[Age]]&lt;=50,"Adult","Senior"))</f>
        <v>Senior</v>
      </c>
      <c r="T2305" s="1">
        <f>Table1[[#This Row],[Purchase Amount (USD)]]</f>
        <v>71</v>
      </c>
      <c r="U2305">
        <f>IF(Table1[[#This Row],[Subscription Status]]="Yes",1,IF(Table1[[#This Row],[Subscription Status]]="No",0))</f>
        <v>0</v>
      </c>
    </row>
    <row r="2306" spans="1:21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  <c r="S2306" t="str">
        <f>IF(Table1[[#This Row],[Age]]&lt;=25,"Young",IF(Table1[[#This Row],[Age]]&lt;=50,"Adult","Senior"))</f>
        <v>Adult</v>
      </c>
      <c r="T2306" s="1">
        <f>Table1[[#This Row],[Purchase Amount (USD)]]</f>
        <v>73</v>
      </c>
      <c r="U2306">
        <f>IF(Table1[[#This Row],[Subscription Status]]="Yes",1,IF(Table1[[#This Row],[Subscription Status]]="No",0))</f>
        <v>0</v>
      </c>
    </row>
    <row r="2307" spans="1:21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  <c r="S2307" t="str">
        <f>IF(Table1[[#This Row],[Age]]&lt;=25,"Young",IF(Table1[[#This Row],[Age]]&lt;=50,"Adult","Senior"))</f>
        <v>Senior</v>
      </c>
      <c r="T2307" s="1">
        <f>Table1[[#This Row],[Purchase Amount (USD)]]</f>
        <v>63</v>
      </c>
      <c r="U2307">
        <f>IF(Table1[[#This Row],[Subscription Status]]="Yes",1,IF(Table1[[#This Row],[Subscription Status]]="No",0))</f>
        <v>0</v>
      </c>
    </row>
    <row r="2308" spans="1:21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  <c r="S2308" t="str">
        <f>IF(Table1[[#This Row],[Age]]&lt;=25,"Young",IF(Table1[[#This Row],[Age]]&lt;=50,"Adult","Senior"))</f>
        <v>Adult</v>
      </c>
      <c r="T2308" s="1">
        <f>Table1[[#This Row],[Purchase Amount (USD)]]</f>
        <v>78</v>
      </c>
      <c r="U2308">
        <f>IF(Table1[[#This Row],[Subscription Status]]="Yes",1,IF(Table1[[#This Row],[Subscription Status]]="No",0))</f>
        <v>0</v>
      </c>
    </row>
    <row r="2309" spans="1:21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  <c r="S2309" t="str">
        <f>IF(Table1[[#This Row],[Age]]&lt;=25,"Young",IF(Table1[[#This Row],[Age]]&lt;=50,"Adult","Senior"))</f>
        <v>Adult</v>
      </c>
      <c r="T2309" s="1">
        <f>Table1[[#This Row],[Purchase Amount (USD)]]</f>
        <v>96</v>
      </c>
      <c r="U2309">
        <f>IF(Table1[[#This Row],[Subscription Status]]="Yes",1,IF(Table1[[#This Row],[Subscription Status]]="No",0))</f>
        <v>0</v>
      </c>
    </row>
    <row r="2310" spans="1:21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  <c r="S2310" t="str">
        <f>IF(Table1[[#This Row],[Age]]&lt;=25,"Young",IF(Table1[[#This Row],[Age]]&lt;=50,"Adult","Senior"))</f>
        <v>Adult</v>
      </c>
      <c r="T2310" s="1">
        <f>Table1[[#This Row],[Purchase Amount (USD)]]</f>
        <v>81</v>
      </c>
      <c r="U2310">
        <f>IF(Table1[[#This Row],[Subscription Status]]="Yes",1,IF(Table1[[#This Row],[Subscription Status]]="No",0))</f>
        <v>0</v>
      </c>
    </row>
    <row r="2311" spans="1:21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  <c r="S2311" t="str">
        <f>IF(Table1[[#This Row],[Age]]&lt;=25,"Young",IF(Table1[[#This Row],[Age]]&lt;=50,"Adult","Senior"))</f>
        <v>Senior</v>
      </c>
      <c r="T2311" s="1">
        <f>Table1[[#This Row],[Purchase Amount (USD)]]</f>
        <v>95</v>
      </c>
      <c r="U2311">
        <f>IF(Table1[[#This Row],[Subscription Status]]="Yes",1,IF(Table1[[#This Row],[Subscription Status]]="No",0))</f>
        <v>0</v>
      </c>
    </row>
    <row r="2312" spans="1:21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  <c r="S2312" t="str">
        <f>IF(Table1[[#This Row],[Age]]&lt;=25,"Young",IF(Table1[[#This Row],[Age]]&lt;=50,"Adult","Senior"))</f>
        <v>Adult</v>
      </c>
      <c r="T2312" s="1">
        <f>Table1[[#This Row],[Purchase Amount (USD)]]</f>
        <v>68</v>
      </c>
      <c r="U2312">
        <f>IF(Table1[[#This Row],[Subscription Status]]="Yes",1,IF(Table1[[#This Row],[Subscription Status]]="No",0))</f>
        <v>0</v>
      </c>
    </row>
    <row r="2313" spans="1:21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  <c r="S2313" t="str">
        <f>IF(Table1[[#This Row],[Age]]&lt;=25,"Young",IF(Table1[[#This Row],[Age]]&lt;=50,"Adult","Senior"))</f>
        <v>Adult</v>
      </c>
      <c r="T2313" s="1">
        <f>Table1[[#This Row],[Purchase Amount (USD)]]</f>
        <v>28</v>
      </c>
      <c r="U2313">
        <f>IF(Table1[[#This Row],[Subscription Status]]="Yes",1,IF(Table1[[#This Row],[Subscription Status]]="No",0))</f>
        <v>0</v>
      </c>
    </row>
    <row r="2314" spans="1:21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  <c r="S2314" t="str">
        <f>IF(Table1[[#This Row],[Age]]&lt;=25,"Young",IF(Table1[[#This Row],[Age]]&lt;=50,"Adult","Senior"))</f>
        <v>Young</v>
      </c>
      <c r="T2314" s="1">
        <f>Table1[[#This Row],[Purchase Amount (USD)]]</f>
        <v>30</v>
      </c>
      <c r="U2314">
        <f>IF(Table1[[#This Row],[Subscription Status]]="Yes",1,IF(Table1[[#This Row],[Subscription Status]]="No",0))</f>
        <v>0</v>
      </c>
    </row>
    <row r="2315" spans="1:21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  <c r="S2315" t="str">
        <f>IF(Table1[[#This Row],[Age]]&lt;=25,"Young",IF(Table1[[#This Row],[Age]]&lt;=50,"Adult","Senior"))</f>
        <v>Senior</v>
      </c>
      <c r="T2315" s="1">
        <f>Table1[[#This Row],[Purchase Amount (USD)]]</f>
        <v>31</v>
      </c>
      <c r="U2315">
        <f>IF(Table1[[#This Row],[Subscription Status]]="Yes",1,IF(Table1[[#This Row],[Subscription Status]]="No",0))</f>
        <v>0</v>
      </c>
    </row>
    <row r="2316" spans="1:21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  <c r="S2316" t="str">
        <f>IF(Table1[[#This Row],[Age]]&lt;=25,"Young",IF(Table1[[#This Row],[Age]]&lt;=50,"Adult","Senior"))</f>
        <v>Adult</v>
      </c>
      <c r="T2316" s="1">
        <f>Table1[[#This Row],[Purchase Amount (USD)]]</f>
        <v>95</v>
      </c>
      <c r="U2316">
        <f>IF(Table1[[#This Row],[Subscription Status]]="Yes",1,IF(Table1[[#This Row],[Subscription Status]]="No",0))</f>
        <v>0</v>
      </c>
    </row>
    <row r="2317" spans="1:21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  <c r="S2317" t="str">
        <f>IF(Table1[[#This Row],[Age]]&lt;=25,"Young",IF(Table1[[#This Row],[Age]]&lt;=50,"Adult","Senior"))</f>
        <v>Senior</v>
      </c>
      <c r="T2317" s="1">
        <f>Table1[[#This Row],[Purchase Amount (USD)]]</f>
        <v>79</v>
      </c>
      <c r="U2317">
        <f>IF(Table1[[#This Row],[Subscription Status]]="Yes",1,IF(Table1[[#This Row],[Subscription Status]]="No",0))</f>
        <v>0</v>
      </c>
    </row>
    <row r="2318" spans="1:21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  <c r="S2318" t="str">
        <f>IF(Table1[[#This Row],[Age]]&lt;=25,"Young",IF(Table1[[#This Row],[Age]]&lt;=50,"Adult","Senior"))</f>
        <v>Adult</v>
      </c>
      <c r="T2318" s="1">
        <f>Table1[[#This Row],[Purchase Amount (USD)]]</f>
        <v>39</v>
      </c>
      <c r="U2318">
        <f>IF(Table1[[#This Row],[Subscription Status]]="Yes",1,IF(Table1[[#This Row],[Subscription Status]]="No",0))</f>
        <v>0</v>
      </c>
    </row>
    <row r="2319" spans="1:21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  <c r="S2319" t="str">
        <f>IF(Table1[[#This Row],[Age]]&lt;=25,"Young",IF(Table1[[#This Row],[Age]]&lt;=50,"Adult","Senior"))</f>
        <v>Adult</v>
      </c>
      <c r="T2319" s="1">
        <f>Table1[[#This Row],[Purchase Amount (USD)]]</f>
        <v>34</v>
      </c>
      <c r="U2319">
        <f>IF(Table1[[#This Row],[Subscription Status]]="Yes",1,IF(Table1[[#This Row],[Subscription Status]]="No",0))</f>
        <v>0</v>
      </c>
    </row>
    <row r="2320" spans="1:21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  <c r="S2320" t="str">
        <f>IF(Table1[[#This Row],[Age]]&lt;=25,"Young",IF(Table1[[#This Row],[Age]]&lt;=50,"Adult","Senior"))</f>
        <v>Senior</v>
      </c>
      <c r="T2320" s="1">
        <f>Table1[[#This Row],[Purchase Amount (USD)]]</f>
        <v>28</v>
      </c>
      <c r="U2320">
        <f>IF(Table1[[#This Row],[Subscription Status]]="Yes",1,IF(Table1[[#This Row],[Subscription Status]]="No",0))</f>
        <v>0</v>
      </c>
    </row>
    <row r="2321" spans="1:21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  <c r="S2321" t="str">
        <f>IF(Table1[[#This Row],[Age]]&lt;=25,"Young",IF(Table1[[#This Row],[Age]]&lt;=50,"Adult","Senior"))</f>
        <v>Senior</v>
      </c>
      <c r="T2321" s="1">
        <f>Table1[[#This Row],[Purchase Amount (USD)]]</f>
        <v>38</v>
      </c>
      <c r="U2321">
        <f>IF(Table1[[#This Row],[Subscription Status]]="Yes",1,IF(Table1[[#This Row],[Subscription Status]]="No",0))</f>
        <v>0</v>
      </c>
    </row>
    <row r="2322" spans="1:21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  <c r="S2322" t="str">
        <f>IF(Table1[[#This Row],[Age]]&lt;=25,"Young",IF(Table1[[#This Row],[Age]]&lt;=50,"Adult","Senior"))</f>
        <v>Adult</v>
      </c>
      <c r="T2322" s="1">
        <f>Table1[[#This Row],[Purchase Amount (USD)]]</f>
        <v>55</v>
      </c>
      <c r="U2322">
        <f>IF(Table1[[#This Row],[Subscription Status]]="Yes",1,IF(Table1[[#This Row],[Subscription Status]]="No",0))</f>
        <v>0</v>
      </c>
    </row>
    <row r="2323" spans="1:21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  <c r="S2323" t="str">
        <f>IF(Table1[[#This Row],[Age]]&lt;=25,"Young",IF(Table1[[#This Row],[Age]]&lt;=50,"Adult","Senior"))</f>
        <v>Adult</v>
      </c>
      <c r="T2323" s="1">
        <f>Table1[[#This Row],[Purchase Amount (USD)]]</f>
        <v>31</v>
      </c>
      <c r="U2323">
        <f>IF(Table1[[#This Row],[Subscription Status]]="Yes",1,IF(Table1[[#This Row],[Subscription Status]]="No",0))</f>
        <v>0</v>
      </c>
    </row>
    <row r="2324" spans="1:21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  <c r="S2324" t="str">
        <f>IF(Table1[[#This Row],[Age]]&lt;=25,"Young",IF(Table1[[#This Row],[Age]]&lt;=50,"Adult","Senior"))</f>
        <v>Adult</v>
      </c>
      <c r="T2324" s="1">
        <f>Table1[[#This Row],[Purchase Amount (USD)]]</f>
        <v>84</v>
      </c>
      <c r="U2324">
        <f>IF(Table1[[#This Row],[Subscription Status]]="Yes",1,IF(Table1[[#This Row],[Subscription Status]]="No",0))</f>
        <v>0</v>
      </c>
    </row>
    <row r="2325" spans="1:21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  <c r="S2325" t="str">
        <f>IF(Table1[[#This Row],[Age]]&lt;=25,"Young",IF(Table1[[#This Row],[Age]]&lt;=50,"Adult","Senior"))</f>
        <v>Adult</v>
      </c>
      <c r="T2325" s="1">
        <f>Table1[[#This Row],[Purchase Amount (USD)]]</f>
        <v>93</v>
      </c>
      <c r="U2325">
        <f>IF(Table1[[#This Row],[Subscription Status]]="Yes",1,IF(Table1[[#This Row],[Subscription Status]]="No",0))</f>
        <v>0</v>
      </c>
    </row>
    <row r="2326" spans="1:21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  <c r="S2326" t="str">
        <f>IF(Table1[[#This Row],[Age]]&lt;=25,"Young",IF(Table1[[#This Row],[Age]]&lt;=50,"Adult","Senior"))</f>
        <v>Senior</v>
      </c>
      <c r="T2326" s="1">
        <f>Table1[[#This Row],[Purchase Amount (USD)]]</f>
        <v>28</v>
      </c>
      <c r="U2326">
        <f>IF(Table1[[#This Row],[Subscription Status]]="Yes",1,IF(Table1[[#This Row],[Subscription Status]]="No",0))</f>
        <v>0</v>
      </c>
    </row>
    <row r="2327" spans="1:21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  <c r="S2327" t="str">
        <f>IF(Table1[[#This Row],[Age]]&lt;=25,"Young",IF(Table1[[#This Row],[Age]]&lt;=50,"Adult","Senior"))</f>
        <v>Adult</v>
      </c>
      <c r="T2327" s="1">
        <f>Table1[[#This Row],[Purchase Amount (USD)]]</f>
        <v>55</v>
      </c>
      <c r="U2327">
        <f>IF(Table1[[#This Row],[Subscription Status]]="Yes",1,IF(Table1[[#This Row],[Subscription Status]]="No",0))</f>
        <v>0</v>
      </c>
    </row>
    <row r="2328" spans="1:21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  <c r="S2328" t="str">
        <f>IF(Table1[[#This Row],[Age]]&lt;=25,"Young",IF(Table1[[#This Row],[Age]]&lt;=50,"Adult","Senior"))</f>
        <v>Senior</v>
      </c>
      <c r="T2328" s="1">
        <f>Table1[[#This Row],[Purchase Amount (USD)]]</f>
        <v>63</v>
      </c>
      <c r="U2328">
        <f>IF(Table1[[#This Row],[Subscription Status]]="Yes",1,IF(Table1[[#This Row],[Subscription Status]]="No",0))</f>
        <v>0</v>
      </c>
    </row>
    <row r="2329" spans="1:21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  <c r="S2329" t="str">
        <f>IF(Table1[[#This Row],[Age]]&lt;=25,"Young",IF(Table1[[#This Row],[Age]]&lt;=50,"Adult","Senior"))</f>
        <v>Young</v>
      </c>
      <c r="T2329" s="1">
        <f>Table1[[#This Row],[Purchase Amount (USD)]]</f>
        <v>94</v>
      </c>
      <c r="U2329">
        <f>IF(Table1[[#This Row],[Subscription Status]]="Yes",1,IF(Table1[[#This Row],[Subscription Status]]="No",0))</f>
        <v>0</v>
      </c>
    </row>
    <row r="2330" spans="1:21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  <c r="S2330" t="str">
        <f>IF(Table1[[#This Row],[Age]]&lt;=25,"Young",IF(Table1[[#This Row],[Age]]&lt;=50,"Adult","Senior"))</f>
        <v>Adult</v>
      </c>
      <c r="T2330" s="1">
        <f>Table1[[#This Row],[Purchase Amount (USD)]]</f>
        <v>36</v>
      </c>
      <c r="U2330">
        <f>IF(Table1[[#This Row],[Subscription Status]]="Yes",1,IF(Table1[[#This Row],[Subscription Status]]="No",0))</f>
        <v>0</v>
      </c>
    </row>
    <row r="2331" spans="1:21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  <c r="S2331" t="str">
        <f>IF(Table1[[#This Row],[Age]]&lt;=25,"Young",IF(Table1[[#This Row],[Age]]&lt;=50,"Adult","Senior"))</f>
        <v>Adult</v>
      </c>
      <c r="T2331" s="1">
        <f>Table1[[#This Row],[Purchase Amount (USD)]]</f>
        <v>97</v>
      </c>
      <c r="U2331">
        <f>IF(Table1[[#This Row],[Subscription Status]]="Yes",1,IF(Table1[[#This Row],[Subscription Status]]="No",0))</f>
        <v>0</v>
      </c>
    </row>
    <row r="2332" spans="1:21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  <c r="S2332" t="str">
        <f>IF(Table1[[#This Row],[Age]]&lt;=25,"Young",IF(Table1[[#This Row],[Age]]&lt;=50,"Adult","Senior"))</f>
        <v>Senior</v>
      </c>
      <c r="T2332" s="1">
        <f>Table1[[#This Row],[Purchase Amount (USD)]]</f>
        <v>63</v>
      </c>
      <c r="U2332">
        <f>IF(Table1[[#This Row],[Subscription Status]]="Yes",1,IF(Table1[[#This Row],[Subscription Status]]="No",0))</f>
        <v>0</v>
      </c>
    </row>
    <row r="2333" spans="1:21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  <c r="S2333" t="str">
        <f>IF(Table1[[#This Row],[Age]]&lt;=25,"Young",IF(Table1[[#This Row],[Age]]&lt;=50,"Adult","Senior"))</f>
        <v>Senior</v>
      </c>
      <c r="T2333" s="1">
        <f>Table1[[#This Row],[Purchase Amount (USD)]]</f>
        <v>77</v>
      </c>
      <c r="U2333">
        <f>IF(Table1[[#This Row],[Subscription Status]]="Yes",1,IF(Table1[[#This Row],[Subscription Status]]="No",0))</f>
        <v>0</v>
      </c>
    </row>
    <row r="2334" spans="1:21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  <c r="S2334" t="str">
        <f>IF(Table1[[#This Row],[Age]]&lt;=25,"Young",IF(Table1[[#This Row],[Age]]&lt;=50,"Adult","Senior"))</f>
        <v>Adult</v>
      </c>
      <c r="T2334" s="1">
        <f>Table1[[#This Row],[Purchase Amount (USD)]]</f>
        <v>53</v>
      </c>
      <c r="U2334">
        <f>IF(Table1[[#This Row],[Subscription Status]]="Yes",1,IF(Table1[[#This Row],[Subscription Status]]="No",0))</f>
        <v>0</v>
      </c>
    </row>
    <row r="2335" spans="1:21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  <c r="S2335" t="str">
        <f>IF(Table1[[#This Row],[Age]]&lt;=25,"Young",IF(Table1[[#This Row],[Age]]&lt;=50,"Adult","Senior"))</f>
        <v>Adult</v>
      </c>
      <c r="T2335" s="1">
        <f>Table1[[#This Row],[Purchase Amount (USD)]]</f>
        <v>77</v>
      </c>
      <c r="U2335">
        <f>IF(Table1[[#This Row],[Subscription Status]]="Yes",1,IF(Table1[[#This Row],[Subscription Status]]="No",0))</f>
        <v>0</v>
      </c>
    </row>
    <row r="2336" spans="1:21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  <c r="S2336" t="str">
        <f>IF(Table1[[#This Row],[Age]]&lt;=25,"Young",IF(Table1[[#This Row],[Age]]&lt;=50,"Adult","Senior"))</f>
        <v>Adult</v>
      </c>
      <c r="T2336" s="1">
        <f>Table1[[#This Row],[Purchase Amount (USD)]]</f>
        <v>79</v>
      </c>
      <c r="U2336">
        <f>IF(Table1[[#This Row],[Subscription Status]]="Yes",1,IF(Table1[[#This Row],[Subscription Status]]="No",0))</f>
        <v>0</v>
      </c>
    </row>
    <row r="2337" spans="1:21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  <c r="S2337" t="str">
        <f>IF(Table1[[#This Row],[Age]]&lt;=25,"Young",IF(Table1[[#This Row],[Age]]&lt;=50,"Adult","Senior"))</f>
        <v>Adult</v>
      </c>
      <c r="T2337" s="1">
        <f>Table1[[#This Row],[Purchase Amount (USD)]]</f>
        <v>37</v>
      </c>
      <c r="U2337">
        <f>IF(Table1[[#This Row],[Subscription Status]]="Yes",1,IF(Table1[[#This Row],[Subscription Status]]="No",0))</f>
        <v>0</v>
      </c>
    </row>
    <row r="2338" spans="1:21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  <c r="S2338" t="str">
        <f>IF(Table1[[#This Row],[Age]]&lt;=25,"Young",IF(Table1[[#This Row],[Age]]&lt;=50,"Adult","Senior"))</f>
        <v>Young</v>
      </c>
      <c r="T2338" s="1">
        <f>Table1[[#This Row],[Purchase Amount (USD)]]</f>
        <v>94</v>
      </c>
      <c r="U2338">
        <f>IF(Table1[[#This Row],[Subscription Status]]="Yes",1,IF(Table1[[#This Row],[Subscription Status]]="No",0))</f>
        <v>0</v>
      </c>
    </row>
    <row r="2339" spans="1:21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  <c r="S2339" t="str">
        <f>IF(Table1[[#This Row],[Age]]&lt;=25,"Young",IF(Table1[[#This Row],[Age]]&lt;=50,"Adult","Senior"))</f>
        <v>Adult</v>
      </c>
      <c r="T2339" s="1">
        <f>Table1[[#This Row],[Purchase Amount (USD)]]</f>
        <v>76</v>
      </c>
      <c r="U2339">
        <f>IF(Table1[[#This Row],[Subscription Status]]="Yes",1,IF(Table1[[#This Row],[Subscription Status]]="No",0))</f>
        <v>0</v>
      </c>
    </row>
    <row r="2340" spans="1:21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  <c r="S2340" t="str">
        <f>IF(Table1[[#This Row],[Age]]&lt;=25,"Young",IF(Table1[[#This Row],[Age]]&lt;=50,"Adult","Senior"))</f>
        <v>Senior</v>
      </c>
      <c r="T2340" s="1">
        <f>Table1[[#This Row],[Purchase Amount (USD)]]</f>
        <v>68</v>
      </c>
      <c r="U2340">
        <f>IF(Table1[[#This Row],[Subscription Status]]="Yes",1,IF(Table1[[#This Row],[Subscription Status]]="No",0))</f>
        <v>0</v>
      </c>
    </row>
    <row r="2341" spans="1:21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  <c r="S2341" t="str">
        <f>IF(Table1[[#This Row],[Age]]&lt;=25,"Young",IF(Table1[[#This Row],[Age]]&lt;=50,"Adult","Senior"))</f>
        <v>Young</v>
      </c>
      <c r="T2341" s="1">
        <f>Table1[[#This Row],[Purchase Amount (USD)]]</f>
        <v>65</v>
      </c>
      <c r="U2341">
        <f>IF(Table1[[#This Row],[Subscription Status]]="Yes",1,IF(Table1[[#This Row],[Subscription Status]]="No",0))</f>
        <v>0</v>
      </c>
    </row>
    <row r="2342" spans="1:21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  <c r="S2342" t="str">
        <f>IF(Table1[[#This Row],[Age]]&lt;=25,"Young",IF(Table1[[#This Row],[Age]]&lt;=50,"Adult","Senior"))</f>
        <v>Senior</v>
      </c>
      <c r="T2342" s="1">
        <f>Table1[[#This Row],[Purchase Amount (USD)]]</f>
        <v>24</v>
      </c>
      <c r="U2342">
        <f>IF(Table1[[#This Row],[Subscription Status]]="Yes",1,IF(Table1[[#This Row],[Subscription Status]]="No",0))</f>
        <v>0</v>
      </c>
    </row>
    <row r="2343" spans="1:21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  <c r="S2343" t="str">
        <f>IF(Table1[[#This Row],[Age]]&lt;=25,"Young",IF(Table1[[#This Row],[Age]]&lt;=50,"Adult","Senior"))</f>
        <v>Senior</v>
      </c>
      <c r="T2343" s="1">
        <f>Table1[[#This Row],[Purchase Amount (USD)]]</f>
        <v>31</v>
      </c>
      <c r="U2343">
        <f>IF(Table1[[#This Row],[Subscription Status]]="Yes",1,IF(Table1[[#This Row],[Subscription Status]]="No",0))</f>
        <v>0</v>
      </c>
    </row>
    <row r="2344" spans="1:21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  <c r="S2344" t="str">
        <f>IF(Table1[[#This Row],[Age]]&lt;=25,"Young",IF(Table1[[#This Row],[Age]]&lt;=50,"Adult","Senior"))</f>
        <v>Young</v>
      </c>
      <c r="T2344" s="1">
        <f>Table1[[#This Row],[Purchase Amount (USD)]]</f>
        <v>89</v>
      </c>
      <c r="U2344">
        <f>IF(Table1[[#This Row],[Subscription Status]]="Yes",1,IF(Table1[[#This Row],[Subscription Status]]="No",0))</f>
        <v>0</v>
      </c>
    </row>
    <row r="2345" spans="1:21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  <c r="S2345" t="str">
        <f>IF(Table1[[#This Row],[Age]]&lt;=25,"Young",IF(Table1[[#This Row],[Age]]&lt;=50,"Adult","Senior"))</f>
        <v>Senior</v>
      </c>
      <c r="T2345" s="1">
        <f>Table1[[#This Row],[Purchase Amount (USD)]]</f>
        <v>49</v>
      </c>
      <c r="U2345">
        <f>IF(Table1[[#This Row],[Subscription Status]]="Yes",1,IF(Table1[[#This Row],[Subscription Status]]="No",0))</f>
        <v>0</v>
      </c>
    </row>
    <row r="2346" spans="1:21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  <c r="S2346" t="str">
        <f>IF(Table1[[#This Row],[Age]]&lt;=25,"Young",IF(Table1[[#This Row],[Age]]&lt;=50,"Adult","Senior"))</f>
        <v>Adult</v>
      </c>
      <c r="T2346" s="1">
        <f>Table1[[#This Row],[Purchase Amount (USD)]]</f>
        <v>92</v>
      </c>
      <c r="U2346">
        <f>IF(Table1[[#This Row],[Subscription Status]]="Yes",1,IF(Table1[[#This Row],[Subscription Status]]="No",0))</f>
        <v>0</v>
      </c>
    </row>
    <row r="2347" spans="1:21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  <c r="S2347" t="str">
        <f>IF(Table1[[#This Row],[Age]]&lt;=25,"Young",IF(Table1[[#This Row],[Age]]&lt;=50,"Adult","Senior"))</f>
        <v>Adult</v>
      </c>
      <c r="T2347" s="1">
        <f>Table1[[#This Row],[Purchase Amount (USD)]]</f>
        <v>32</v>
      </c>
      <c r="U2347">
        <f>IF(Table1[[#This Row],[Subscription Status]]="Yes",1,IF(Table1[[#This Row],[Subscription Status]]="No",0))</f>
        <v>0</v>
      </c>
    </row>
    <row r="2348" spans="1:21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  <c r="S2348" t="str">
        <f>IF(Table1[[#This Row],[Age]]&lt;=25,"Young",IF(Table1[[#This Row],[Age]]&lt;=50,"Adult","Senior"))</f>
        <v>Young</v>
      </c>
      <c r="T2348" s="1">
        <f>Table1[[#This Row],[Purchase Amount (USD)]]</f>
        <v>67</v>
      </c>
      <c r="U2348">
        <f>IF(Table1[[#This Row],[Subscription Status]]="Yes",1,IF(Table1[[#This Row],[Subscription Status]]="No",0))</f>
        <v>0</v>
      </c>
    </row>
    <row r="2349" spans="1:21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  <c r="S2349" t="str">
        <f>IF(Table1[[#This Row],[Age]]&lt;=25,"Young",IF(Table1[[#This Row],[Age]]&lt;=50,"Adult","Senior"))</f>
        <v>Adult</v>
      </c>
      <c r="T2349" s="1">
        <f>Table1[[#This Row],[Purchase Amount (USD)]]</f>
        <v>64</v>
      </c>
      <c r="U2349">
        <f>IF(Table1[[#This Row],[Subscription Status]]="Yes",1,IF(Table1[[#This Row],[Subscription Status]]="No",0))</f>
        <v>0</v>
      </c>
    </row>
    <row r="2350" spans="1:21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  <c r="S2350" t="str">
        <f>IF(Table1[[#This Row],[Age]]&lt;=25,"Young",IF(Table1[[#This Row],[Age]]&lt;=50,"Adult","Senior"))</f>
        <v>Senior</v>
      </c>
      <c r="T2350" s="1">
        <f>Table1[[#This Row],[Purchase Amount (USD)]]</f>
        <v>84</v>
      </c>
      <c r="U2350">
        <f>IF(Table1[[#This Row],[Subscription Status]]="Yes",1,IF(Table1[[#This Row],[Subscription Status]]="No",0))</f>
        <v>0</v>
      </c>
    </row>
    <row r="2351" spans="1:21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  <c r="S2351" t="str">
        <f>IF(Table1[[#This Row],[Age]]&lt;=25,"Young",IF(Table1[[#This Row],[Age]]&lt;=50,"Adult","Senior"))</f>
        <v>Senior</v>
      </c>
      <c r="T2351" s="1">
        <f>Table1[[#This Row],[Purchase Amount (USD)]]</f>
        <v>34</v>
      </c>
      <c r="U2351">
        <f>IF(Table1[[#This Row],[Subscription Status]]="Yes",1,IF(Table1[[#This Row],[Subscription Status]]="No",0))</f>
        <v>0</v>
      </c>
    </row>
    <row r="2352" spans="1:21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  <c r="S2352" t="str">
        <f>IF(Table1[[#This Row],[Age]]&lt;=25,"Young",IF(Table1[[#This Row],[Age]]&lt;=50,"Adult","Senior"))</f>
        <v>Senior</v>
      </c>
      <c r="T2352" s="1">
        <f>Table1[[#This Row],[Purchase Amount (USD)]]</f>
        <v>26</v>
      </c>
      <c r="U2352">
        <f>IF(Table1[[#This Row],[Subscription Status]]="Yes",1,IF(Table1[[#This Row],[Subscription Status]]="No",0))</f>
        <v>0</v>
      </c>
    </row>
    <row r="2353" spans="1:21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  <c r="S2353" t="str">
        <f>IF(Table1[[#This Row],[Age]]&lt;=25,"Young",IF(Table1[[#This Row],[Age]]&lt;=50,"Adult","Senior"))</f>
        <v>Adult</v>
      </c>
      <c r="T2353" s="1">
        <f>Table1[[#This Row],[Purchase Amount (USD)]]</f>
        <v>50</v>
      </c>
      <c r="U2353">
        <f>IF(Table1[[#This Row],[Subscription Status]]="Yes",1,IF(Table1[[#This Row],[Subscription Status]]="No",0))</f>
        <v>0</v>
      </c>
    </row>
    <row r="2354" spans="1:21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  <c r="S2354" t="str">
        <f>IF(Table1[[#This Row],[Age]]&lt;=25,"Young",IF(Table1[[#This Row],[Age]]&lt;=50,"Adult","Senior"))</f>
        <v>Senior</v>
      </c>
      <c r="T2354" s="1">
        <f>Table1[[#This Row],[Purchase Amount (USD)]]</f>
        <v>46</v>
      </c>
      <c r="U2354">
        <f>IF(Table1[[#This Row],[Subscription Status]]="Yes",1,IF(Table1[[#This Row],[Subscription Status]]="No",0))</f>
        <v>0</v>
      </c>
    </row>
    <row r="2355" spans="1:21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  <c r="S2355" t="str">
        <f>IF(Table1[[#This Row],[Age]]&lt;=25,"Young",IF(Table1[[#This Row],[Age]]&lt;=50,"Adult","Senior"))</f>
        <v>Senior</v>
      </c>
      <c r="T2355" s="1">
        <f>Table1[[#This Row],[Purchase Amount (USD)]]</f>
        <v>71</v>
      </c>
      <c r="U2355">
        <f>IF(Table1[[#This Row],[Subscription Status]]="Yes",1,IF(Table1[[#This Row],[Subscription Status]]="No",0))</f>
        <v>0</v>
      </c>
    </row>
    <row r="2356" spans="1:21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  <c r="S2356" t="str">
        <f>IF(Table1[[#This Row],[Age]]&lt;=25,"Young",IF(Table1[[#This Row],[Age]]&lt;=50,"Adult","Senior"))</f>
        <v>Senior</v>
      </c>
      <c r="T2356" s="1">
        <f>Table1[[#This Row],[Purchase Amount (USD)]]</f>
        <v>78</v>
      </c>
      <c r="U2356">
        <f>IF(Table1[[#This Row],[Subscription Status]]="Yes",1,IF(Table1[[#This Row],[Subscription Status]]="No",0))</f>
        <v>0</v>
      </c>
    </row>
    <row r="2357" spans="1:21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  <c r="S2357" t="str">
        <f>IF(Table1[[#This Row],[Age]]&lt;=25,"Young",IF(Table1[[#This Row],[Age]]&lt;=50,"Adult","Senior"))</f>
        <v>Young</v>
      </c>
      <c r="T2357" s="1">
        <f>Table1[[#This Row],[Purchase Amount (USD)]]</f>
        <v>35</v>
      </c>
      <c r="U2357">
        <f>IF(Table1[[#This Row],[Subscription Status]]="Yes",1,IF(Table1[[#This Row],[Subscription Status]]="No",0))</f>
        <v>0</v>
      </c>
    </row>
    <row r="2358" spans="1:21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  <c r="S2358" t="str">
        <f>IF(Table1[[#This Row],[Age]]&lt;=25,"Young",IF(Table1[[#This Row],[Age]]&lt;=50,"Adult","Senior"))</f>
        <v>Senior</v>
      </c>
      <c r="T2358" s="1">
        <f>Table1[[#This Row],[Purchase Amount (USD)]]</f>
        <v>58</v>
      </c>
      <c r="U2358">
        <f>IF(Table1[[#This Row],[Subscription Status]]="Yes",1,IF(Table1[[#This Row],[Subscription Status]]="No",0))</f>
        <v>0</v>
      </c>
    </row>
    <row r="2359" spans="1:21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  <c r="S2359" t="str">
        <f>IF(Table1[[#This Row],[Age]]&lt;=25,"Young",IF(Table1[[#This Row],[Age]]&lt;=50,"Adult","Senior"))</f>
        <v>Senior</v>
      </c>
      <c r="T2359" s="1">
        <f>Table1[[#This Row],[Purchase Amount (USD)]]</f>
        <v>67</v>
      </c>
      <c r="U2359">
        <f>IF(Table1[[#This Row],[Subscription Status]]="Yes",1,IF(Table1[[#This Row],[Subscription Status]]="No",0))</f>
        <v>0</v>
      </c>
    </row>
    <row r="2360" spans="1:21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  <c r="S2360" t="str">
        <f>IF(Table1[[#This Row],[Age]]&lt;=25,"Young",IF(Table1[[#This Row],[Age]]&lt;=50,"Adult","Senior"))</f>
        <v>Senior</v>
      </c>
      <c r="T2360" s="1">
        <f>Table1[[#This Row],[Purchase Amount (USD)]]</f>
        <v>93</v>
      </c>
      <c r="U2360">
        <f>IF(Table1[[#This Row],[Subscription Status]]="Yes",1,IF(Table1[[#This Row],[Subscription Status]]="No",0))</f>
        <v>0</v>
      </c>
    </row>
    <row r="2361" spans="1:21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  <c r="S2361" t="str">
        <f>IF(Table1[[#This Row],[Age]]&lt;=25,"Young",IF(Table1[[#This Row],[Age]]&lt;=50,"Adult","Senior"))</f>
        <v>Young</v>
      </c>
      <c r="T2361" s="1">
        <f>Table1[[#This Row],[Purchase Amount (USD)]]</f>
        <v>81</v>
      </c>
      <c r="U2361">
        <f>IF(Table1[[#This Row],[Subscription Status]]="Yes",1,IF(Table1[[#This Row],[Subscription Status]]="No",0))</f>
        <v>0</v>
      </c>
    </row>
    <row r="2362" spans="1:21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  <c r="S2362" t="str">
        <f>IF(Table1[[#This Row],[Age]]&lt;=25,"Young",IF(Table1[[#This Row],[Age]]&lt;=50,"Adult","Senior"))</f>
        <v>Adult</v>
      </c>
      <c r="T2362" s="1">
        <f>Table1[[#This Row],[Purchase Amount (USD)]]</f>
        <v>80</v>
      </c>
      <c r="U2362">
        <f>IF(Table1[[#This Row],[Subscription Status]]="Yes",1,IF(Table1[[#This Row],[Subscription Status]]="No",0))</f>
        <v>0</v>
      </c>
    </row>
    <row r="2363" spans="1:21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  <c r="S2363" t="str">
        <f>IF(Table1[[#This Row],[Age]]&lt;=25,"Young",IF(Table1[[#This Row],[Age]]&lt;=50,"Adult","Senior"))</f>
        <v>Adult</v>
      </c>
      <c r="T2363" s="1">
        <f>Table1[[#This Row],[Purchase Amount (USD)]]</f>
        <v>64</v>
      </c>
      <c r="U2363">
        <f>IF(Table1[[#This Row],[Subscription Status]]="Yes",1,IF(Table1[[#This Row],[Subscription Status]]="No",0))</f>
        <v>0</v>
      </c>
    </row>
    <row r="2364" spans="1:21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  <c r="S2364" t="str">
        <f>IF(Table1[[#This Row],[Age]]&lt;=25,"Young",IF(Table1[[#This Row],[Age]]&lt;=50,"Adult","Senior"))</f>
        <v>Adult</v>
      </c>
      <c r="T2364" s="1">
        <f>Table1[[#This Row],[Purchase Amount (USD)]]</f>
        <v>41</v>
      </c>
      <c r="U2364">
        <f>IF(Table1[[#This Row],[Subscription Status]]="Yes",1,IF(Table1[[#This Row],[Subscription Status]]="No",0))</f>
        <v>0</v>
      </c>
    </row>
    <row r="2365" spans="1:21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  <c r="S2365" t="str">
        <f>IF(Table1[[#This Row],[Age]]&lt;=25,"Young",IF(Table1[[#This Row],[Age]]&lt;=50,"Adult","Senior"))</f>
        <v>Senior</v>
      </c>
      <c r="T2365" s="1">
        <f>Table1[[#This Row],[Purchase Amount (USD)]]</f>
        <v>79</v>
      </c>
      <c r="U2365">
        <f>IF(Table1[[#This Row],[Subscription Status]]="Yes",1,IF(Table1[[#This Row],[Subscription Status]]="No",0))</f>
        <v>0</v>
      </c>
    </row>
    <row r="2366" spans="1:21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  <c r="S2366" t="str">
        <f>IF(Table1[[#This Row],[Age]]&lt;=25,"Young",IF(Table1[[#This Row],[Age]]&lt;=50,"Adult","Senior"))</f>
        <v>Senior</v>
      </c>
      <c r="T2366" s="1">
        <f>Table1[[#This Row],[Purchase Amount (USD)]]</f>
        <v>60</v>
      </c>
      <c r="U2366">
        <f>IF(Table1[[#This Row],[Subscription Status]]="Yes",1,IF(Table1[[#This Row],[Subscription Status]]="No",0))</f>
        <v>0</v>
      </c>
    </row>
    <row r="2367" spans="1:21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  <c r="S2367" t="str">
        <f>IF(Table1[[#This Row],[Age]]&lt;=25,"Young",IF(Table1[[#This Row],[Age]]&lt;=50,"Adult","Senior"))</f>
        <v>Senior</v>
      </c>
      <c r="T2367" s="1">
        <f>Table1[[#This Row],[Purchase Amount (USD)]]</f>
        <v>91</v>
      </c>
      <c r="U2367">
        <f>IF(Table1[[#This Row],[Subscription Status]]="Yes",1,IF(Table1[[#This Row],[Subscription Status]]="No",0))</f>
        <v>0</v>
      </c>
    </row>
    <row r="2368" spans="1:21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  <c r="S2368" t="str">
        <f>IF(Table1[[#This Row],[Age]]&lt;=25,"Young",IF(Table1[[#This Row],[Age]]&lt;=50,"Adult","Senior"))</f>
        <v>Adult</v>
      </c>
      <c r="T2368" s="1">
        <f>Table1[[#This Row],[Purchase Amount (USD)]]</f>
        <v>66</v>
      </c>
      <c r="U2368">
        <f>IF(Table1[[#This Row],[Subscription Status]]="Yes",1,IF(Table1[[#This Row],[Subscription Status]]="No",0))</f>
        <v>0</v>
      </c>
    </row>
    <row r="2369" spans="1:21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  <c r="S2369" t="str">
        <f>IF(Table1[[#This Row],[Age]]&lt;=25,"Young",IF(Table1[[#This Row],[Age]]&lt;=50,"Adult","Senior"))</f>
        <v>Senior</v>
      </c>
      <c r="T2369" s="1">
        <f>Table1[[#This Row],[Purchase Amount (USD)]]</f>
        <v>85</v>
      </c>
      <c r="U2369">
        <f>IF(Table1[[#This Row],[Subscription Status]]="Yes",1,IF(Table1[[#This Row],[Subscription Status]]="No",0))</f>
        <v>0</v>
      </c>
    </row>
    <row r="2370" spans="1:21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  <c r="S2370" t="str">
        <f>IF(Table1[[#This Row],[Age]]&lt;=25,"Young",IF(Table1[[#This Row],[Age]]&lt;=50,"Adult","Senior"))</f>
        <v>Adult</v>
      </c>
      <c r="T2370" s="1">
        <f>Table1[[#This Row],[Purchase Amount (USD)]]</f>
        <v>38</v>
      </c>
      <c r="U2370">
        <f>IF(Table1[[#This Row],[Subscription Status]]="Yes",1,IF(Table1[[#This Row],[Subscription Status]]="No",0))</f>
        <v>0</v>
      </c>
    </row>
    <row r="2371" spans="1:21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  <c r="S2371" t="str">
        <f>IF(Table1[[#This Row],[Age]]&lt;=25,"Young",IF(Table1[[#This Row],[Age]]&lt;=50,"Adult","Senior"))</f>
        <v>Young</v>
      </c>
      <c r="T2371" s="1">
        <f>Table1[[#This Row],[Purchase Amount (USD)]]</f>
        <v>23</v>
      </c>
      <c r="U2371">
        <f>IF(Table1[[#This Row],[Subscription Status]]="Yes",1,IF(Table1[[#This Row],[Subscription Status]]="No",0))</f>
        <v>0</v>
      </c>
    </row>
    <row r="2372" spans="1:21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  <c r="S2372" t="str">
        <f>IF(Table1[[#This Row],[Age]]&lt;=25,"Young",IF(Table1[[#This Row],[Age]]&lt;=50,"Adult","Senior"))</f>
        <v>Senior</v>
      </c>
      <c r="T2372" s="1">
        <f>Table1[[#This Row],[Purchase Amount (USD)]]</f>
        <v>71</v>
      </c>
      <c r="U2372">
        <f>IF(Table1[[#This Row],[Subscription Status]]="Yes",1,IF(Table1[[#This Row],[Subscription Status]]="No",0))</f>
        <v>0</v>
      </c>
    </row>
    <row r="2373" spans="1:21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  <c r="S2373" t="str">
        <f>IF(Table1[[#This Row],[Age]]&lt;=25,"Young",IF(Table1[[#This Row],[Age]]&lt;=50,"Adult","Senior"))</f>
        <v>Senior</v>
      </c>
      <c r="T2373" s="1">
        <f>Table1[[#This Row],[Purchase Amount (USD)]]</f>
        <v>25</v>
      </c>
      <c r="U2373">
        <f>IF(Table1[[#This Row],[Subscription Status]]="Yes",1,IF(Table1[[#This Row],[Subscription Status]]="No",0))</f>
        <v>0</v>
      </c>
    </row>
    <row r="2374" spans="1:21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  <c r="S2374" t="str">
        <f>IF(Table1[[#This Row],[Age]]&lt;=25,"Young",IF(Table1[[#This Row],[Age]]&lt;=50,"Adult","Senior"))</f>
        <v>Adult</v>
      </c>
      <c r="T2374" s="1">
        <f>Table1[[#This Row],[Purchase Amount (USD)]]</f>
        <v>39</v>
      </c>
      <c r="U2374">
        <f>IF(Table1[[#This Row],[Subscription Status]]="Yes",1,IF(Table1[[#This Row],[Subscription Status]]="No",0))</f>
        <v>0</v>
      </c>
    </row>
    <row r="2375" spans="1:21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  <c r="S2375" t="str">
        <f>IF(Table1[[#This Row],[Age]]&lt;=25,"Young",IF(Table1[[#This Row],[Age]]&lt;=50,"Adult","Senior"))</f>
        <v>Adult</v>
      </c>
      <c r="T2375" s="1">
        <f>Table1[[#This Row],[Purchase Amount (USD)]]</f>
        <v>20</v>
      </c>
      <c r="U2375">
        <f>IF(Table1[[#This Row],[Subscription Status]]="Yes",1,IF(Table1[[#This Row],[Subscription Status]]="No",0))</f>
        <v>0</v>
      </c>
    </row>
    <row r="2376" spans="1:21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  <c r="S2376" t="str">
        <f>IF(Table1[[#This Row],[Age]]&lt;=25,"Young",IF(Table1[[#This Row],[Age]]&lt;=50,"Adult","Senior"))</f>
        <v>Senior</v>
      </c>
      <c r="T2376" s="1">
        <f>Table1[[#This Row],[Purchase Amount (USD)]]</f>
        <v>73</v>
      </c>
      <c r="U2376">
        <f>IF(Table1[[#This Row],[Subscription Status]]="Yes",1,IF(Table1[[#This Row],[Subscription Status]]="No",0))</f>
        <v>0</v>
      </c>
    </row>
    <row r="2377" spans="1:21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  <c r="S2377" t="str">
        <f>IF(Table1[[#This Row],[Age]]&lt;=25,"Young",IF(Table1[[#This Row],[Age]]&lt;=50,"Adult","Senior"))</f>
        <v>Senior</v>
      </c>
      <c r="T2377" s="1">
        <f>Table1[[#This Row],[Purchase Amount (USD)]]</f>
        <v>63</v>
      </c>
      <c r="U2377">
        <f>IF(Table1[[#This Row],[Subscription Status]]="Yes",1,IF(Table1[[#This Row],[Subscription Status]]="No",0))</f>
        <v>0</v>
      </c>
    </row>
    <row r="2378" spans="1:21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  <c r="S2378" t="str">
        <f>IF(Table1[[#This Row],[Age]]&lt;=25,"Young",IF(Table1[[#This Row],[Age]]&lt;=50,"Adult","Senior"))</f>
        <v>Young</v>
      </c>
      <c r="T2378" s="1">
        <f>Table1[[#This Row],[Purchase Amount (USD)]]</f>
        <v>94</v>
      </c>
      <c r="U2378">
        <f>IF(Table1[[#This Row],[Subscription Status]]="Yes",1,IF(Table1[[#This Row],[Subscription Status]]="No",0))</f>
        <v>0</v>
      </c>
    </row>
    <row r="2379" spans="1:21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  <c r="S2379" t="str">
        <f>IF(Table1[[#This Row],[Age]]&lt;=25,"Young",IF(Table1[[#This Row],[Age]]&lt;=50,"Adult","Senior"))</f>
        <v>Adult</v>
      </c>
      <c r="T2379" s="1">
        <f>Table1[[#This Row],[Purchase Amount (USD)]]</f>
        <v>94</v>
      </c>
      <c r="U2379">
        <f>IF(Table1[[#This Row],[Subscription Status]]="Yes",1,IF(Table1[[#This Row],[Subscription Status]]="No",0))</f>
        <v>0</v>
      </c>
    </row>
    <row r="2380" spans="1:21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  <c r="S2380" t="str">
        <f>IF(Table1[[#This Row],[Age]]&lt;=25,"Young",IF(Table1[[#This Row],[Age]]&lt;=50,"Adult","Senior"))</f>
        <v>Adult</v>
      </c>
      <c r="T2380" s="1">
        <f>Table1[[#This Row],[Purchase Amount (USD)]]</f>
        <v>71</v>
      </c>
      <c r="U2380">
        <f>IF(Table1[[#This Row],[Subscription Status]]="Yes",1,IF(Table1[[#This Row],[Subscription Status]]="No",0))</f>
        <v>0</v>
      </c>
    </row>
    <row r="2381" spans="1:21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  <c r="S2381" t="str">
        <f>IF(Table1[[#This Row],[Age]]&lt;=25,"Young",IF(Table1[[#This Row],[Age]]&lt;=50,"Adult","Senior"))</f>
        <v>Adult</v>
      </c>
      <c r="T2381" s="1">
        <f>Table1[[#This Row],[Purchase Amount (USD)]]</f>
        <v>77</v>
      </c>
      <c r="U2381">
        <f>IF(Table1[[#This Row],[Subscription Status]]="Yes",1,IF(Table1[[#This Row],[Subscription Status]]="No",0))</f>
        <v>0</v>
      </c>
    </row>
    <row r="2382" spans="1:21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  <c r="S2382" t="str">
        <f>IF(Table1[[#This Row],[Age]]&lt;=25,"Young",IF(Table1[[#This Row],[Age]]&lt;=50,"Adult","Senior"))</f>
        <v>Adult</v>
      </c>
      <c r="T2382" s="1">
        <f>Table1[[#This Row],[Purchase Amount (USD)]]</f>
        <v>66</v>
      </c>
      <c r="U2382">
        <f>IF(Table1[[#This Row],[Subscription Status]]="Yes",1,IF(Table1[[#This Row],[Subscription Status]]="No",0))</f>
        <v>0</v>
      </c>
    </row>
    <row r="2383" spans="1:21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  <c r="S2383" t="str">
        <f>IF(Table1[[#This Row],[Age]]&lt;=25,"Young",IF(Table1[[#This Row],[Age]]&lt;=50,"Adult","Senior"))</f>
        <v>Senior</v>
      </c>
      <c r="T2383" s="1">
        <f>Table1[[#This Row],[Purchase Amount (USD)]]</f>
        <v>23</v>
      </c>
      <c r="U2383">
        <f>IF(Table1[[#This Row],[Subscription Status]]="Yes",1,IF(Table1[[#This Row],[Subscription Status]]="No",0))</f>
        <v>0</v>
      </c>
    </row>
    <row r="2384" spans="1:21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  <c r="S2384" t="str">
        <f>IF(Table1[[#This Row],[Age]]&lt;=25,"Young",IF(Table1[[#This Row],[Age]]&lt;=50,"Adult","Senior"))</f>
        <v>Adult</v>
      </c>
      <c r="T2384" s="1">
        <f>Table1[[#This Row],[Purchase Amount (USD)]]</f>
        <v>60</v>
      </c>
      <c r="U2384">
        <f>IF(Table1[[#This Row],[Subscription Status]]="Yes",1,IF(Table1[[#This Row],[Subscription Status]]="No",0))</f>
        <v>0</v>
      </c>
    </row>
    <row r="2385" spans="1:21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  <c r="S2385" t="str">
        <f>IF(Table1[[#This Row],[Age]]&lt;=25,"Young",IF(Table1[[#This Row],[Age]]&lt;=50,"Adult","Senior"))</f>
        <v>Senior</v>
      </c>
      <c r="T2385" s="1">
        <f>Table1[[#This Row],[Purchase Amount (USD)]]</f>
        <v>72</v>
      </c>
      <c r="U2385">
        <f>IF(Table1[[#This Row],[Subscription Status]]="Yes",1,IF(Table1[[#This Row],[Subscription Status]]="No",0))</f>
        <v>0</v>
      </c>
    </row>
    <row r="2386" spans="1:21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  <c r="S2386" t="str">
        <f>IF(Table1[[#This Row],[Age]]&lt;=25,"Young",IF(Table1[[#This Row],[Age]]&lt;=50,"Adult","Senior"))</f>
        <v>Young</v>
      </c>
      <c r="T2386" s="1">
        <f>Table1[[#This Row],[Purchase Amount (USD)]]</f>
        <v>35</v>
      </c>
      <c r="U2386">
        <f>IF(Table1[[#This Row],[Subscription Status]]="Yes",1,IF(Table1[[#This Row],[Subscription Status]]="No",0))</f>
        <v>0</v>
      </c>
    </row>
    <row r="2387" spans="1:21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  <c r="S2387" t="str">
        <f>IF(Table1[[#This Row],[Age]]&lt;=25,"Young",IF(Table1[[#This Row],[Age]]&lt;=50,"Adult","Senior"))</f>
        <v>Adult</v>
      </c>
      <c r="T2387" s="1">
        <f>Table1[[#This Row],[Purchase Amount (USD)]]</f>
        <v>31</v>
      </c>
      <c r="U2387">
        <f>IF(Table1[[#This Row],[Subscription Status]]="Yes",1,IF(Table1[[#This Row],[Subscription Status]]="No",0))</f>
        <v>0</v>
      </c>
    </row>
    <row r="2388" spans="1:21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  <c r="S2388" t="str">
        <f>IF(Table1[[#This Row],[Age]]&lt;=25,"Young",IF(Table1[[#This Row],[Age]]&lt;=50,"Adult","Senior"))</f>
        <v>Young</v>
      </c>
      <c r="T2388" s="1">
        <f>Table1[[#This Row],[Purchase Amount (USD)]]</f>
        <v>33</v>
      </c>
      <c r="U2388">
        <f>IF(Table1[[#This Row],[Subscription Status]]="Yes",1,IF(Table1[[#This Row],[Subscription Status]]="No",0))</f>
        <v>0</v>
      </c>
    </row>
    <row r="2389" spans="1:21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  <c r="S2389" t="str">
        <f>IF(Table1[[#This Row],[Age]]&lt;=25,"Young",IF(Table1[[#This Row],[Age]]&lt;=50,"Adult","Senior"))</f>
        <v>Adult</v>
      </c>
      <c r="T2389" s="1">
        <f>Table1[[#This Row],[Purchase Amount (USD)]]</f>
        <v>95</v>
      </c>
      <c r="U2389">
        <f>IF(Table1[[#This Row],[Subscription Status]]="Yes",1,IF(Table1[[#This Row],[Subscription Status]]="No",0))</f>
        <v>0</v>
      </c>
    </row>
    <row r="2390" spans="1:21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  <c r="S2390" t="str">
        <f>IF(Table1[[#This Row],[Age]]&lt;=25,"Young",IF(Table1[[#This Row],[Age]]&lt;=50,"Adult","Senior"))</f>
        <v>Young</v>
      </c>
      <c r="T2390" s="1">
        <f>Table1[[#This Row],[Purchase Amount (USD)]]</f>
        <v>68</v>
      </c>
      <c r="U2390">
        <f>IF(Table1[[#This Row],[Subscription Status]]="Yes",1,IF(Table1[[#This Row],[Subscription Status]]="No",0))</f>
        <v>0</v>
      </c>
    </row>
    <row r="2391" spans="1:21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  <c r="S2391" t="str">
        <f>IF(Table1[[#This Row],[Age]]&lt;=25,"Young",IF(Table1[[#This Row],[Age]]&lt;=50,"Adult","Senior"))</f>
        <v>Young</v>
      </c>
      <c r="T2391" s="1">
        <f>Table1[[#This Row],[Purchase Amount (USD)]]</f>
        <v>87</v>
      </c>
      <c r="U2391">
        <f>IF(Table1[[#This Row],[Subscription Status]]="Yes",1,IF(Table1[[#This Row],[Subscription Status]]="No",0))</f>
        <v>0</v>
      </c>
    </row>
    <row r="2392" spans="1:21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  <c r="S2392" t="str">
        <f>IF(Table1[[#This Row],[Age]]&lt;=25,"Young",IF(Table1[[#This Row],[Age]]&lt;=50,"Adult","Senior"))</f>
        <v>Senior</v>
      </c>
      <c r="T2392" s="1">
        <f>Table1[[#This Row],[Purchase Amount (USD)]]</f>
        <v>64</v>
      </c>
      <c r="U2392">
        <f>IF(Table1[[#This Row],[Subscription Status]]="Yes",1,IF(Table1[[#This Row],[Subscription Status]]="No",0))</f>
        <v>0</v>
      </c>
    </row>
    <row r="2393" spans="1:21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  <c r="S2393" t="str">
        <f>IF(Table1[[#This Row],[Age]]&lt;=25,"Young",IF(Table1[[#This Row],[Age]]&lt;=50,"Adult","Senior"))</f>
        <v>Adult</v>
      </c>
      <c r="T2393" s="1">
        <f>Table1[[#This Row],[Purchase Amount (USD)]]</f>
        <v>74</v>
      </c>
      <c r="U2393">
        <f>IF(Table1[[#This Row],[Subscription Status]]="Yes",1,IF(Table1[[#This Row],[Subscription Status]]="No",0))</f>
        <v>0</v>
      </c>
    </row>
    <row r="2394" spans="1:21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  <c r="S2394" t="str">
        <f>IF(Table1[[#This Row],[Age]]&lt;=25,"Young",IF(Table1[[#This Row],[Age]]&lt;=50,"Adult","Senior"))</f>
        <v>Adult</v>
      </c>
      <c r="T2394" s="1">
        <f>Table1[[#This Row],[Purchase Amount (USD)]]</f>
        <v>62</v>
      </c>
      <c r="U2394">
        <f>IF(Table1[[#This Row],[Subscription Status]]="Yes",1,IF(Table1[[#This Row],[Subscription Status]]="No",0))</f>
        <v>0</v>
      </c>
    </row>
    <row r="2395" spans="1:21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  <c r="S2395" t="str">
        <f>IF(Table1[[#This Row],[Age]]&lt;=25,"Young",IF(Table1[[#This Row],[Age]]&lt;=50,"Adult","Senior"))</f>
        <v>Senior</v>
      </c>
      <c r="T2395" s="1">
        <f>Table1[[#This Row],[Purchase Amount (USD)]]</f>
        <v>97</v>
      </c>
      <c r="U2395">
        <f>IF(Table1[[#This Row],[Subscription Status]]="Yes",1,IF(Table1[[#This Row],[Subscription Status]]="No",0))</f>
        <v>0</v>
      </c>
    </row>
    <row r="2396" spans="1:21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  <c r="S2396" t="str">
        <f>IF(Table1[[#This Row],[Age]]&lt;=25,"Young",IF(Table1[[#This Row],[Age]]&lt;=50,"Adult","Senior"))</f>
        <v>Adult</v>
      </c>
      <c r="T2396" s="1">
        <f>Table1[[#This Row],[Purchase Amount (USD)]]</f>
        <v>47</v>
      </c>
      <c r="U2396">
        <f>IF(Table1[[#This Row],[Subscription Status]]="Yes",1,IF(Table1[[#This Row],[Subscription Status]]="No",0))</f>
        <v>0</v>
      </c>
    </row>
    <row r="2397" spans="1:21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  <c r="S2397" t="str">
        <f>IF(Table1[[#This Row],[Age]]&lt;=25,"Young",IF(Table1[[#This Row],[Age]]&lt;=50,"Adult","Senior"))</f>
        <v>Senior</v>
      </c>
      <c r="T2397" s="1">
        <f>Table1[[#This Row],[Purchase Amount (USD)]]</f>
        <v>83</v>
      </c>
      <c r="U2397">
        <f>IF(Table1[[#This Row],[Subscription Status]]="Yes",1,IF(Table1[[#This Row],[Subscription Status]]="No",0))</f>
        <v>0</v>
      </c>
    </row>
    <row r="2398" spans="1:21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  <c r="S2398" t="str">
        <f>IF(Table1[[#This Row],[Age]]&lt;=25,"Young",IF(Table1[[#This Row],[Age]]&lt;=50,"Adult","Senior"))</f>
        <v>Adult</v>
      </c>
      <c r="T2398" s="1">
        <f>Table1[[#This Row],[Purchase Amount (USD)]]</f>
        <v>82</v>
      </c>
      <c r="U2398">
        <f>IF(Table1[[#This Row],[Subscription Status]]="Yes",1,IF(Table1[[#This Row],[Subscription Status]]="No",0))</f>
        <v>0</v>
      </c>
    </row>
    <row r="2399" spans="1:21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  <c r="S2399" t="str">
        <f>IF(Table1[[#This Row],[Age]]&lt;=25,"Young",IF(Table1[[#This Row],[Age]]&lt;=50,"Adult","Senior"))</f>
        <v>Adult</v>
      </c>
      <c r="T2399" s="1">
        <f>Table1[[#This Row],[Purchase Amount (USD)]]</f>
        <v>26</v>
      </c>
      <c r="U2399">
        <f>IF(Table1[[#This Row],[Subscription Status]]="Yes",1,IF(Table1[[#This Row],[Subscription Status]]="No",0))</f>
        <v>0</v>
      </c>
    </row>
    <row r="2400" spans="1:21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  <c r="S2400" t="str">
        <f>IF(Table1[[#This Row],[Age]]&lt;=25,"Young",IF(Table1[[#This Row],[Age]]&lt;=50,"Adult","Senior"))</f>
        <v>Senior</v>
      </c>
      <c r="T2400" s="1">
        <f>Table1[[#This Row],[Purchase Amount (USD)]]</f>
        <v>81</v>
      </c>
      <c r="U2400">
        <f>IF(Table1[[#This Row],[Subscription Status]]="Yes",1,IF(Table1[[#This Row],[Subscription Status]]="No",0))</f>
        <v>0</v>
      </c>
    </row>
    <row r="2401" spans="1:21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  <c r="S2401" t="str">
        <f>IF(Table1[[#This Row],[Age]]&lt;=25,"Young",IF(Table1[[#This Row],[Age]]&lt;=50,"Adult","Senior"))</f>
        <v>Senior</v>
      </c>
      <c r="T2401" s="1">
        <f>Table1[[#This Row],[Purchase Amount (USD)]]</f>
        <v>44</v>
      </c>
      <c r="U2401">
        <f>IF(Table1[[#This Row],[Subscription Status]]="Yes",1,IF(Table1[[#This Row],[Subscription Status]]="No",0))</f>
        <v>0</v>
      </c>
    </row>
    <row r="2402" spans="1:21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  <c r="S2402" t="str">
        <f>IF(Table1[[#This Row],[Age]]&lt;=25,"Young",IF(Table1[[#This Row],[Age]]&lt;=50,"Adult","Senior"))</f>
        <v>Adult</v>
      </c>
      <c r="T2402" s="1">
        <f>Table1[[#This Row],[Purchase Amount (USD)]]</f>
        <v>88</v>
      </c>
      <c r="U2402">
        <f>IF(Table1[[#This Row],[Subscription Status]]="Yes",1,IF(Table1[[#This Row],[Subscription Status]]="No",0))</f>
        <v>0</v>
      </c>
    </row>
    <row r="2403" spans="1:21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  <c r="S2403" t="str">
        <f>IF(Table1[[#This Row],[Age]]&lt;=25,"Young",IF(Table1[[#This Row],[Age]]&lt;=50,"Adult","Senior"))</f>
        <v>Adult</v>
      </c>
      <c r="T2403" s="1">
        <f>Table1[[#This Row],[Purchase Amount (USD)]]</f>
        <v>76</v>
      </c>
      <c r="U2403">
        <f>IF(Table1[[#This Row],[Subscription Status]]="Yes",1,IF(Table1[[#This Row],[Subscription Status]]="No",0))</f>
        <v>0</v>
      </c>
    </row>
    <row r="2404" spans="1:21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  <c r="S2404" t="str">
        <f>IF(Table1[[#This Row],[Age]]&lt;=25,"Young",IF(Table1[[#This Row],[Age]]&lt;=50,"Adult","Senior"))</f>
        <v>Adult</v>
      </c>
      <c r="T2404" s="1">
        <f>Table1[[#This Row],[Purchase Amount (USD)]]</f>
        <v>89</v>
      </c>
      <c r="U2404">
        <f>IF(Table1[[#This Row],[Subscription Status]]="Yes",1,IF(Table1[[#This Row],[Subscription Status]]="No",0))</f>
        <v>0</v>
      </c>
    </row>
    <row r="2405" spans="1:21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  <c r="S2405" t="str">
        <f>IF(Table1[[#This Row],[Age]]&lt;=25,"Young",IF(Table1[[#This Row],[Age]]&lt;=50,"Adult","Senior"))</f>
        <v>Senior</v>
      </c>
      <c r="T2405" s="1">
        <f>Table1[[#This Row],[Purchase Amount (USD)]]</f>
        <v>22</v>
      </c>
      <c r="U2405">
        <f>IF(Table1[[#This Row],[Subscription Status]]="Yes",1,IF(Table1[[#This Row],[Subscription Status]]="No",0))</f>
        <v>0</v>
      </c>
    </row>
    <row r="2406" spans="1:21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  <c r="S2406" t="str">
        <f>IF(Table1[[#This Row],[Age]]&lt;=25,"Young",IF(Table1[[#This Row],[Age]]&lt;=50,"Adult","Senior"))</f>
        <v>Adult</v>
      </c>
      <c r="T2406" s="1">
        <f>Table1[[#This Row],[Purchase Amount (USD)]]</f>
        <v>33</v>
      </c>
      <c r="U2406">
        <f>IF(Table1[[#This Row],[Subscription Status]]="Yes",1,IF(Table1[[#This Row],[Subscription Status]]="No",0))</f>
        <v>0</v>
      </c>
    </row>
    <row r="2407" spans="1:21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  <c r="S2407" t="str">
        <f>IF(Table1[[#This Row],[Age]]&lt;=25,"Young",IF(Table1[[#This Row],[Age]]&lt;=50,"Adult","Senior"))</f>
        <v>Senior</v>
      </c>
      <c r="T2407" s="1">
        <f>Table1[[#This Row],[Purchase Amount (USD)]]</f>
        <v>97</v>
      </c>
      <c r="U2407">
        <f>IF(Table1[[#This Row],[Subscription Status]]="Yes",1,IF(Table1[[#This Row],[Subscription Status]]="No",0))</f>
        <v>0</v>
      </c>
    </row>
    <row r="2408" spans="1:21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  <c r="S2408" t="str">
        <f>IF(Table1[[#This Row],[Age]]&lt;=25,"Young",IF(Table1[[#This Row],[Age]]&lt;=50,"Adult","Senior"))</f>
        <v>Senior</v>
      </c>
      <c r="T2408" s="1">
        <f>Table1[[#This Row],[Purchase Amount (USD)]]</f>
        <v>57</v>
      </c>
      <c r="U2408">
        <f>IF(Table1[[#This Row],[Subscription Status]]="Yes",1,IF(Table1[[#This Row],[Subscription Status]]="No",0))</f>
        <v>0</v>
      </c>
    </row>
    <row r="2409" spans="1:21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  <c r="S2409" t="str">
        <f>IF(Table1[[#This Row],[Age]]&lt;=25,"Young",IF(Table1[[#This Row],[Age]]&lt;=50,"Adult","Senior"))</f>
        <v>Senior</v>
      </c>
      <c r="T2409" s="1">
        <f>Table1[[#This Row],[Purchase Amount (USD)]]</f>
        <v>38</v>
      </c>
      <c r="U2409">
        <f>IF(Table1[[#This Row],[Subscription Status]]="Yes",1,IF(Table1[[#This Row],[Subscription Status]]="No",0))</f>
        <v>0</v>
      </c>
    </row>
    <row r="2410" spans="1:21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  <c r="S2410" t="str">
        <f>IF(Table1[[#This Row],[Age]]&lt;=25,"Young",IF(Table1[[#This Row],[Age]]&lt;=50,"Adult","Senior"))</f>
        <v>Young</v>
      </c>
      <c r="T2410" s="1">
        <f>Table1[[#This Row],[Purchase Amount (USD)]]</f>
        <v>55</v>
      </c>
      <c r="U2410">
        <f>IF(Table1[[#This Row],[Subscription Status]]="Yes",1,IF(Table1[[#This Row],[Subscription Status]]="No",0))</f>
        <v>0</v>
      </c>
    </row>
    <row r="2411" spans="1:21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  <c r="S2411" t="str">
        <f>IF(Table1[[#This Row],[Age]]&lt;=25,"Young",IF(Table1[[#This Row],[Age]]&lt;=50,"Adult","Senior"))</f>
        <v>Adult</v>
      </c>
      <c r="T2411" s="1">
        <f>Table1[[#This Row],[Purchase Amount (USD)]]</f>
        <v>37</v>
      </c>
      <c r="U2411">
        <f>IF(Table1[[#This Row],[Subscription Status]]="Yes",1,IF(Table1[[#This Row],[Subscription Status]]="No",0))</f>
        <v>0</v>
      </c>
    </row>
    <row r="2412" spans="1:21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  <c r="S2412" t="str">
        <f>IF(Table1[[#This Row],[Age]]&lt;=25,"Young",IF(Table1[[#This Row],[Age]]&lt;=50,"Adult","Senior"))</f>
        <v>Adult</v>
      </c>
      <c r="T2412" s="1">
        <f>Table1[[#This Row],[Purchase Amount (USD)]]</f>
        <v>43</v>
      </c>
      <c r="U2412">
        <f>IF(Table1[[#This Row],[Subscription Status]]="Yes",1,IF(Table1[[#This Row],[Subscription Status]]="No",0))</f>
        <v>0</v>
      </c>
    </row>
    <row r="2413" spans="1:21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  <c r="S2413" t="str">
        <f>IF(Table1[[#This Row],[Age]]&lt;=25,"Young",IF(Table1[[#This Row],[Age]]&lt;=50,"Adult","Senior"))</f>
        <v>Adult</v>
      </c>
      <c r="T2413" s="1">
        <f>Table1[[#This Row],[Purchase Amount (USD)]]</f>
        <v>96</v>
      </c>
      <c r="U2413">
        <f>IF(Table1[[#This Row],[Subscription Status]]="Yes",1,IF(Table1[[#This Row],[Subscription Status]]="No",0))</f>
        <v>0</v>
      </c>
    </row>
    <row r="2414" spans="1:21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  <c r="S2414" t="str">
        <f>IF(Table1[[#This Row],[Age]]&lt;=25,"Young",IF(Table1[[#This Row],[Age]]&lt;=50,"Adult","Senior"))</f>
        <v>Senior</v>
      </c>
      <c r="T2414" s="1">
        <f>Table1[[#This Row],[Purchase Amount (USD)]]</f>
        <v>51</v>
      </c>
      <c r="U2414">
        <f>IF(Table1[[#This Row],[Subscription Status]]="Yes",1,IF(Table1[[#This Row],[Subscription Status]]="No",0))</f>
        <v>0</v>
      </c>
    </row>
    <row r="2415" spans="1:21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  <c r="S2415" t="str">
        <f>IF(Table1[[#This Row],[Age]]&lt;=25,"Young",IF(Table1[[#This Row],[Age]]&lt;=50,"Adult","Senior"))</f>
        <v>Senior</v>
      </c>
      <c r="T2415" s="1">
        <f>Table1[[#This Row],[Purchase Amount (USD)]]</f>
        <v>95</v>
      </c>
      <c r="U2415">
        <f>IF(Table1[[#This Row],[Subscription Status]]="Yes",1,IF(Table1[[#This Row],[Subscription Status]]="No",0))</f>
        <v>0</v>
      </c>
    </row>
    <row r="2416" spans="1:21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  <c r="S2416" t="str">
        <f>IF(Table1[[#This Row],[Age]]&lt;=25,"Young",IF(Table1[[#This Row],[Age]]&lt;=50,"Adult","Senior"))</f>
        <v>Adult</v>
      </c>
      <c r="T2416" s="1">
        <f>Table1[[#This Row],[Purchase Amount (USD)]]</f>
        <v>26</v>
      </c>
      <c r="U2416">
        <f>IF(Table1[[#This Row],[Subscription Status]]="Yes",1,IF(Table1[[#This Row],[Subscription Status]]="No",0))</f>
        <v>0</v>
      </c>
    </row>
    <row r="2417" spans="1:21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  <c r="S2417" t="str">
        <f>IF(Table1[[#This Row],[Age]]&lt;=25,"Young",IF(Table1[[#This Row],[Age]]&lt;=50,"Adult","Senior"))</f>
        <v>Young</v>
      </c>
      <c r="T2417" s="1">
        <f>Table1[[#This Row],[Purchase Amount (USD)]]</f>
        <v>34</v>
      </c>
      <c r="U2417">
        <f>IF(Table1[[#This Row],[Subscription Status]]="Yes",1,IF(Table1[[#This Row],[Subscription Status]]="No",0))</f>
        <v>0</v>
      </c>
    </row>
    <row r="2418" spans="1:21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  <c r="S2418" t="str">
        <f>IF(Table1[[#This Row],[Age]]&lt;=25,"Young",IF(Table1[[#This Row],[Age]]&lt;=50,"Adult","Senior"))</f>
        <v>Senior</v>
      </c>
      <c r="T2418" s="1">
        <f>Table1[[#This Row],[Purchase Amount (USD)]]</f>
        <v>83</v>
      </c>
      <c r="U2418">
        <f>IF(Table1[[#This Row],[Subscription Status]]="Yes",1,IF(Table1[[#This Row],[Subscription Status]]="No",0))</f>
        <v>0</v>
      </c>
    </row>
    <row r="2419" spans="1:21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  <c r="S2419" t="str">
        <f>IF(Table1[[#This Row],[Age]]&lt;=25,"Young",IF(Table1[[#This Row],[Age]]&lt;=50,"Adult","Senior"))</f>
        <v>Young</v>
      </c>
      <c r="T2419" s="1">
        <f>Table1[[#This Row],[Purchase Amount (USD)]]</f>
        <v>24</v>
      </c>
      <c r="U2419">
        <f>IF(Table1[[#This Row],[Subscription Status]]="Yes",1,IF(Table1[[#This Row],[Subscription Status]]="No",0))</f>
        <v>0</v>
      </c>
    </row>
    <row r="2420" spans="1:21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  <c r="S2420" t="str">
        <f>IF(Table1[[#This Row],[Age]]&lt;=25,"Young",IF(Table1[[#This Row],[Age]]&lt;=50,"Adult","Senior"))</f>
        <v>Young</v>
      </c>
      <c r="T2420" s="1">
        <f>Table1[[#This Row],[Purchase Amount (USD)]]</f>
        <v>69</v>
      </c>
      <c r="U2420">
        <f>IF(Table1[[#This Row],[Subscription Status]]="Yes",1,IF(Table1[[#This Row],[Subscription Status]]="No",0))</f>
        <v>0</v>
      </c>
    </row>
    <row r="2421" spans="1:21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  <c r="S2421" t="str">
        <f>IF(Table1[[#This Row],[Age]]&lt;=25,"Young",IF(Table1[[#This Row],[Age]]&lt;=50,"Adult","Senior"))</f>
        <v>Adult</v>
      </c>
      <c r="T2421" s="1">
        <f>Table1[[#This Row],[Purchase Amount (USD)]]</f>
        <v>40</v>
      </c>
      <c r="U2421">
        <f>IF(Table1[[#This Row],[Subscription Status]]="Yes",1,IF(Table1[[#This Row],[Subscription Status]]="No",0))</f>
        <v>0</v>
      </c>
    </row>
    <row r="2422" spans="1:21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  <c r="S2422" t="str">
        <f>IF(Table1[[#This Row],[Age]]&lt;=25,"Young",IF(Table1[[#This Row],[Age]]&lt;=50,"Adult","Senior"))</f>
        <v>Adult</v>
      </c>
      <c r="T2422" s="1">
        <f>Table1[[#This Row],[Purchase Amount (USD)]]</f>
        <v>87</v>
      </c>
      <c r="U2422">
        <f>IF(Table1[[#This Row],[Subscription Status]]="Yes",1,IF(Table1[[#This Row],[Subscription Status]]="No",0))</f>
        <v>0</v>
      </c>
    </row>
    <row r="2423" spans="1:21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  <c r="S2423" t="str">
        <f>IF(Table1[[#This Row],[Age]]&lt;=25,"Young",IF(Table1[[#This Row],[Age]]&lt;=50,"Adult","Senior"))</f>
        <v>Adult</v>
      </c>
      <c r="T2423" s="1">
        <f>Table1[[#This Row],[Purchase Amount (USD)]]</f>
        <v>46</v>
      </c>
      <c r="U2423">
        <f>IF(Table1[[#This Row],[Subscription Status]]="Yes",1,IF(Table1[[#This Row],[Subscription Status]]="No",0))</f>
        <v>0</v>
      </c>
    </row>
    <row r="2424" spans="1:21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  <c r="S2424" t="str">
        <f>IF(Table1[[#This Row],[Age]]&lt;=25,"Young",IF(Table1[[#This Row],[Age]]&lt;=50,"Adult","Senior"))</f>
        <v>Adult</v>
      </c>
      <c r="T2424" s="1">
        <f>Table1[[#This Row],[Purchase Amount (USD)]]</f>
        <v>82</v>
      </c>
      <c r="U2424">
        <f>IF(Table1[[#This Row],[Subscription Status]]="Yes",1,IF(Table1[[#This Row],[Subscription Status]]="No",0))</f>
        <v>0</v>
      </c>
    </row>
    <row r="2425" spans="1:21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  <c r="S2425" t="str">
        <f>IF(Table1[[#This Row],[Age]]&lt;=25,"Young",IF(Table1[[#This Row],[Age]]&lt;=50,"Adult","Senior"))</f>
        <v>Adult</v>
      </c>
      <c r="T2425" s="1">
        <f>Table1[[#This Row],[Purchase Amount (USD)]]</f>
        <v>81</v>
      </c>
      <c r="U2425">
        <f>IF(Table1[[#This Row],[Subscription Status]]="Yes",1,IF(Table1[[#This Row],[Subscription Status]]="No",0))</f>
        <v>0</v>
      </c>
    </row>
    <row r="2426" spans="1:21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  <c r="S2426" t="str">
        <f>IF(Table1[[#This Row],[Age]]&lt;=25,"Young",IF(Table1[[#This Row],[Age]]&lt;=50,"Adult","Senior"))</f>
        <v>Adult</v>
      </c>
      <c r="T2426" s="1">
        <f>Table1[[#This Row],[Purchase Amount (USD)]]</f>
        <v>57</v>
      </c>
      <c r="U2426">
        <f>IF(Table1[[#This Row],[Subscription Status]]="Yes",1,IF(Table1[[#This Row],[Subscription Status]]="No",0))</f>
        <v>0</v>
      </c>
    </row>
    <row r="2427" spans="1:21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  <c r="S2427" t="str">
        <f>IF(Table1[[#This Row],[Age]]&lt;=25,"Young",IF(Table1[[#This Row],[Age]]&lt;=50,"Adult","Senior"))</f>
        <v>Senior</v>
      </c>
      <c r="T2427" s="1">
        <f>Table1[[#This Row],[Purchase Amount (USD)]]</f>
        <v>49</v>
      </c>
      <c r="U2427">
        <f>IF(Table1[[#This Row],[Subscription Status]]="Yes",1,IF(Table1[[#This Row],[Subscription Status]]="No",0))</f>
        <v>0</v>
      </c>
    </row>
    <row r="2428" spans="1:21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  <c r="S2428" t="str">
        <f>IF(Table1[[#This Row],[Age]]&lt;=25,"Young",IF(Table1[[#This Row],[Age]]&lt;=50,"Adult","Senior"))</f>
        <v>Senior</v>
      </c>
      <c r="T2428" s="1">
        <f>Table1[[#This Row],[Purchase Amount (USD)]]</f>
        <v>42</v>
      </c>
      <c r="U2428">
        <f>IF(Table1[[#This Row],[Subscription Status]]="Yes",1,IF(Table1[[#This Row],[Subscription Status]]="No",0))</f>
        <v>0</v>
      </c>
    </row>
    <row r="2429" spans="1:21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  <c r="S2429" t="str">
        <f>IF(Table1[[#This Row],[Age]]&lt;=25,"Young",IF(Table1[[#This Row],[Age]]&lt;=50,"Adult","Senior"))</f>
        <v>Adult</v>
      </c>
      <c r="T2429" s="1">
        <f>Table1[[#This Row],[Purchase Amount (USD)]]</f>
        <v>26</v>
      </c>
      <c r="U2429">
        <f>IF(Table1[[#This Row],[Subscription Status]]="Yes",1,IF(Table1[[#This Row],[Subscription Status]]="No",0))</f>
        <v>0</v>
      </c>
    </row>
    <row r="2430" spans="1:21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  <c r="S2430" t="str">
        <f>IF(Table1[[#This Row],[Age]]&lt;=25,"Young",IF(Table1[[#This Row],[Age]]&lt;=50,"Adult","Senior"))</f>
        <v>Senior</v>
      </c>
      <c r="T2430" s="1">
        <f>Table1[[#This Row],[Purchase Amount (USD)]]</f>
        <v>38</v>
      </c>
      <c r="U2430">
        <f>IF(Table1[[#This Row],[Subscription Status]]="Yes",1,IF(Table1[[#This Row],[Subscription Status]]="No",0))</f>
        <v>0</v>
      </c>
    </row>
    <row r="2431" spans="1:21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  <c r="S2431" t="str">
        <f>IF(Table1[[#This Row],[Age]]&lt;=25,"Young",IF(Table1[[#This Row],[Age]]&lt;=50,"Adult","Senior"))</f>
        <v>Senior</v>
      </c>
      <c r="T2431" s="1">
        <f>Table1[[#This Row],[Purchase Amount (USD)]]</f>
        <v>57</v>
      </c>
      <c r="U2431">
        <f>IF(Table1[[#This Row],[Subscription Status]]="Yes",1,IF(Table1[[#This Row],[Subscription Status]]="No",0))</f>
        <v>0</v>
      </c>
    </row>
    <row r="2432" spans="1:21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  <c r="S2432" t="str">
        <f>IF(Table1[[#This Row],[Age]]&lt;=25,"Young",IF(Table1[[#This Row],[Age]]&lt;=50,"Adult","Senior"))</f>
        <v>Young</v>
      </c>
      <c r="T2432" s="1">
        <f>Table1[[#This Row],[Purchase Amount (USD)]]</f>
        <v>100</v>
      </c>
      <c r="U2432">
        <f>IF(Table1[[#This Row],[Subscription Status]]="Yes",1,IF(Table1[[#This Row],[Subscription Status]]="No",0))</f>
        <v>0</v>
      </c>
    </row>
    <row r="2433" spans="1:21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  <c r="S2433" t="str">
        <f>IF(Table1[[#This Row],[Age]]&lt;=25,"Young",IF(Table1[[#This Row],[Age]]&lt;=50,"Adult","Senior"))</f>
        <v>Adult</v>
      </c>
      <c r="T2433" s="1">
        <f>Table1[[#This Row],[Purchase Amount (USD)]]</f>
        <v>73</v>
      </c>
      <c r="U2433">
        <f>IF(Table1[[#This Row],[Subscription Status]]="Yes",1,IF(Table1[[#This Row],[Subscription Status]]="No",0))</f>
        <v>0</v>
      </c>
    </row>
    <row r="2434" spans="1:21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  <c r="S2434" t="str">
        <f>IF(Table1[[#This Row],[Age]]&lt;=25,"Young",IF(Table1[[#This Row],[Age]]&lt;=50,"Adult","Senior"))</f>
        <v>Senior</v>
      </c>
      <c r="T2434" s="1">
        <f>Table1[[#This Row],[Purchase Amount (USD)]]</f>
        <v>66</v>
      </c>
      <c r="U2434">
        <f>IF(Table1[[#This Row],[Subscription Status]]="Yes",1,IF(Table1[[#This Row],[Subscription Status]]="No",0))</f>
        <v>0</v>
      </c>
    </row>
    <row r="2435" spans="1:21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  <c r="S2435" t="str">
        <f>IF(Table1[[#This Row],[Age]]&lt;=25,"Young",IF(Table1[[#This Row],[Age]]&lt;=50,"Adult","Senior"))</f>
        <v>Senior</v>
      </c>
      <c r="T2435" s="1">
        <f>Table1[[#This Row],[Purchase Amount (USD)]]</f>
        <v>73</v>
      </c>
      <c r="U2435">
        <f>IF(Table1[[#This Row],[Subscription Status]]="Yes",1,IF(Table1[[#This Row],[Subscription Status]]="No",0))</f>
        <v>0</v>
      </c>
    </row>
    <row r="2436" spans="1:21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  <c r="S2436" t="str">
        <f>IF(Table1[[#This Row],[Age]]&lt;=25,"Young",IF(Table1[[#This Row],[Age]]&lt;=50,"Adult","Senior"))</f>
        <v>Adult</v>
      </c>
      <c r="T2436" s="1">
        <f>Table1[[#This Row],[Purchase Amount (USD)]]</f>
        <v>45</v>
      </c>
      <c r="U2436">
        <f>IF(Table1[[#This Row],[Subscription Status]]="Yes",1,IF(Table1[[#This Row],[Subscription Status]]="No",0))</f>
        <v>0</v>
      </c>
    </row>
    <row r="2437" spans="1:21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  <c r="S2437" t="str">
        <f>IF(Table1[[#This Row],[Age]]&lt;=25,"Young",IF(Table1[[#This Row],[Age]]&lt;=50,"Adult","Senior"))</f>
        <v>Young</v>
      </c>
      <c r="T2437" s="1">
        <f>Table1[[#This Row],[Purchase Amount (USD)]]</f>
        <v>27</v>
      </c>
      <c r="U2437">
        <f>IF(Table1[[#This Row],[Subscription Status]]="Yes",1,IF(Table1[[#This Row],[Subscription Status]]="No",0))</f>
        <v>0</v>
      </c>
    </row>
    <row r="2438" spans="1:21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  <c r="S2438" t="str">
        <f>IF(Table1[[#This Row],[Age]]&lt;=25,"Young",IF(Table1[[#This Row],[Age]]&lt;=50,"Adult","Senior"))</f>
        <v>Senior</v>
      </c>
      <c r="T2438" s="1">
        <f>Table1[[#This Row],[Purchase Amount (USD)]]</f>
        <v>24</v>
      </c>
      <c r="U2438">
        <f>IF(Table1[[#This Row],[Subscription Status]]="Yes",1,IF(Table1[[#This Row],[Subscription Status]]="No",0))</f>
        <v>0</v>
      </c>
    </row>
    <row r="2439" spans="1:21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  <c r="S2439" t="str">
        <f>IF(Table1[[#This Row],[Age]]&lt;=25,"Young",IF(Table1[[#This Row],[Age]]&lt;=50,"Adult","Senior"))</f>
        <v>Adult</v>
      </c>
      <c r="T2439" s="1">
        <f>Table1[[#This Row],[Purchase Amount (USD)]]</f>
        <v>59</v>
      </c>
      <c r="U2439">
        <f>IF(Table1[[#This Row],[Subscription Status]]="Yes",1,IF(Table1[[#This Row],[Subscription Status]]="No",0))</f>
        <v>0</v>
      </c>
    </row>
    <row r="2440" spans="1:21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  <c r="S2440" t="str">
        <f>IF(Table1[[#This Row],[Age]]&lt;=25,"Young",IF(Table1[[#This Row],[Age]]&lt;=50,"Adult","Senior"))</f>
        <v>Adult</v>
      </c>
      <c r="T2440" s="1">
        <f>Table1[[#This Row],[Purchase Amount (USD)]]</f>
        <v>20</v>
      </c>
      <c r="U2440">
        <f>IF(Table1[[#This Row],[Subscription Status]]="Yes",1,IF(Table1[[#This Row],[Subscription Status]]="No",0))</f>
        <v>0</v>
      </c>
    </row>
    <row r="2441" spans="1:21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  <c r="S2441" t="str">
        <f>IF(Table1[[#This Row],[Age]]&lt;=25,"Young",IF(Table1[[#This Row],[Age]]&lt;=50,"Adult","Senior"))</f>
        <v>Senior</v>
      </c>
      <c r="T2441" s="1">
        <f>Table1[[#This Row],[Purchase Amount (USD)]]</f>
        <v>44</v>
      </c>
      <c r="U2441">
        <f>IF(Table1[[#This Row],[Subscription Status]]="Yes",1,IF(Table1[[#This Row],[Subscription Status]]="No",0))</f>
        <v>0</v>
      </c>
    </row>
    <row r="2442" spans="1:21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  <c r="S2442" t="str">
        <f>IF(Table1[[#This Row],[Age]]&lt;=25,"Young",IF(Table1[[#This Row],[Age]]&lt;=50,"Adult","Senior"))</f>
        <v>Adult</v>
      </c>
      <c r="T2442" s="1">
        <f>Table1[[#This Row],[Purchase Amount (USD)]]</f>
        <v>90</v>
      </c>
      <c r="U2442">
        <f>IF(Table1[[#This Row],[Subscription Status]]="Yes",1,IF(Table1[[#This Row],[Subscription Status]]="No",0))</f>
        <v>0</v>
      </c>
    </row>
    <row r="2443" spans="1:21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  <c r="S2443" t="str">
        <f>IF(Table1[[#This Row],[Age]]&lt;=25,"Young",IF(Table1[[#This Row],[Age]]&lt;=50,"Adult","Senior"))</f>
        <v>Adult</v>
      </c>
      <c r="T2443" s="1">
        <f>Table1[[#This Row],[Purchase Amount (USD)]]</f>
        <v>36</v>
      </c>
      <c r="U2443">
        <f>IF(Table1[[#This Row],[Subscription Status]]="Yes",1,IF(Table1[[#This Row],[Subscription Status]]="No",0))</f>
        <v>0</v>
      </c>
    </row>
    <row r="2444" spans="1:21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  <c r="S2444" t="str">
        <f>IF(Table1[[#This Row],[Age]]&lt;=25,"Young",IF(Table1[[#This Row],[Age]]&lt;=50,"Adult","Senior"))</f>
        <v>Senior</v>
      </c>
      <c r="T2444" s="1">
        <f>Table1[[#This Row],[Purchase Amount (USD)]]</f>
        <v>95</v>
      </c>
      <c r="U2444">
        <f>IF(Table1[[#This Row],[Subscription Status]]="Yes",1,IF(Table1[[#This Row],[Subscription Status]]="No",0))</f>
        <v>0</v>
      </c>
    </row>
    <row r="2445" spans="1:21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  <c r="S2445" t="str">
        <f>IF(Table1[[#This Row],[Age]]&lt;=25,"Young",IF(Table1[[#This Row],[Age]]&lt;=50,"Adult","Senior"))</f>
        <v>Young</v>
      </c>
      <c r="T2445" s="1">
        <f>Table1[[#This Row],[Purchase Amount (USD)]]</f>
        <v>30</v>
      </c>
      <c r="U2445">
        <f>IF(Table1[[#This Row],[Subscription Status]]="Yes",1,IF(Table1[[#This Row],[Subscription Status]]="No",0))</f>
        <v>0</v>
      </c>
    </row>
    <row r="2446" spans="1:21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  <c r="S2446" t="str">
        <f>IF(Table1[[#This Row],[Age]]&lt;=25,"Young",IF(Table1[[#This Row],[Age]]&lt;=50,"Adult","Senior"))</f>
        <v>Adult</v>
      </c>
      <c r="T2446" s="1">
        <f>Table1[[#This Row],[Purchase Amount (USD)]]</f>
        <v>65</v>
      </c>
      <c r="U2446">
        <f>IF(Table1[[#This Row],[Subscription Status]]="Yes",1,IF(Table1[[#This Row],[Subscription Status]]="No",0))</f>
        <v>0</v>
      </c>
    </row>
    <row r="2447" spans="1:21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  <c r="S2447" t="str">
        <f>IF(Table1[[#This Row],[Age]]&lt;=25,"Young",IF(Table1[[#This Row],[Age]]&lt;=50,"Adult","Senior"))</f>
        <v>Senior</v>
      </c>
      <c r="T2447" s="1">
        <f>Table1[[#This Row],[Purchase Amount (USD)]]</f>
        <v>96</v>
      </c>
      <c r="U2447">
        <f>IF(Table1[[#This Row],[Subscription Status]]="Yes",1,IF(Table1[[#This Row],[Subscription Status]]="No",0))</f>
        <v>0</v>
      </c>
    </row>
    <row r="2448" spans="1:21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  <c r="S2448" t="str">
        <f>IF(Table1[[#This Row],[Age]]&lt;=25,"Young",IF(Table1[[#This Row],[Age]]&lt;=50,"Adult","Senior"))</f>
        <v>Adult</v>
      </c>
      <c r="T2448" s="1">
        <f>Table1[[#This Row],[Purchase Amount (USD)]]</f>
        <v>65</v>
      </c>
      <c r="U2448">
        <f>IF(Table1[[#This Row],[Subscription Status]]="Yes",1,IF(Table1[[#This Row],[Subscription Status]]="No",0))</f>
        <v>0</v>
      </c>
    </row>
    <row r="2449" spans="1:21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  <c r="S2449" t="str">
        <f>IF(Table1[[#This Row],[Age]]&lt;=25,"Young",IF(Table1[[#This Row],[Age]]&lt;=50,"Adult","Senior"))</f>
        <v>Senior</v>
      </c>
      <c r="T2449" s="1">
        <f>Table1[[#This Row],[Purchase Amount (USD)]]</f>
        <v>47</v>
      </c>
      <c r="U2449">
        <f>IF(Table1[[#This Row],[Subscription Status]]="Yes",1,IF(Table1[[#This Row],[Subscription Status]]="No",0))</f>
        <v>0</v>
      </c>
    </row>
    <row r="2450" spans="1:21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  <c r="S2450" t="str">
        <f>IF(Table1[[#This Row],[Age]]&lt;=25,"Young",IF(Table1[[#This Row],[Age]]&lt;=50,"Adult","Senior"))</f>
        <v>Senior</v>
      </c>
      <c r="T2450" s="1">
        <f>Table1[[#This Row],[Purchase Amount (USD)]]</f>
        <v>25</v>
      </c>
      <c r="U2450">
        <f>IF(Table1[[#This Row],[Subscription Status]]="Yes",1,IF(Table1[[#This Row],[Subscription Status]]="No",0))</f>
        <v>0</v>
      </c>
    </row>
    <row r="2451" spans="1:21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  <c r="S2451" t="str">
        <f>IF(Table1[[#This Row],[Age]]&lt;=25,"Young",IF(Table1[[#This Row],[Age]]&lt;=50,"Adult","Senior"))</f>
        <v>Adult</v>
      </c>
      <c r="T2451" s="1">
        <f>Table1[[#This Row],[Purchase Amount (USD)]]</f>
        <v>56</v>
      </c>
      <c r="U2451">
        <f>IF(Table1[[#This Row],[Subscription Status]]="Yes",1,IF(Table1[[#This Row],[Subscription Status]]="No",0))</f>
        <v>0</v>
      </c>
    </row>
    <row r="2452" spans="1:21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  <c r="S2452" t="str">
        <f>IF(Table1[[#This Row],[Age]]&lt;=25,"Young",IF(Table1[[#This Row],[Age]]&lt;=50,"Adult","Senior"))</f>
        <v>Senior</v>
      </c>
      <c r="T2452" s="1">
        <f>Table1[[#This Row],[Purchase Amount (USD)]]</f>
        <v>76</v>
      </c>
      <c r="U2452">
        <f>IF(Table1[[#This Row],[Subscription Status]]="Yes",1,IF(Table1[[#This Row],[Subscription Status]]="No",0))</f>
        <v>0</v>
      </c>
    </row>
    <row r="2453" spans="1:21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  <c r="S2453" t="str">
        <f>IF(Table1[[#This Row],[Age]]&lt;=25,"Young",IF(Table1[[#This Row],[Age]]&lt;=50,"Adult","Senior"))</f>
        <v>Adult</v>
      </c>
      <c r="T2453" s="1">
        <f>Table1[[#This Row],[Purchase Amount (USD)]]</f>
        <v>60</v>
      </c>
      <c r="U2453">
        <f>IF(Table1[[#This Row],[Subscription Status]]="Yes",1,IF(Table1[[#This Row],[Subscription Status]]="No",0))</f>
        <v>0</v>
      </c>
    </row>
    <row r="2454" spans="1:21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  <c r="S2454" t="str">
        <f>IF(Table1[[#This Row],[Age]]&lt;=25,"Young",IF(Table1[[#This Row],[Age]]&lt;=50,"Adult","Senior"))</f>
        <v>Senior</v>
      </c>
      <c r="T2454" s="1">
        <f>Table1[[#This Row],[Purchase Amount (USD)]]</f>
        <v>67</v>
      </c>
      <c r="U2454">
        <f>IF(Table1[[#This Row],[Subscription Status]]="Yes",1,IF(Table1[[#This Row],[Subscription Status]]="No",0))</f>
        <v>0</v>
      </c>
    </row>
    <row r="2455" spans="1:21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  <c r="S2455" t="str">
        <f>IF(Table1[[#This Row],[Age]]&lt;=25,"Young",IF(Table1[[#This Row],[Age]]&lt;=50,"Adult","Senior"))</f>
        <v>Young</v>
      </c>
      <c r="T2455" s="1">
        <f>Table1[[#This Row],[Purchase Amount (USD)]]</f>
        <v>95</v>
      </c>
      <c r="U2455">
        <f>IF(Table1[[#This Row],[Subscription Status]]="Yes",1,IF(Table1[[#This Row],[Subscription Status]]="No",0))</f>
        <v>0</v>
      </c>
    </row>
    <row r="2456" spans="1:21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  <c r="S2456" t="str">
        <f>IF(Table1[[#This Row],[Age]]&lt;=25,"Young",IF(Table1[[#This Row],[Age]]&lt;=50,"Adult","Senior"))</f>
        <v>Adult</v>
      </c>
      <c r="T2456" s="1">
        <f>Table1[[#This Row],[Purchase Amount (USD)]]</f>
        <v>72</v>
      </c>
      <c r="U2456">
        <f>IF(Table1[[#This Row],[Subscription Status]]="Yes",1,IF(Table1[[#This Row],[Subscription Status]]="No",0))</f>
        <v>0</v>
      </c>
    </row>
    <row r="2457" spans="1:21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  <c r="S2457" t="str">
        <f>IF(Table1[[#This Row],[Age]]&lt;=25,"Young",IF(Table1[[#This Row],[Age]]&lt;=50,"Adult","Senior"))</f>
        <v>Young</v>
      </c>
      <c r="T2457" s="1">
        <f>Table1[[#This Row],[Purchase Amount (USD)]]</f>
        <v>98</v>
      </c>
      <c r="U2457">
        <f>IF(Table1[[#This Row],[Subscription Status]]="Yes",1,IF(Table1[[#This Row],[Subscription Status]]="No",0))</f>
        <v>0</v>
      </c>
    </row>
    <row r="2458" spans="1:21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  <c r="S2458" t="str">
        <f>IF(Table1[[#This Row],[Age]]&lt;=25,"Young",IF(Table1[[#This Row],[Age]]&lt;=50,"Adult","Senior"))</f>
        <v>Senior</v>
      </c>
      <c r="T2458" s="1">
        <f>Table1[[#This Row],[Purchase Amount (USD)]]</f>
        <v>83</v>
      </c>
      <c r="U2458">
        <f>IF(Table1[[#This Row],[Subscription Status]]="Yes",1,IF(Table1[[#This Row],[Subscription Status]]="No",0))</f>
        <v>0</v>
      </c>
    </row>
    <row r="2459" spans="1:21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  <c r="S2459" t="str">
        <f>IF(Table1[[#This Row],[Age]]&lt;=25,"Young",IF(Table1[[#This Row],[Age]]&lt;=50,"Adult","Senior"))</f>
        <v>Senior</v>
      </c>
      <c r="T2459" s="1">
        <f>Table1[[#This Row],[Purchase Amount (USD)]]</f>
        <v>37</v>
      </c>
      <c r="U2459">
        <f>IF(Table1[[#This Row],[Subscription Status]]="Yes",1,IF(Table1[[#This Row],[Subscription Status]]="No",0))</f>
        <v>0</v>
      </c>
    </row>
    <row r="2460" spans="1:21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  <c r="S2460" t="str">
        <f>IF(Table1[[#This Row],[Age]]&lt;=25,"Young",IF(Table1[[#This Row],[Age]]&lt;=50,"Adult","Senior"))</f>
        <v>Senior</v>
      </c>
      <c r="T2460" s="1">
        <f>Table1[[#This Row],[Purchase Amount (USD)]]</f>
        <v>85</v>
      </c>
      <c r="U2460">
        <f>IF(Table1[[#This Row],[Subscription Status]]="Yes",1,IF(Table1[[#This Row],[Subscription Status]]="No",0))</f>
        <v>0</v>
      </c>
    </row>
    <row r="2461" spans="1:21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  <c r="S2461" t="str">
        <f>IF(Table1[[#This Row],[Age]]&lt;=25,"Young",IF(Table1[[#This Row],[Age]]&lt;=50,"Adult","Senior"))</f>
        <v>Adult</v>
      </c>
      <c r="T2461" s="1">
        <f>Table1[[#This Row],[Purchase Amount (USD)]]</f>
        <v>36</v>
      </c>
      <c r="U2461">
        <f>IF(Table1[[#This Row],[Subscription Status]]="Yes",1,IF(Table1[[#This Row],[Subscription Status]]="No",0))</f>
        <v>0</v>
      </c>
    </row>
    <row r="2462" spans="1:21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  <c r="S2462" t="str">
        <f>IF(Table1[[#This Row],[Age]]&lt;=25,"Young",IF(Table1[[#This Row],[Age]]&lt;=50,"Adult","Senior"))</f>
        <v>Senior</v>
      </c>
      <c r="T2462" s="1">
        <f>Table1[[#This Row],[Purchase Amount (USD)]]</f>
        <v>36</v>
      </c>
      <c r="U2462">
        <f>IF(Table1[[#This Row],[Subscription Status]]="Yes",1,IF(Table1[[#This Row],[Subscription Status]]="No",0))</f>
        <v>0</v>
      </c>
    </row>
    <row r="2463" spans="1:21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  <c r="S2463" t="str">
        <f>IF(Table1[[#This Row],[Age]]&lt;=25,"Young",IF(Table1[[#This Row],[Age]]&lt;=50,"Adult","Senior"))</f>
        <v>Adult</v>
      </c>
      <c r="T2463" s="1">
        <f>Table1[[#This Row],[Purchase Amount (USD)]]</f>
        <v>86</v>
      </c>
      <c r="U2463">
        <f>IF(Table1[[#This Row],[Subscription Status]]="Yes",1,IF(Table1[[#This Row],[Subscription Status]]="No",0))</f>
        <v>0</v>
      </c>
    </row>
    <row r="2464" spans="1:21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  <c r="S2464" t="str">
        <f>IF(Table1[[#This Row],[Age]]&lt;=25,"Young",IF(Table1[[#This Row],[Age]]&lt;=50,"Adult","Senior"))</f>
        <v>Senior</v>
      </c>
      <c r="T2464" s="1">
        <f>Table1[[#This Row],[Purchase Amount (USD)]]</f>
        <v>99</v>
      </c>
      <c r="U2464">
        <f>IF(Table1[[#This Row],[Subscription Status]]="Yes",1,IF(Table1[[#This Row],[Subscription Status]]="No",0))</f>
        <v>0</v>
      </c>
    </row>
    <row r="2465" spans="1:21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  <c r="S2465" t="str">
        <f>IF(Table1[[#This Row],[Age]]&lt;=25,"Young",IF(Table1[[#This Row],[Age]]&lt;=50,"Adult","Senior"))</f>
        <v>Senior</v>
      </c>
      <c r="T2465" s="1">
        <f>Table1[[#This Row],[Purchase Amount (USD)]]</f>
        <v>21</v>
      </c>
      <c r="U2465">
        <f>IF(Table1[[#This Row],[Subscription Status]]="Yes",1,IF(Table1[[#This Row],[Subscription Status]]="No",0))</f>
        <v>0</v>
      </c>
    </row>
    <row r="2466" spans="1:21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  <c r="S2466" t="str">
        <f>IF(Table1[[#This Row],[Age]]&lt;=25,"Young",IF(Table1[[#This Row],[Age]]&lt;=50,"Adult","Senior"))</f>
        <v>Adult</v>
      </c>
      <c r="T2466" s="1">
        <f>Table1[[#This Row],[Purchase Amount (USD)]]</f>
        <v>84</v>
      </c>
      <c r="U2466">
        <f>IF(Table1[[#This Row],[Subscription Status]]="Yes",1,IF(Table1[[#This Row],[Subscription Status]]="No",0))</f>
        <v>0</v>
      </c>
    </row>
    <row r="2467" spans="1:21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  <c r="S2467" t="str">
        <f>IF(Table1[[#This Row],[Age]]&lt;=25,"Young",IF(Table1[[#This Row],[Age]]&lt;=50,"Adult","Senior"))</f>
        <v>Young</v>
      </c>
      <c r="T2467" s="1">
        <f>Table1[[#This Row],[Purchase Amount (USD)]]</f>
        <v>63</v>
      </c>
      <c r="U2467">
        <f>IF(Table1[[#This Row],[Subscription Status]]="Yes",1,IF(Table1[[#This Row],[Subscription Status]]="No",0))</f>
        <v>0</v>
      </c>
    </row>
    <row r="2468" spans="1:21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  <c r="S2468" t="str">
        <f>IF(Table1[[#This Row],[Age]]&lt;=25,"Young",IF(Table1[[#This Row],[Age]]&lt;=50,"Adult","Senior"))</f>
        <v>Adult</v>
      </c>
      <c r="T2468" s="1">
        <f>Table1[[#This Row],[Purchase Amount (USD)]]</f>
        <v>84</v>
      </c>
      <c r="U2468">
        <f>IF(Table1[[#This Row],[Subscription Status]]="Yes",1,IF(Table1[[#This Row],[Subscription Status]]="No",0))</f>
        <v>0</v>
      </c>
    </row>
    <row r="2469" spans="1:21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  <c r="S2469" t="str">
        <f>IF(Table1[[#This Row],[Age]]&lt;=25,"Young",IF(Table1[[#This Row],[Age]]&lt;=50,"Adult","Senior"))</f>
        <v>Adult</v>
      </c>
      <c r="T2469" s="1">
        <f>Table1[[#This Row],[Purchase Amount (USD)]]</f>
        <v>72</v>
      </c>
      <c r="U2469">
        <f>IF(Table1[[#This Row],[Subscription Status]]="Yes",1,IF(Table1[[#This Row],[Subscription Status]]="No",0))</f>
        <v>0</v>
      </c>
    </row>
    <row r="2470" spans="1:21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  <c r="S2470" t="str">
        <f>IF(Table1[[#This Row],[Age]]&lt;=25,"Young",IF(Table1[[#This Row],[Age]]&lt;=50,"Adult","Senior"))</f>
        <v>Senior</v>
      </c>
      <c r="T2470" s="1">
        <f>Table1[[#This Row],[Purchase Amount (USD)]]</f>
        <v>21</v>
      </c>
      <c r="U2470">
        <f>IF(Table1[[#This Row],[Subscription Status]]="Yes",1,IF(Table1[[#This Row],[Subscription Status]]="No",0))</f>
        <v>0</v>
      </c>
    </row>
    <row r="2471" spans="1:21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  <c r="S2471" t="str">
        <f>IF(Table1[[#This Row],[Age]]&lt;=25,"Young",IF(Table1[[#This Row],[Age]]&lt;=50,"Adult","Senior"))</f>
        <v>Senior</v>
      </c>
      <c r="T2471" s="1">
        <f>Table1[[#This Row],[Purchase Amount (USD)]]</f>
        <v>92</v>
      </c>
      <c r="U2471">
        <f>IF(Table1[[#This Row],[Subscription Status]]="Yes",1,IF(Table1[[#This Row],[Subscription Status]]="No",0))</f>
        <v>0</v>
      </c>
    </row>
    <row r="2472" spans="1:21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  <c r="S2472" t="str">
        <f>IF(Table1[[#This Row],[Age]]&lt;=25,"Young",IF(Table1[[#This Row],[Age]]&lt;=50,"Adult","Senior"))</f>
        <v>Senior</v>
      </c>
      <c r="T2472" s="1">
        <f>Table1[[#This Row],[Purchase Amount (USD)]]</f>
        <v>72</v>
      </c>
      <c r="U2472">
        <f>IF(Table1[[#This Row],[Subscription Status]]="Yes",1,IF(Table1[[#This Row],[Subscription Status]]="No",0))</f>
        <v>0</v>
      </c>
    </row>
    <row r="2473" spans="1:21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  <c r="S2473" t="str">
        <f>IF(Table1[[#This Row],[Age]]&lt;=25,"Young",IF(Table1[[#This Row],[Age]]&lt;=50,"Adult","Senior"))</f>
        <v>Adult</v>
      </c>
      <c r="T2473" s="1">
        <f>Table1[[#This Row],[Purchase Amount (USD)]]</f>
        <v>83</v>
      </c>
      <c r="U2473">
        <f>IF(Table1[[#This Row],[Subscription Status]]="Yes",1,IF(Table1[[#This Row],[Subscription Status]]="No",0))</f>
        <v>0</v>
      </c>
    </row>
    <row r="2474" spans="1:21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  <c r="S2474" t="str">
        <f>IF(Table1[[#This Row],[Age]]&lt;=25,"Young",IF(Table1[[#This Row],[Age]]&lt;=50,"Adult","Senior"))</f>
        <v>Young</v>
      </c>
      <c r="T2474" s="1">
        <f>Table1[[#This Row],[Purchase Amount (USD)]]</f>
        <v>73</v>
      </c>
      <c r="U2474">
        <f>IF(Table1[[#This Row],[Subscription Status]]="Yes",1,IF(Table1[[#This Row],[Subscription Status]]="No",0))</f>
        <v>0</v>
      </c>
    </row>
    <row r="2475" spans="1:21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  <c r="S2475" t="str">
        <f>IF(Table1[[#This Row],[Age]]&lt;=25,"Young",IF(Table1[[#This Row],[Age]]&lt;=50,"Adult","Senior"))</f>
        <v>Senior</v>
      </c>
      <c r="T2475" s="1">
        <f>Table1[[#This Row],[Purchase Amount (USD)]]</f>
        <v>98</v>
      </c>
      <c r="U2475">
        <f>IF(Table1[[#This Row],[Subscription Status]]="Yes",1,IF(Table1[[#This Row],[Subscription Status]]="No",0))</f>
        <v>0</v>
      </c>
    </row>
    <row r="2476" spans="1:21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  <c r="S2476" t="str">
        <f>IF(Table1[[#This Row],[Age]]&lt;=25,"Young",IF(Table1[[#This Row],[Age]]&lt;=50,"Adult","Senior"))</f>
        <v>Young</v>
      </c>
      <c r="T2476" s="1">
        <f>Table1[[#This Row],[Purchase Amount (USD)]]</f>
        <v>76</v>
      </c>
      <c r="U2476">
        <f>IF(Table1[[#This Row],[Subscription Status]]="Yes",1,IF(Table1[[#This Row],[Subscription Status]]="No",0))</f>
        <v>0</v>
      </c>
    </row>
    <row r="2477" spans="1:21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  <c r="S2477" t="str">
        <f>IF(Table1[[#This Row],[Age]]&lt;=25,"Young",IF(Table1[[#This Row],[Age]]&lt;=50,"Adult","Senior"))</f>
        <v>Senior</v>
      </c>
      <c r="T2477" s="1">
        <f>Table1[[#This Row],[Purchase Amount (USD)]]</f>
        <v>43</v>
      </c>
      <c r="U2477">
        <f>IF(Table1[[#This Row],[Subscription Status]]="Yes",1,IF(Table1[[#This Row],[Subscription Status]]="No",0))</f>
        <v>0</v>
      </c>
    </row>
    <row r="2478" spans="1:21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  <c r="S2478" t="str">
        <f>IF(Table1[[#This Row],[Age]]&lt;=25,"Young",IF(Table1[[#This Row],[Age]]&lt;=50,"Adult","Senior"))</f>
        <v>Senior</v>
      </c>
      <c r="T2478" s="1">
        <f>Table1[[#This Row],[Purchase Amount (USD)]]</f>
        <v>60</v>
      </c>
      <c r="U2478">
        <f>IF(Table1[[#This Row],[Subscription Status]]="Yes",1,IF(Table1[[#This Row],[Subscription Status]]="No",0))</f>
        <v>0</v>
      </c>
    </row>
    <row r="2479" spans="1:21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  <c r="S2479" t="str">
        <f>IF(Table1[[#This Row],[Age]]&lt;=25,"Young",IF(Table1[[#This Row],[Age]]&lt;=50,"Adult","Senior"))</f>
        <v>Young</v>
      </c>
      <c r="T2479" s="1">
        <f>Table1[[#This Row],[Purchase Amount (USD)]]</f>
        <v>40</v>
      </c>
      <c r="U2479">
        <f>IF(Table1[[#This Row],[Subscription Status]]="Yes",1,IF(Table1[[#This Row],[Subscription Status]]="No",0))</f>
        <v>0</v>
      </c>
    </row>
    <row r="2480" spans="1:21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  <c r="S2480" t="str">
        <f>IF(Table1[[#This Row],[Age]]&lt;=25,"Young",IF(Table1[[#This Row],[Age]]&lt;=50,"Adult","Senior"))</f>
        <v>Young</v>
      </c>
      <c r="T2480" s="1">
        <f>Table1[[#This Row],[Purchase Amount (USD)]]</f>
        <v>93</v>
      </c>
      <c r="U2480">
        <f>IF(Table1[[#This Row],[Subscription Status]]="Yes",1,IF(Table1[[#This Row],[Subscription Status]]="No",0))</f>
        <v>0</v>
      </c>
    </row>
    <row r="2481" spans="1:21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  <c r="S2481" t="str">
        <f>IF(Table1[[#This Row],[Age]]&lt;=25,"Young",IF(Table1[[#This Row],[Age]]&lt;=50,"Adult","Senior"))</f>
        <v>Adult</v>
      </c>
      <c r="T2481" s="1">
        <f>Table1[[#This Row],[Purchase Amount (USD)]]</f>
        <v>98</v>
      </c>
      <c r="U2481">
        <f>IF(Table1[[#This Row],[Subscription Status]]="Yes",1,IF(Table1[[#This Row],[Subscription Status]]="No",0))</f>
        <v>0</v>
      </c>
    </row>
    <row r="2482" spans="1:21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  <c r="S2482" t="str">
        <f>IF(Table1[[#This Row],[Age]]&lt;=25,"Young",IF(Table1[[#This Row],[Age]]&lt;=50,"Adult","Senior"))</f>
        <v>Senior</v>
      </c>
      <c r="T2482" s="1">
        <f>Table1[[#This Row],[Purchase Amount (USD)]]</f>
        <v>91</v>
      </c>
      <c r="U2482">
        <f>IF(Table1[[#This Row],[Subscription Status]]="Yes",1,IF(Table1[[#This Row],[Subscription Status]]="No",0))</f>
        <v>0</v>
      </c>
    </row>
    <row r="2483" spans="1:21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  <c r="S2483" t="str">
        <f>IF(Table1[[#This Row],[Age]]&lt;=25,"Young",IF(Table1[[#This Row],[Age]]&lt;=50,"Adult","Senior"))</f>
        <v>Adult</v>
      </c>
      <c r="T2483" s="1">
        <f>Table1[[#This Row],[Purchase Amount (USD)]]</f>
        <v>92</v>
      </c>
      <c r="U2483">
        <f>IF(Table1[[#This Row],[Subscription Status]]="Yes",1,IF(Table1[[#This Row],[Subscription Status]]="No",0))</f>
        <v>0</v>
      </c>
    </row>
    <row r="2484" spans="1:21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  <c r="S2484" t="str">
        <f>IF(Table1[[#This Row],[Age]]&lt;=25,"Young",IF(Table1[[#This Row],[Age]]&lt;=50,"Adult","Senior"))</f>
        <v>Senior</v>
      </c>
      <c r="T2484" s="1">
        <f>Table1[[#This Row],[Purchase Amount (USD)]]</f>
        <v>87</v>
      </c>
      <c r="U2484">
        <f>IF(Table1[[#This Row],[Subscription Status]]="Yes",1,IF(Table1[[#This Row],[Subscription Status]]="No",0))</f>
        <v>0</v>
      </c>
    </row>
    <row r="2485" spans="1:21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  <c r="S2485" t="str">
        <f>IF(Table1[[#This Row],[Age]]&lt;=25,"Young",IF(Table1[[#This Row],[Age]]&lt;=50,"Adult","Senior"))</f>
        <v>Adult</v>
      </c>
      <c r="T2485" s="1">
        <f>Table1[[#This Row],[Purchase Amount (USD)]]</f>
        <v>96</v>
      </c>
      <c r="U2485">
        <f>IF(Table1[[#This Row],[Subscription Status]]="Yes",1,IF(Table1[[#This Row],[Subscription Status]]="No",0))</f>
        <v>0</v>
      </c>
    </row>
    <row r="2486" spans="1:21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  <c r="S2486" t="str">
        <f>IF(Table1[[#This Row],[Age]]&lt;=25,"Young",IF(Table1[[#This Row],[Age]]&lt;=50,"Adult","Senior"))</f>
        <v>Senior</v>
      </c>
      <c r="T2486" s="1">
        <f>Table1[[#This Row],[Purchase Amount (USD)]]</f>
        <v>97</v>
      </c>
      <c r="U2486">
        <f>IF(Table1[[#This Row],[Subscription Status]]="Yes",1,IF(Table1[[#This Row],[Subscription Status]]="No",0))</f>
        <v>0</v>
      </c>
    </row>
    <row r="2487" spans="1:21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  <c r="S2487" t="str">
        <f>IF(Table1[[#This Row],[Age]]&lt;=25,"Young",IF(Table1[[#This Row],[Age]]&lt;=50,"Adult","Senior"))</f>
        <v>Adult</v>
      </c>
      <c r="T2487" s="1">
        <f>Table1[[#This Row],[Purchase Amount (USD)]]</f>
        <v>55</v>
      </c>
      <c r="U2487">
        <f>IF(Table1[[#This Row],[Subscription Status]]="Yes",1,IF(Table1[[#This Row],[Subscription Status]]="No",0))</f>
        <v>0</v>
      </c>
    </row>
    <row r="2488" spans="1:21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  <c r="S2488" t="str">
        <f>IF(Table1[[#This Row],[Age]]&lt;=25,"Young",IF(Table1[[#This Row],[Age]]&lt;=50,"Adult","Senior"))</f>
        <v>Senior</v>
      </c>
      <c r="T2488" s="1">
        <f>Table1[[#This Row],[Purchase Amount (USD)]]</f>
        <v>58</v>
      </c>
      <c r="U2488">
        <f>IF(Table1[[#This Row],[Subscription Status]]="Yes",1,IF(Table1[[#This Row],[Subscription Status]]="No",0))</f>
        <v>0</v>
      </c>
    </row>
    <row r="2489" spans="1:21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  <c r="S2489" t="str">
        <f>IF(Table1[[#This Row],[Age]]&lt;=25,"Young",IF(Table1[[#This Row],[Age]]&lt;=50,"Adult","Senior"))</f>
        <v>Senior</v>
      </c>
      <c r="T2489" s="1">
        <f>Table1[[#This Row],[Purchase Amount (USD)]]</f>
        <v>21</v>
      </c>
      <c r="U2489">
        <f>IF(Table1[[#This Row],[Subscription Status]]="Yes",1,IF(Table1[[#This Row],[Subscription Status]]="No",0))</f>
        <v>0</v>
      </c>
    </row>
    <row r="2490" spans="1:21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  <c r="S2490" t="str">
        <f>IF(Table1[[#This Row],[Age]]&lt;=25,"Young",IF(Table1[[#This Row],[Age]]&lt;=50,"Adult","Senior"))</f>
        <v>Senior</v>
      </c>
      <c r="T2490" s="1">
        <f>Table1[[#This Row],[Purchase Amount (USD)]]</f>
        <v>82</v>
      </c>
      <c r="U2490">
        <f>IF(Table1[[#This Row],[Subscription Status]]="Yes",1,IF(Table1[[#This Row],[Subscription Status]]="No",0))</f>
        <v>0</v>
      </c>
    </row>
    <row r="2491" spans="1:21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  <c r="S2491" t="str">
        <f>IF(Table1[[#This Row],[Age]]&lt;=25,"Young",IF(Table1[[#This Row],[Age]]&lt;=50,"Adult","Senior"))</f>
        <v>Senior</v>
      </c>
      <c r="T2491" s="1">
        <f>Table1[[#This Row],[Purchase Amount (USD)]]</f>
        <v>34</v>
      </c>
      <c r="U2491">
        <f>IF(Table1[[#This Row],[Subscription Status]]="Yes",1,IF(Table1[[#This Row],[Subscription Status]]="No",0))</f>
        <v>0</v>
      </c>
    </row>
    <row r="2492" spans="1:21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  <c r="S2492" t="str">
        <f>IF(Table1[[#This Row],[Age]]&lt;=25,"Young",IF(Table1[[#This Row],[Age]]&lt;=50,"Adult","Senior"))</f>
        <v>Senior</v>
      </c>
      <c r="T2492" s="1">
        <f>Table1[[#This Row],[Purchase Amount (USD)]]</f>
        <v>78</v>
      </c>
      <c r="U2492">
        <f>IF(Table1[[#This Row],[Subscription Status]]="Yes",1,IF(Table1[[#This Row],[Subscription Status]]="No",0))</f>
        <v>0</v>
      </c>
    </row>
    <row r="2493" spans="1:21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  <c r="S2493" t="str">
        <f>IF(Table1[[#This Row],[Age]]&lt;=25,"Young",IF(Table1[[#This Row],[Age]]&lt;=50,"Adult","Senior"))</f>
        <v>Senior</v>
      </c>
      <c r="T2493" s="1">
        <f>Table1[[#This Row],[Purchase Amount (USD)]]</f>
        <v>47</v>
      </c>
      <c r="U2493">
        <f>IF(Table1[[#This Row],[Subscription Status]]="Yes",1,IF(Table1[[#This Row],[Subscription Status]]="No",0))</f>
        <v>0</v>
      </c>
    </row>
    <row r="2494" spans="1:21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  <c r="S2494" t="str">
        <f>IF(Table1[[#This Row],[Age]]&lt;=25,"Young",IF(Table1[[#This Row],[Age]]&lt;=50,"Adult","Senior"))</f>
        <v>Adult</v>
      </c>
      <c r="T2494" s="1">
        <f>Table1[[#This Row],[Purchase Amount (USD)]]</f>
        <v>96</v>
      </c>
      <c r="U2494">
        <f>IF(Table1[[#This Row],[Subscription Status]]="Yes",1,IF(Table1[[#This Row],[Subscription Status]]="No",0))</f>
        <v>0</v>
      </c>
    </row>
    <row r="2495" spans="1:21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  <c r="S2495" t="str">
        <f>IF(Table1[[#This Row],[Age]]&lt;=25,"Young",IF(Table1[[#This Row],[Age]]&lt;=50,"Adult","Senior"))</f>
        <v>Young</v>
      </c>
      <c r="T2495" s="1">
        <f>Table1[[#This Row],[Purchase Amount (USD)]]</f>
        <v>23</v>
      </c>
      <c r="U2495">
        <f>IF(Table1[[#This Row],[Subscription Status]]="Yes",1,IF(Table1[[#This Row],[Subscription Status]]="No",0))</f>
        <v>0</v>
      </c>
    </row>
    <row r="2496" spans="1:21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  <c r="S2496" t="str">
        <f>IF(Table1[[#This Row],[Age]]&lt;=25,"Young",IF(Table1[[#This Row],[Age]]&lt;=50,"Adult","Senior"))</f>
        <v>Adult</v>
      </c>
      <c r="T2496" s="1">
        <f>Table1[[#This Row],[Purchase Amount (USD)]]</f>
        <v>27</v>
      </c>
      <c r="U2496">
        <f>IF(Table1[[#This Row],[Subscription Status]]="Yes",1,IF(Table1[[#This Row],[Subscription Status]]="No",0))</f>
        <v>0</v>
      </c>
    </row>
    <row r="2497" spans="1:21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  <c r="S2497" t="str">
        <f>IF(Table1[[#This Row],[Age]]&lt;=25,"Young",IF(Table1[[#This Row],[Age]]&lt;=50,"Adult","Senior"))</f>
        <v>Adult</v>
      </c>
      <c r="T2497" s="1">
        <f>Table1[[#This Row],[Purchase Amount (USD)]]</f>
        <v>37</v>
      </c>
      <c r="U2497">
        <f>IF(Table1[[#This Row],[Subscription Status]]="Yes",1,IF(Table1[[#This Row],[Subscription Status]]="No",0))</f>
        <v>0</v>
      </c>
    </row>
    <row r="2498" spans="1:21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  <c r="S2498" t="str">
        <f>IF(Table1[[#This Row],[Age]]&lt;=25,"Young",IF(Table1[[#This Row],[Age]]&lt;=50,"Adult","Senior"))</f>
        <v>Senior</v>
      </c>
      <c r="T2498" s="1">
        <f>Table1[[#This Row],[Purchase Amount (USD)]]</f>
        <v>79</v>
      </c>
      <c r="U2498">
        <f>IF(Table1[[#This Row],[Subscription Status]]="Yes",1,IF(Table1[[#This Row],[Subscription Status]]="No",0))</f>
        <v>0</v>
      </c>
    </row>
    <row r="2499" spans="1:21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  <c r="S2499" t="str">
        <f>IF(Table1[[#This Row],[Age]]&lt;=25,"Young",IF(Table1[[#This Row],[Age]]&lt;=50,"Adult","Senior"))</f>
        <v>Adult</v>
      </c>
      <c r="T2499" s="1">
        <f>Table1[[#This Row],[Purchase Amount (USD)]]</f>
        <v>40</v>
      </c>
      <c r="U2499">
        <f>IF(Table1[[#This Row],[Subscription Status]]="Yes",1,IF(Table1[[#This Row],[Subscription Status]]="No",0))</f>
        <v>0</v>
      </c>
    </row>
    <row r="2500" spans="1:21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  <c r="S2500" t="str">
        <f>IF(Table1[[#This Row],[Age]]&lt;=25,"Young",IF(Table1[[#This Row],[Age]]&lt;=50,"Adult","Senior"))</f>
        <v>Young</v>
      </c>
      <c r="T2500" s="1">
        <f>Table1[[#This Row],[Purchase Amount (USD)]]</f>
        <v>39</v>
      </c>
      <c r="U2500">
        <f>IF(Table1[[#This Row],[Subscription Status]]="Yes",1,IF(Table1[[#This Row],[Subscription Status]]="No",0))</f>
        <v>0</v>
      </c>
    </row>
    <row r="2501" spans="1:21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  <c r="S2501" t="str">
        <f>IF(Table1[[#This Row],[Age]]&lt;=25,"Young",IF(Table1[[#This Row],[Age]]&lt;=50,"Adult","Senior"))</f>
        <v>Senior</v>
      </c>
      <c r="T2501" s="1">
        <f>Table1[[#This Row],[Purchase Amount (USD)]]</f>
        <v>73</v>
      </c>
      <c r="U2501">
        <f>IF(Table1[[#This Row],[Subscription Status]]="Yes",1,IF(Table1[[#This Row],[Subscription Status]]="No",0))</f>
        <v>0</v>
      </c>
    </row>
    <row r="2502" spans="1:21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  <c r="S2502" t="str">
        <f>IF(Table1[[#This Row],[Age]]&lt;=25,"Young",IF(Table1[[#This Row],[Age]]&lt;=50,"Adult","Senior"))</f>
        <v>Senior</v>
      </c>
      <c r="T2502" s="1">
        <f>Table1[[#This Row],[Purchase Amount (USD)]]</f>
        <v>84</v>
      </c>
      <c r="U2502">
        <f>IF(Table1[[#This Row],[Subscription Status]]="Yes",1,IF(Table1[[#This Row],[Subscription Status]]="No",0))</f>
        <v>0</v>
      </c>
    </row>
    <row r="2503" spans="1:21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  <c r="S2503" t="str">
        <f>IF(Table1[[#This Row],[Age]]&lt;=25,"Young",IF(Table1[[#This Row],[Age]]&lt;=50,"Adult","Senior"))</f>
        <v>Adult</v>
      </c>
      <c r="T2503" s="1">
        <f>Table1[[#This Row],[Purchase Amount (USD)]]</f>
        <v>94</v>
      </c>
      <c r="U2503">
        <f>IF(Table1[[#This Row],[Subscription Status]]="Yes",1,IF(Table1[[#This Row],[Subscription Status]]="No",0))</f>
        <v>0</v>
      </c>
    </row>
    <row r="2504" spans="1:21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  <c r="S2504" t="str">
        <f>IF(Table1[[#This Row],[Age]]&lt;=25,"Young",IF(Table1[[#This Row],[Age]]&lt;=50,"Adult","Senior"))</f>
        <v>Adult</v>
      </c>
      <c r="T2504" s="1">
        <f>Table1[[#This Row],[Purchase Amount (USD)]]</f>
        <v>47</v>
      </c>
      <c r="U2504">
        <f>IF(Table1[[#This Row],[Subscription Status]]="Yes",1,IF(Table1[[#This Row],[Subscription Status]]="No",0))</f>
        <v>0</v>
      </c>
    </row>
    <row r="2505" spans="1:21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  <c r="S2505" t="str">
        <f>IF(Table1[[#This Row],[Age]]&lt;=25,"Young",IF(Table1[[#This Row],[Age]]&lt;=50,"Adult","Senior"))</f>
        <v>Senior</v>
      </c>
      <c r="T2505" s="1">
        <f>Table1[[#This Row],[Purchase Amount (USD)]]</f>
        <v>77</v>
      </c>
      <c r="U2505">
        <f>IF(Table1[[#This Row],[Subscription Status]]="Yes",1,IF(Table1[[#This Row],[Subscription Status]]="No",0))</f>
        <v>0</v>
      </c>
    </row>
    <row r="2506" spans="1:21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  <c r="S2506" t="str">
        <f>IF(Table1[[#This Row],[Age]]&lt;=25,"Young",IF(Table1[[#This Row],[Age]]&lt;=50,"Adult","Senior"))</f>
        <v>Senior</v>
      </c>
      <c r="T2506" s="1">
        <f>Table1[[#This Row],[Purchase Amount (USD)]]</f>
        <v>94</v>
      </c>
      <c r="U2506">
        <f>IF(Table1[[#This Row],[Subscription Status]]="Yes",1,IF(Table1[[#This Row],[Subscription Status]]="No",0))</f>
        <v>0</v>
      </c>
    </row>
    <row r="2507" spans="1:21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  <c r="S2507" t="str">
        <f>IF(Table1[[#This Row],[Age]]&lt;=25,"Young",IF(Table1[[#This Row],[Age]]&lt;=50,"Adult","Senior"))</f>
        <v>Adult</v>
      </c>
      <c r="T2507" s="1">
        <f>Table1[[#This Row],[Purchase Amount (USD)]]</f>
        <v>75</v>
      </c>
      <c r="U2507">
        <f>IF(Table1[[#This Row],[Subscription Status]]="Yes",1,IF(Table1[[#This Row],[Subscription Status]]="No",0))</f>
        <v>0</v>
      </c>
    </row>
    <row r="2508" spans="1:21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  <c r="S2508" t="str">
        <f>IF(Table1[[#This Row],[Age]]&lt;=25,"Young",IF(Table1[[#This Row],[Age]]&lt;=50,"Adult","Senior"))</f>
        <v>Senior</v>
      </c>
      <c r="T2508" s="1">
        <f>Table1[[#This Row],[Purchase Amount (USD)]]</f>
        <v>82</v>
      </c>
      <c r="U2508">
        <f>IF(Table1[[#This Row],[Subscription Status]]="Yes",1,IF(Table1[[#This Row],[Subscription Status]]="No",0))</f>
        <v>0</v>
      </c>
    </row>
    <row r="2509" spans="1:21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  <c r="S2509" t="str">
        <f>IF(Table1[[#This Row],[Age]]&lt;=25,"Young",IF(Table1[[#This Row],[Age]]&lt;=50,"Adult","Senior"))</f>
        <v>Senior</v>
      </c>
      <c r="T2509" s="1">
        <f>Table1[[#This Row],[Purchase Amount (USD)]]</f>
        <v>36</v>
      </c>
      <c r="U2509">
        <f>IF(Table1[[#This Row],[Subscription Status]]="Yes",1,IF(Table1[[#This Row],[Subscription Status]]="No",0))</f>
        <v>0</v>
      </c>
    </row>
    <row r="2510" spans="1:21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  <c r="S2510" t="str">
        <f>IF(Table1[[#This Row],[Age]]&lt;=25,"Young",IF(Table1[[#This Row],[Age]]&lt;=50,"Adult","Senior"))</f>
        <v>Young</v>
      </c>
      <c r="T2510" s="1">
        <f>Table1[[#This Row],[Purchase Amount (USD)]]</f>
        <v>90</v>
      </c>
      <c r="U2510">
        <f>IF(Table1[[#This Row],[Subscription Status]]="Yes",1,IF(Table1[[#This Row],[Subscription Status]]="No",0))</f>
        <v>0</v>
      </c>
    </row>
    <row r="2511" spans="1:21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  <c r="S2511" t="str">
        <f>IF(Table1[[#This Row],[Age]]&lt;=25,"Young",IF(Table1[[#This Row],[Age]]&lt;=50,"Adult","Senior"))</f>
        <v>Young</v>
      </c>
      <c r="T2511" s="1">
        <f>Table1[[#This Row],[Purchase Amount (USD)]]</f>
        <v>48</v>
      </c>
      <c r="U2511">
        <f>IF(Table1[[#This Row],[Subscription Status]]="Yes",1,IF(Table1[[#This Row],[Subscription Status]]="No",0))</f>
        <v>0</v>
      </c>
    </row>
    <row r="2512" spans="1:21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  <c r="S2512" t="str">
        <f>IF(Table1[[#This Row],[Age]]&lt;=25,"Young",IF(Table1[[#This Row],[Age]]&lt;=50,"Adult","Senior"))</f>
        <v>Adult</v>
      </c>
      <c r="T2512" s="1">
        <f>Table1[[#This Row],[Purchase Amount (USD)]]</f>
        <v>42</v>
      </c>
      <c r="U2512">
        <f>IF(Table1[[#This Row],[Subscription Status]]="Yes",1,IF(Table1[[#This Row],[Subscription Status]]="No",0))</f>
        <v>0</v>
      </c>
    </row>
    <row r="2513" spans="1:21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  <c r="S2513" t="str">
        <f>IF(Table1[[#This Row],[Age]]&lt;=25,"Young",IF(Table1[[#This Row],[Age]]&lt;=50,"Adult","Senior"))</f>
        <v>Senior</v>
      </c>
      <c r="T2513" s="1">
        <f>Table1[[#This Row],[Purchase Amount (USD)]]</f>
        <v>33</v>
      </c>
      <c r="U2513">
        <f>IF(Table1[[#This Row],[Subscription Status]]="Yes",1,IF(Table1[[#This Row],[Subscription Status]]="No",0))</f>
        <v>0</v>
      </c>
    </row>
    <row r="2514" spans="1:21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  <c r="S2514" t="str">
        <f>IF(Table1[[#This Row],[Age]]&lt;=25,"Young",IF(Table1[[#This Row],[Age]]&lt;=50,"Adult","Senior"))</f>
        <v>Adult</v>
      </c>
      <c r="T2514" s="1">
        <f>Table1[[#This Row],[Purchase Amount (USD)]]</f>
        <v>63</v>
      </c>
      <c r="U2514">
        <f>IF(Table1[[#This Row],[Subscription Status]]="Yes",1,IF(Table1[[#This Row],[Subscription Status]]="No",0))</f>
        <v>0</v>
      </c>
    </row>
    <row r="2515" spans="1:21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  <c r="S2515" t="str">
        <f>IF(Table1[[#This Row],[Age]]&lt;=25,"Young",IF(Table1[[#This Row],[Age]]&lt;=50,"Adult","Senior"))</f>
        <v>Senior</v>
      </c>
      <c r="T2515" s="1">
        <f>Table1[[#This Row],[Purchase Amount (USD)]]</f>
        <v>53</v>
      </c>
      <c r="U2515">
        <f>IF(Table1[[#This Row],[Subscription Status]]="Yes",1,IF(Table1[[#This Row],[Subscription Status]]="No",0))</f>
        <v>0</v>
      </c>
    </row>
    <row r="2516" spans="1:21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  <c r="S2516" t="str">
        <f>IF(Table1[[#This Row],[Age]]&lt;=25,"Young",IF(Table1[[#This Row],[Age]]&lt;=50,"Adult","Senior"))</f>
        <v>Adult</v>
      </c>
      <c r="T2516" s="1">
        <f>Table1[[#This Row],[Purchase Amount (USD)]]</f>
        <v>37</v>
      </c>
      <c r="U2516">
        <f>IF(Table1[[#This Row],[Subscription Status]]="Yes",1,IF(Table1[[#This Row],[Subscription Status]]="No",0))</f>
        <v>0</v>
      </c>
    </row>
    <row r="2517" spans="1:21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  <c r="S2517" t="str">
        <f>IF(Table1[[#This Row],[Age]]&lt;=25,"Young",IF(Table1[[#This Row],[Age]]&lt;=50,"Adult","Senior"))</f>
        <v>Adult</v>
      </c>
      <c r="T2517" s="1">
        <f>Table1[[#This Row],[Purchase Amount (USD)]]</f>
        <v>92</v>
      </c>
      <c r="U2517">
        <f>IF(Table1[[#This Row],[Subscription Status]]="Yes",1,IF(Table1[[#This Row],[Subscription Status]]="No",0))</f>
        <v>0</v>
      </c>
    </row>
    <row r="2518" spans="1:21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  <c r="S2518" t="str">
        <f>IF(Table1[[#This Row],[Age]]&lt;=25,"Young",IF(Table1[[#This Row],[Age]]&lt;=50,"Adult","Senior"))</f>
        <v>Adult</v>
      </c>
      <c r="T2518" s="1">
        <f>Table1[[#This Row],[Purchase Amount (USD)]]</f>
        <v>73</v>
      </c>
      <c r="U2518">
        <f>IF(Table1[[#This Row],[Subscription Status]]="Yes",1,IF(Table1[[#This Row],[Subscription Status]]="No",0))</f>
        <v>0</v>
      </c>
    </row>
    <row r="2519" spans="1:21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  <c r="S2519" t="str">
        <f>IF(Table1[[#This Row],[Age]]&lt;=25,"Young",IF(Table1[[#This Row],[Age]]&lt;=50,"Adult","Senior"))</f>
        <v>Senior</v>
      </c>
      <c r="T2519" s="1">
        <f>Table1[[#This Row],[Purchase Amount (USD)]]</f>
        <v>38</v>
      </c>
      <c r="U2519">
        <f>IF(Table1[[#This Row],[Subscription Status]]="Yes",1,IF(Table1[[#This Row],[Subscription Status]]="No",0))</f>
        <v>0</v>
      </c>
    </row>
    <row r="2520" spans="1:21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  <c r="S2520" t="str">
        <f>IF(Table1[[#This Row],[Age]]&lt;=25,"Young",IF(Table1[[#This Row],[Age]]&lt;=50,"Adult","Senior"))</f>
        <v>Young</v>
      </c>
      <c r="T2520" s="1">
        <f>Table1[[#This Row],[Purchase Amount (USD)]]</f>
        <v>51</v>
      </c>
      <c r="U2520">
        <f>IF(Table1[[#This Row],[Subscription Status]]="Yes",1,IF(Table1[[#This Row],[Subscription Status]]="No",0))</f>
        <v>0</v>
      </c>
    </row>
    <row r="2521" spans="1:21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  <c r="S2521" t="str">
        <f>IF(Table1[[#This Row],[Age]]&lt;=25,"Young",IF(Table1[[#This Row],[Age]]&lt;=50,"Adult","Senior"))</f>
        <v>Adult</v>
      </c>
      <c r="T2521" s="1">
        <f>Table1[[#This Row],[Purchase Amount (USD)]]</f>
        <v>90</v>
      </c>
      <c r="U2521">
        <f>IF(Table1[[#This Row],[Subscription Status]]="Yes",1,IF(Table1[[#This Row],[Subscription Status]]="No",0))</f>
        <v>0</v>
      </c>
    </row>
    <row r="2522" spans="1:21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  <c r="S2522" t="str">
        <f>IF(Table1[[#This Row],[Age]]&lt;=25,"Young",IF(Table1[[#This Row],[Age]]&lt;=50,"Adult","Senior"))</f>
        <v>Senior</v>
      </c>
      <c r="T2522" s="1">
        <f>Table1[[#This Row],[Purchase Amount (USD)]]</f>
        <v>56</v>
      </c>
      <c r="U2522">
        <f>IF(Table1[[#This Row],[Subscription Status]]="Yes",1,IF(Table1[[#This Row],[Subscription Status]]="No",0))</f>
        <v>0</v>
      </c>
    </row>
    <row r="2523" spans="1:21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  <c r="S2523" t="str">
        <f>IF(Table1[[#This Row],[Age]]&lt;=25,"Young",IF(Table1[[#This Row],[Age]]&lt;=50,"Adult","Senior"))</f>
        <v>Adult</v>
      </c>
      <c r="T2523" s="1">
        <f>Table1[[#This Row],[Purchase Amount (USD)]]</f>
        <v>33</v>
      </c>
      <c r="U2523">
        <f>IF(Table1[[#This Row],[Subscription Status]]="Yes",1,IF(Table1[[#This Row],[Subscription Status]]="No",0))</f>
        <v>0</v>
      </c>
    </row>
    <row r="2524" spans="1:21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  <c r="S2524" t="str">
        <f>IF(Table1[[#This Row],[Age]]&lt;=25,"Young",IF(Table1[[#This Row],[Age]]&lt;=50,"Adult","Senior"))</f>
        <v>Young</v>
      </c>
      <c r="T2524" s="1">
        <f>Table1[[#This Row],[Purchase Amount (USD)]]</f>
        <v>53</v>
      </c>
      <c r="U2524">
        <f>IF(Table1[[#This Row],[Subscription Status]]="Yes",1,IF(Table1[[#This Row],[Subscription Status]]="No",0))</f>
        <v>0</v>
      </c>
    </row>
    <row r="2525" spans="1:21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  <c r="S2525" t="str">
        <f>IF(Table1[[#This Row],[Age]]&lt;=25,"Young",IF(Table1[[#This Row],[Age]]&lt;=50,"Adult","Senior"))</f>
        <v>Adult</v>
      </c>
      <c r="T2525" s="1">
        <f>Table1[[#This Row],[Purchase Amount (USD)]]</f>
        <v>24</v>
      </c>
      <c r="U2525">
        <f>IF(Table1[[#This Row],[Subscription Status]]="Yes",1,IF(Table1[[#This Row],[Subscription Status]]="No",0))</f>
        <v>0</v>
      </c>
    </row>
    <row r="2526" spans="1:21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  <c r="S2526" t="str">
        <f>IF(Table1[[#This Row],[Age]]&lt;=25,"Young",IF(Table1[[#This Row],[Age]]&lt;=50,"Adult","Senior"))</f>
        <v>Senior</v>
      </c>
      <c r="T2526" s="1">
        <f>Table1[[#This Row],[Purchase Amount (USD)]]</f>
        <v>59</v>
      </c>
      <c r="U2526">
        <f>IF(Table1[[#This Row],[Subscription Status]]="Yes",1,IF(Table1[[#This Row],[Subscription Status]]="No",0))</f>
        <v>0</v>
      </c>
    </row>
    <row r="2527" spans="1:21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  <c r="S2527" t="str">
        <f>IF(Table1[[#This Row],[Age]]&lt;=25,"Young",IF(Table1[[#This Row],[Age]]&lt;=50,"Adult","Senior"))</f>
        <v>Adult</v>
      </c>
      <c r="T2527" s="1">
        <f>Table1[[#This Row],[Purchase Amount (USD)]]</f>
        <v>72</v>
      </c>
      <c r="U2527">
        <f>IF(Table1[[#This Row],[Subscription Status]]="Yes",1,IF(Table1[[#This Row],[Subscription Status]]="No",0))</f>
        <v>0</v>
      </c>
    </row>
    <row r="2528" spans="1:21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  <c r="S2528" t="str">
        <f>IF(Table1[[#This Row],[Age]]&lt;=25,"Young",IF(Table1[[#This Row],[Age]]&lt;=50,"Adult","Senior"))</f>
        <v>Adult</v>
      </c>
      <c r="T2528" s="1">
        <f>Table1[[#This Row],[Purchase Amount (USD)]]</f>
        <v>28</v>
      </c>
      <c r="U2528">
        <f>IF(Table1[[#This Row],[Subscription Status]]="Yes",1,IF(Table1[[#This Row],[Subscription Status]]="No",0))</f>
        <v>0</v>
      </c>
    </row>
    <row r="2529" spans="1:21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  <c r="S2529" t="str">
        <f>IF(Table1[[#This Row],[Age]]&lt;=25,"Young",IF(Table1[[#This Row],[Age]]&lt;=50,"Adult","Senior"))</f>
        <v>Young</v>
      </c>
      <c r="T2529" s="1">
        <f>Table1[[#This Row],[Purchase Amount (USD)]]</f>
        <v>36</v>
      </c>
      <c r="U2529">
        <f>IF(Table1[[#This Row],[Subscription Status]]="Yes",1,IF(Table1[[#This Row],[Subscription Status]]="No",0))</f>
        <v>0</v>
      </c>
    </row>
    <row r="2530" spans="1:21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  <c r="S2530" t="str">
        <f>IF(Table1[[#This Row],[Age]]&lt;=25,"Young",IF(Table1[[#This Row],[Age]]&lt;=50,"Adult","Senior"))</f>
        <v>Senior</v>
      </c>
      <c r="T2530" s="1">
        <f>Table1[[#This Row],[Purchase Amount (USD)]]</f>
        <v>47</v>
      </c>
      <c r="U2530">
        <f>IF(Table1[[#This Row],[Subscription Status]]="Yes",1,IF(Table1[[#This Row],[Subscription Status]]="No",0))</f>
        <v>0</v>
      </c>
    </row>
    <row r="2531" spans="1:21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  <c r="S2531" t="str">
        <f>IF(Table1[[#This Row],[Age]]&lt;=25,"Young",IF(Table1[[#This Row],[Age]]&lt;=50,"Adult","Senior"))</f>
        <v>Adult</v>
      </c>
      <c r="T2531" s="1">
        <f>Table1[[#This Row],[Purchase Amount (USD)]]</f>
        <v>62</v>
      </c>
      <c r="U2531">
        <f>IF(Table1[[#This Row],[Subscription Status]]="Yes",1,IF(Table1[[#This Row],[Subscription Status]]="No",0))</f>
        <v>0</v>
      </c>
    </row>
    <row r="2532" spans="1:21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  <c r="S2532" t="str">
        <f>IF(Table1[[#This Row],[Age]]&lt;=25,"Young",IF(Table1[[#This Row],[Age]]&lt;=50,"Adult","Senior"))</f>
        <v>Young</v>
      </c>
      <c r="T2532" s="1">
        <f>Table1[[#This Row],[Purchase Amount (USD)]]</f>
        <v>98</v>
      </c>
      <c r="U2532">
        <f>IF(Table1[[#This Row],[Subscription Status]]="Yes",1,IF(Table1[[#This Row],[Subscription Status]]="No",0))</f>
        <v>0</v>
      </c>
    </row>
    <row r="2533" spans="1:21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  <c r="S2533" t="str">
        <f>IF(Table1[[#This Row],[Age]]&lt;=25,"Young",IF(Table1[[#This Row],[Age]]&lt;=50,"Adult","Senior"))</f>
        <v>Adult</v>
      </c>
      <c r="T2533" s="1">
        <f>Table1[[#This Row],[Purchase Amount (USD)]]</f>
        <v>28</v>
      </c>
      <c r="U2533">
        <f>IF(Table1[[#This Row],[Subscription Status]]="Yes",1,IF(Table1[[#This Row],[Subscription Status]]="No",0))</f>
        <v>0</v>
      </c>
    </row>
    <row r="2534" spans="1:21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  <c r="S2534" t="str">
        <f>IF(Table1[[#This Row],[Age]]&lt;=25,"Young",IF(Table1[[#This Row],[Age]]&lt;=50,"Adult","Senior"))</f>
        <v>Senior</v>
      </c>
      <c r="T2534" s="1">
        <f>Table1[[#This Row],[Purchase Amount (USD)]]</f>
        <v>86</v>
      </c>
      <c r="U2534">
        <f>IF(Table1[[#This Row],[Subscription Status]]="Yes",1,IF(Table1[[#This Row],[Subscription Status]]="No",0))</f>
        <v>0</v>
      </c>
    </row>
    <row r="2535" spans="1:21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  <c r="S2535" t="str">
        <f>IF(Table1[[#This Row],[Age]]&lt;=25,"Young",IF(Table1[[#This Row],[Age]]&lt;=50,"Adult","Senior"))</f>
        <v>Senior</v>
      </c>
      <c r="T2535" s="1">
        <f>Table1[[#This Row],[Purchase Amount (USD)]]</f>
        <v>46</v>
      </c>
      <c r="U2535">
        <f>IF(Table1[[#This Row],[Subscription Status]]="Yes",1,IF(Table1[[#This Row],[Subscription Status]]="No",0))</f>
        <v>0</v>
      </c>
    </row>
    <row r="2536" spans="1:21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  <c r="S2536" t="str">
        <f>IF(Table1[[#This Row],[Age]]&lt;=25,"Young",IF(Table1[[#This Row],[Age]]&lt;=50,"Adult","Senior"))</f>
        <v>Adult</v>
      </c>
      <c r="T2536" s="1">
        <f>Table1[[#This Row],[Purchase Amount (USD)]]</f>
        <v>42</v>
      </c>
      <c r="U2536">
        <f>IF(Table1[[#This Row],[Subscription Status]]="Yes",1,IF(Table1[[#This Row],[Subscription Status]]="No",0))</f>
        <v>0</v>
      </c>
    </row>
    <row r="2537" spans="1:21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  <c r="S2537" t="str">
        <f>IF(Table1[[#This Row],[Age]]&lt;=25,"Young",IF(Table1[[#This Row],[Age]]&lt;=50,"Adult","Senior"))</f>
        <v>Adult</v>
      </c>
      <c r="T2537" s="1">
        <f>Table1[[#This Row],[Purchase Amount (USD)]]</f>
        <v>80</v>
      </c>
      <c r="U2537">
        <f>IF(Table1[[#This Row],[Subscription Status]]="Yes",1,IF(Table1[[#This Row],[Subscription Status]]="No",0))</f>
        <v>0</v>
      </c>
    </row>
    <row r="2538" spans="1:21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  <c r="S2538" t="str">
        <f>IF(Table1[[#This Row],[Age]]&lt;=25,"Young",IF(Table1[[#This Row],[Age]]&lt;=50,"Adult","Senior"))</f>
        <v>Senior</v>
      </c>
      <c r="T2538" s="1">
        <f>Table1[[#This Row],[Purchase Amount (USD)]]</f>
        <v>39</v>
      </c>
      <c r="U2538">
        <f>IF(Table1[[#This Row],[Subscription Status]]="Yes",1,IF(Table1[[#This Row],[Subscription Status]]="No",0))</f>
        <v>0</v>
      </c>
    </row>
    <row r="2539" spans="1:21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  <c r="S2539" t="str">
        <f>IF(Table1[[#This Row],[Age]]&lt;=25,"Young",IF(Table1[[#This Row],[Age]]&lt;=50,"Adult","Senior"))</f>
        <v>Adult</v>
      </c>
      <c r="T2539" s="1">
        <f>Table1[[#This Row],[Purchase Amount (USD)]]</f>
        <v>49</v>
      </c>
      <c r="U2539">
        <f>IF(Table1[[#This Row],[Subscription Status]]="Yes",1,IF(Table1[[#This Row],[Subscription Status]]="No",0))</f>
        <v>0</v>
      </c>
    </row>
    <row r="2540" spans="1:21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  <c r="S2540" t="str">
        <f>IF(Table1[[#This Row],[Age]]&lt;=25,"Young",IF(Table1[[#This Row],[Age]]&lt;=50,"Adult","Senior"))</f>
        <v>Young</v>
      </c>
      <c r="T2540" s="1">
        <f>Table1[[#This Row],[Purchase Amount (USD)]]</f>
        <v>32</v>
      </c>
      <c r="U2540">
        <f>IF(Table1[[#This Row],[Subscription Status]]="Yes",1,IF(Table1[[#This Row],[Subscription Status]]="No",0))</f>
        <v>0</v>
      </c>
    </row>
    <row r="2541" spans="1:21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  <c r="S2541" t="str">
        <f>IF(Table1[[#This Row],[Age]]&lt;=25,"Young",IF(Table1[[#This Row],[Age]]&lt;=50,"Adult","Senior"))</f>
        <v>Adult</v>
      </c>
      <c r="T2541" s="1">
        <f>Table1[[#This Row],[Purchase Amount (USD)]]</f>
        <v>73</v>
      </c>
      <c r="U2541">
        <f>IF(Table1[[#This Row],[Subscription Status]]="Yes",1,IF(Table1[[#This Row],[Subscription Status]]="No",0))</f>
        <v>0</v>
      </c>
    </row>
    <row r="2542" spans="1:21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  <c r="S2542" t="str">
        <f>IF(Table1[[#This Row],[Age]]&lt;=25,"Young",IF(Table1[[#This Row],[Age]]&lt;=50,"Adult","Senior"))</f>
        <v>Young</v>
      </c>
      <c r="T2542" s="1">
        <f>Table1[[#This Row],[Purchase Amount (USD)]]</f>
        <v>42</v>
      </c>
      <c r="U2542">
        <f>IF(Table1[[#This Row],[Subscription Status]]="Yes",1,IF(Table1[[#This Row],[Subscription Status]]="No",0))</f>
        <v>0</v>
      </c>
    </row>
    <row r="2543" spans="1:21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  <c r="S2543" t="str">
        <f>IF(Table1[[#This Row],[Age]]&lt;=25,"Young",IF(Table1[[#This Row],[Age]]&lt;=50,"Adult","Senior"))</f>
        <v>Adult</v>
      </c>
      <c r="T2543" s="1">
        <f>Table1[[#This Row],[Purchase Amount (USD)]]</f>
        <v>58</v>
      </c>
      <c r="U2543">
        <f>IF(Table1[[#This Row],[Subscription Status]]="Yes",1,IF(Table1[[#This Row],[Subscription Status]]="No",0))</f>
        <v>0</v>
      </c>
    </row>
    <row r="2544" spans="1:21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  <c r="S2544" t="str">
        <f>IF(Table1[[#This Row],[Age]]&lt;=25,"Young",IF(Table1[[#This Row],[Age]]&lt;=50,"Adult","Senior"))</f>
        <v>Senior</v>
      </c>
      <c r="T2544" s="1">
        <f>Table1[[#This Row],[Purchase Amount (USD)]]</f>
        <v>22</v>
      </c>
      <c r="U2544">
        <f>IF(Table1[[#This Row],[Subscription Status]]="Yes",1,IF(Table1[[#This Row],[Subscription Status]]="No",0))</f>
        <v>0</v>
      </c>
    </row>
    <row r="2545" spans="1:21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  <c r="S2545" t="str">
        <f>IF(Table1[[#This Row],[Age]]&lt;=25,"Young",IF(Table1[[#This Row],[Age]]&lt;=50,"Adult","Senior"))</f>
        <v>Adult</v>
      </c>
      <c r="T2545" s="1">
        <f>Table1[[#This Row],[Purchase Amount (USD)]]</f>
        <v>56</v>
      </c>
      <c r="U2545">
        <f>IF(Table1[[#This Row],[Subscription Status]]="Yes",1,IF(Table1[[#This Row],[Subscription Status]]="No",0))</f>
        <v>0</v>
      </c>
    </row>
    <row r="2546" spans="1:21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  <c r="S2546" t="str">
        <f>IF(Table1[[#This Row],[Age]]&lt;=25,"Young",IF(Table1[[#This Row],[Age]]&lt;=50,"Adult","Senior"))</f>
        <v>Adult</v>
      </c>
      <c r="T2546" s="1">
        <f>Table1[[#This Row],[Purchase Amount (USD)]]</f>
        <v>70</v>
      </c>
      <c r="U2546">
        <f>IF(Table1[[#This Row],[Subscription Status]]="Yes",1,IF(Table1[[#This Row],[Subscription Status]]="No",0))</f>
        <v>0</v>
      </c>
    </row>
    <row r="2547" spans="1:21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  <c r="S2547" t="str">
        <f>IF(Table1[[#This Row],[Age]]&lt;=25,"Young",IF(Table1[[#This Row],[Age]]&lt;=50,"Adult","Senior"))</f>
        <v>Adult</v>
      </c>
      <c r="T2547" s="1">
        <f>Table1[[#This Row],[Purchase Amount (USD)]]</f>
        <v>50</v>
      </c>
      <c r="U2547">
        <f>IF(Table1[[#This Row],[Subscription Status]]="Yes",1,IF(Table1[[#This Row],[Subscription Status]]="No",0))</f>
        <v>0</v>
      </c>
    </row>
    <row r="2548" spans="1:21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  <c r="S2548" t="str">
        <f>IF(Table1[[#This Row],[Age]]&lt;=25,"Young",IF(Table1[[#This Row],[Age]]&lt;=50,"Adult","Senior"))</f>
        <v>Senior</v>
      </c>
      <c r="T2548" s="1">
        <f>Table1[[#This Row],[Purchase Amount (USD)]]</f>
        <v>21</v>
      </c>
      <c r="U2548">
        <f>IF(Table1[[#This Row],[Subscription Status]]="Yes",1,IF(Table1[[#This Row],[Subscription Status]]="No",0))</f>
        <v>0</v>
      </c>
    </row>
    <row r="2549" spans="1:21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  <c r="S2549" t="str">
        <f>IF(Table1[[#This Row],[Age]]&lt;=25,"Young",IF(Table1[[#This Row],[Age]]&lt;=50,"Adult","Senior"))</f>
        <v>Adult</v>
      </c>
      <c r="T2549" s="1">
        <f>Table1[[#This Row],[Purchase Amount (USD)]]</f>
        <v>97</v>
      </c>
      <c r="U2549">
        <f>IF(Table1[[#This Row],[Subscription Status]]="Yes",1,IF(Table1[[#This Row],[Subscription Status]]="No",0))</f>
        <v>0</v>
      </c>
    </row>
    <row r="2550" spans="1:21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  <c r="S2550" t="str">
        <f>IF(Table1[[#This Row],[Age]]&lt;=25,"Young",IF(Table1[[#This Row],[Age]]&lt;=50,"Adult","Senior"))</f>
        <v>Adult</v>
      </c>
      <c r="T2550" s="1">
        <f>Table1[[#This Row],[Purchase Amount (USD)]]</f>
        <v>63</v>
      </c>
      <c r="U2550">
        <f>IF(Table1[[#This Row],[Subscription Status]]="Yes",1,IF(Table1[[#This Row],[Subscription Status]]="No",0))</f>
        <v>0</v>
      </c>
    </row>
    <row r="2551" spans="1:21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  <c r="S2551" t="str">
        <f>IF(Table1[[#This Row],[Age]]&lt;=25,"Young",IF(Table1[[#This Row],[Age]]&lt;=50,"Adult","Senior"))</f>
        <v>Adult</v>
      </c>
      <c r="T2551" s="1">
        <f>Table1[[#This Row],[Purchase Amount (USD)]]</f>
        <v>60</v>
      </c>
      <c r="U2551">
        <f>IF(Table1[[#This Row],[Subscription Status]]="Yes",1,IF(Table1[[#This Row],[Subscription Status]]="No",0))</f>
        <v>0</v>
      </c>
    </row>
    <row r="2552" spans="1:21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  <c r="S2552" t="str">
        <f>IF(Table1[[#This Row],[Age]]&lt;=25,"Young",IF(Table1[[#This Row],[Age]]&lt;=50,"Adult","Senior"))</f>
        <v>Senior</v>
      </c>
      <c r="T2552" s="1">
        <f>Table1[[#This Row],[Purchase Amount (USD)]]</f>
        <v>52</v>
      </c>
      <c r="U2552">
        <f>IF(Table1[[#This Row],[Subscription Status]]="Yes",1,IF(Table1[[#This Row],[Subscription Status]]="No",0))</f>
        <v>0</v>
      </c>
    </row>
    <row r="2553" spans="1:21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  <c r="S2553" t="str">
        <f>IF(Table1[[#This Row],[Age]]&lt;=25,"Young",IF(Table1[[#This Row],[Age]]&lt;=50,"Adult","Senior"))</f>
        <v>Adult</v>
      </c>
      <c r="T2553" s="1">
        <f>Table1[[#This Row],[Purchase Amount (USD)]]</f>
        <v>32</v>
      </c>
      <c r="U2553">
        <f>IF(Table1[[#This Row],[Subscription Status]]="Yes",1,IF(Table1[[#This Row],[Subscription Status]]="No",0))</f>
        <v>0</v>
      </c>
    </row>
    <row r="2554" spans="1:21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  <c r="S2554" t="str">
        <f>IF(Table1[[#This Row],[Age]]&lt;=25,"Young",IF(Table1[[#This Row],[Age]]&lt;=50,"Adult","Senior"))</f>
        <v>Senior</v>
      </c>
      <c r="T2554" s="1">
        <f>Table1[[#This Row],[Purchase Amount (USD)]]</f>
        <v>48</v>
      </c>
      <c r="U2554">
        <f>IF(Table1[[#This Row],[Subscription Status]]="Yes",1,IF(Table1[[#This Row],[Subscription Status]]="No",0))</f>
        <v>0</v>
      </c>
    </row>
    <row r="2555" spans="1:21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  <c r="S2555" t="str">
        <f>IF(Table1[[#This Row],[Age]]&lt;=25,"Young",IF(Table1[[#This Row],[Age]]&lt;=50,"Adult","Senior"))</f>
        <v>Senior</v>
      </c>
      <c r="T2555" s="1">
        <f>Table1[[#This Row],[Purchase Amount (USD)]]</f>
        <v>25</v>
      </c>
      <c r="U2555">
        <f>IF(Table1[[#This Row],[Subscription Status]]="Yes",1,IF(Table1[[#This Row],[Subscription Status]]="No",0))</f>
        <v>0</v>
      </c>
    </row>
    <row r="2556" spans="1:21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  <c r="S2556" t="str">
        <f>IF(Table1[[#This Row],[Age]]&lt;=25,"Young",IF(Table1[[#This Row],[Age]]&lt;=50,"Adult","Senior"))</f>
        <v>Senior</v>
      </c>
      <c r="T2556" s="1">
        <f>Table1[[#This Row],[Purchase Amount (USD)]]</f>
        <v>68</v>
      </c>
      <c r="U2556">
        <f>IF(Table1[[#This Row],[Subscription Status]]="Yes",1,IF(Table1[[#This Row],[Subscription Status]]="No",0))</f>
        <v>0</v>
      </c>
    </row>
    <row r="2557" spans="1:21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  <c r="S2557" t="str">
        <f>IF(Table1[[#This Row],[Age]]&lt;=25,"Young",IF(Table1[[#This Row],[Age]]&lt;=50,"Adult","Senior"))</f>
        <v>Young</v>
      </c>
      <c r="T2557" s="1">
        <f>Table1[[#This Row],[Purchase Amount (USD)]]</f>
        <v>74</v>
      </c>
      <c r="U2557">
        <f>IF(Table1[[#This Row],[Subscription Status]]="Yes",1,IF(Table1[[#This Row],[Subscription Status]]="No",0))</f>
        <v>0</v>
      </c>
    </row>
    <row r="2558" spans="1:21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  <c r="S2558" t="str">
        <f>IF(Table1[[#This Row],[Age]]&lt;=25,"Young",IF(Table1[[#This Row],[Age]]&lt;=50,"Adult","Senior"))</f>
        <v>Young</v>
      </c>
      <c r="T2558" s="1">
        <f>Table1[[#This Row],[Purchase Amount (USD)]]</f>
        <v>88</v>
      </c>
      <c r="U2558">
        <f>IF(Table1[[#This Row],[Subscription Status]]="Yes",1,IF(Table1[[#This Row],[Subscription Status]]="No",0))</f>
        <v>0</v>
      </c>
    </row>
    <row r="2559" spans="1:21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  <c r="S2559" t="str">
        <f>IF(Table1[[#This Row],[Age]]&lt;=25,"Young",IF(Table1[[#This Row],[Age]]&lt;=50,"Adult","Senior"))</f>
        <v>Senior</v>
      </c>
      <c r="T2559" s="1">
        <f>Table1[[#This Row],[Purchase Amount (USD)]]</f>
        <v>23</v>
      </c>
      <c r="U2559">
        <f>IF(Table1[[#This Row],[Subscription Status]]="Yes",1,IF(Table1[[#This Row],[Subscription Status]]="No",0))</f>
        <v>0</v>
      </c>
    </row>
    <row r="2560" spans="1:21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  <c r="S2560" t="str">
        <f>IF(Table1[[#This Row],[Age]]&lt;=25,"Young",IF(Table1[[#This Row],[Age]]&lt;=50,"Adult","Senior"))</f>
        <v>Adult</v>
      </c>
      <c r="T2560" s="1">
        <f>Table1[[#This Row],[Purchase Amount (USD)]]</f>
        <v>32</v>
      </c>
      <c r="U2560">
        <f>IF(Table1[[#This Row],[Subscription Status]]="Yes",1,IF(Table1[[#This Row],[Subscription Status]]="No",0))</f>
        <v>0</v>
      </c>
    </row>
    <row r="2561" spans="1:21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  <c r="S2561" t="str">
        <f>IF(Table1[[#This Row],[Age]]&lt;=25,"Young",IF(Table1[[#This Row],[Age]]&lt;=50,"Adult","Senior"))</f>
        <v>Adult</v>
      </c>
      <c r="T2561" s="1">
        <f>Table1[[#This Row],[Purchase Amount (USD)]]</f>
        <v>71</v>
      </c>
      <c r="U2561">
        <f>IF(Table1[[#This Row],[Subscription Status]]="Yes",1,IF(Table1[[#This Row],[Subscription Status]]="No",0))</f>
        <v>0</v>
      </c>
    </row>
    <row r="2562" spans="1:21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  <c r="S2562" t="str">
        <f>IF(Table1[[#This Row],[Age]]&lt;=25,"Young",IF(Table1[[#This Row],[Age]]&lt;=50,"Adult","Senior"))</f>
        <v>Senior</v>
      </c>
      <c r="T2562" s="1">
        <f>Table1[[#This Row],[Purchase Amount (USD)]]</f>
        <v>62</v>
      </c>
      <c r="U2562">
        <f>IF(Table1[[#This Row],[Subscription Status]]="Yes",1,IF(Table1[[#This Row],[Subscription Status]]="No",0))</f>
        <v>0</v>
      </c>
    </row>
    <row r="2563" spans="1:21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  <c r="S2563" t="str">
        <f>IF(Table1[[#This Row],[Age]]&lt;=25,"Young",IF(Table1[[#This Row],[Age]]&lt;=50,"Adult","Senior"))</f>
        <v>Adult</v>
      </c>
      <c r="T2563" s="1">
        <f>Table1[[#This Row],[Purchase Amount (USD)]]</f>
        <v>20</v>
      </c>
      <c r="U2563">
        <f>IF(Table1[[#This Row],[Subscription Status]]="Yes",1,IF(Table1[[#This Row],[Subscription Status]]="No",0))</f>
        <v>0</v>
      </c>
    </row>
    <row r="2564" spans="1:21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  <c r="S2564" t="str">
        <f>IF(Table1[[#This Row],[Age]]&lt;=25,"Young",IF(Table1[[#This Row],[Age]]&lt;=50,"Adult","Senior"))</f>
        <v>Senior</v>
      </c>
      <c r="T2564" s="1">
        <f>Table1[[#This Row],[Purchase Amount (USD)]]</f>
        <v>62</v>
      </c>
      <c r="U2564">
        <f>IF(Table1[[#This Row],[Subscription Status]]="Yes",1,IF(Table1[[#This Row],[Subscription Status]]="No",0))</f>
        <v>0</v>
      </c>
    </row>
    <row r="2565" spans="1:21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  <c r="S2565" t="str">
        <f>IF(Table1[[#This Row],[Age]]&lt;=25,"Young",IF(Table1[[#This Row],[Age]]&lt;=50,"Adult","Senior"))</f>
        <v>Senior</v>
      </c>
      <c r="T2565" s="1">
        <f>Table1[[#This Row],[Purchase Amount (USD)]]</f>
        <v>81</v>
      </c>
      <c r="U2565">
        <f>IF(Table1[[#This Row],[Subscription Status]]="Yes",1,IF(Table1[[#This Row],[Subscription Status]]="No",0))</f>
        <v>0</v>
      </c>
    </row>
    <row r="2566" spans="1:21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  <c r="S2566" t="str">
        <f>IF(Table1[[#This Row],[Age]]&lt;=25,"Young",IF(Table1[[#This Row],[Age]]&lt;=50,"Adult","Senior"))</f>
        <v>Adult</v>
      </c>
      <c r="T2566" s="1">
        <f>Table1[[#This Row],[Purchase Amount (USD)]]</f>
        <v>90</v>
      </c>
      <c r="U2566">
        <f>IF(Table1[[#This Row],[Subscription Status]]="Yes",1,IF(Table1[[#This Row],[Subscription Status]]="No",0))</f>
        <v>0</v>
      </c>
    </row>
    <row r="2567" spans="1:21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  <c r="S2567" t="str">
        <f>IF(Table1[[#This Row],[Age]]&lt;=25,"Young",IF(Table1[[#This Row],[Age]]&lt;=50,"Adult","Senior"))</f>
        <v>Adult</v>
      </c>
      <c r="T2567" s="1">
        <f>Table1[[#This Row],[Purchase Amount (USD)]]</f>
        <v>43</v>
      </c>
      <c r="U2567">
        <f>IF(Table1[[#This Row],[Subscription Status]]="Yes",1,IF(Table1[[#This Row],[Subscription Status]]="No",0))</f>
        <v>0</v>
      </c>
    </row>
    <row r="2568" spans="1:21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  <c r="S2568" t="str">
        <f>IF(Table1[[#This Row],[Age]]&lt;=25,"Young",IF(Table1[[#This Row],[Age]]&lt;=50,"Adult","Senior"))</f>
        <v>Adult</v>
      </c>
      <c r="T2568" s="1">
        <f>Table1[[#This Row],[Purchase Amount (USD)]]</f>
        <v>38</v>
      </c>
      <c r="U2568">
        <f>IF(Table1[[#This Row],[Subscription Status]]="Yes",1,IF(Table1[[#This Row],[Subscription Status]]="No",0))</f>
        <v>0</v>
      </c>
    </row>
    <row r="2569" spans="1:21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  <c r="S2569" t="str">
        <f>IF(Table1[[#This Row],[Age]]&lt;=25,"Young",IF(Table1[[#This Row],[Age]]&lt;=50,"Adult","Senior"))</f>
        <v>Young</v>
      </c>
      <c r="T2569" s="1">
        <f>Table1[[#This Row],[Purchase Amount (USD)]]</f>
        <v>25</v>
      </c>
      <c r="U2569">
        <f>IF(Table1[[#This Row],[Subscription Status]]="Yes",1,IF(Table1[[#This Row],[Subscription Status]]="No",0))</f>
        <v>0</v>
      </c>
    </row>
    <row r="2570" spans="1:21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  <c r="S2570" t="str">
        <f>IF(Table1[[#This Row],[Age]]&lt;=25,"Young",IF(Table1[[#This Row],[Age]]&lt;=50,"Adult","Senior"))</f>
        <v>Senior</v>
      </c>
      <c r="T2570" s="1">
        <f>Table1[[#This Row],[Purchase Amount (USD)]]</f>
        <v>98</v>
      </c>
      <c r="U2570">
        <f>IF(Table1[[#This Row],[Subscription Status]]="Yes",1,IF(Table1[[#This Row],[Subscription Status]]="No",0))</f>
        <v>0</v>
      </c>
    </row>
    <row r="2571" spans="1:21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  <c r="S2571" t="str">
        <f>IF(Table1[[#This Row],[Age]]&lt;=25,"Young",IF(Table1[[#This Row],[Age]]&lt;=50,"Adult","Senior"))</f>
        <v>Adult</v>
      </c>
      <c r="T2571" s="1">
        <f>Table1[[#This Row],[Purchase Amount (USD)]]</f>
        <v>75</v>
      </c>
      <c r="U2571">
        <f>IF(Table1[[#This Row],[Subscription Status]]="Yes",1,IF(Table1[[#This Row],[Subscription Status]]="No",0))</f>
        <v>0</v>
      </c>
    </row>
    <row r="2572" spans="1:21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  <c r="S2572" t="str">
        <f>IF(Table1[[#This Row],[Age]]&lt;=25,"Young",IF(Table1[[#This Row],[Age]]&lt;=50,"Adult","Senior"))</f>
        <v>Adult</v>
      </c>
      <c r="T2572" s="1">
        <f>Table1[[#This Row],[Purchase Amount (USD)]]</f>
        <v>27</v>
      </c>
      <c r="U2572">
        <f>IF(Table1[[#This Row],[Subscription Status]]="Yes",1,IF(Table1[[#This Row],[Subscription Status]]="No",0))</f>
        <v>0</v>
      </c>
    </row>
    <row r="2573" spans="1:21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  <c r="S2573" t="str">
        <f>IF(Table1[[#This Row],[Age]]&lt;=25,"Young",IF(Table1[[#This Row],[Age]]&lt;=50,"Adult","Senior"))</f>
        <v>Adult</v>
      </c>
      <c r="T2573" s="1">
        <f>Table1[[#This Row],[Purchase Amount (USD)]]</f>
        <v>27</v>
      </c>
      <c r="U2573">
        <f>IF(Table1[[#This Row],[Subscription Status]]="Yes",1,IF(Table1[[#This Row],[Subscription Status]]="No",0))</f>
        <v>0</v>
      </c>
    </row>
    <row r="2574" spans="1:21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  <c r="S2574" t="str">
        <f>IF(Table1[[#This Row],[Age]]&lt;=25,"Young",IF(Table1[[#This Row],[Age]]&lt;=50,"Adult","Senior"))</f>
        <v>Senior</v>
      </c>
      <c r="T2574" s="1">
        <f>Table1[[#This Row],[Purchase Amount (USD)]]</f>
        <v>42</v>
      </c>
      <c r="U2574">
        <f>IF(Table1[[#This Row],[Subscription Status]]="Yes",1,IF(Table1[[#This Row],[Subscription Status]]="No",0))</f>
        <v>0</v>
      </c>
    </row>
    <row r="2575" spans="1:21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  <c r="S2575" t="str">
        <f>IF(Table1[[#This Row],[Age]]&lt;=25,"Young",IF(Table1[[#This Row],[Age]]&lt;=50,"Adult","Senior"))</f>
        <v>Senior</v>
      </c>
      <c r="T2575" s="1">
        <f>Table1[[#This Row],[Purchase Amount (USD)]]</f>
        <v>90</v>
      </c>
      <c r="U2575">
        <f>IF(Table1[[#This Row],[Subscription Status]]="Yes",1,IF(Table1[[#This Row],[Subscription Status]]="No",0))</f>
        <v>0</v>
      </c>
    </row>
    <row r="2576" spans="1:21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  <c r="S2576" t="str">
        <f>IF(Table1[[#This Row],[Age]]&lt;=25,"Young",IF(Table1[[#This Row],[Age]]&lt;=50,"Adult","Senior"))</f>
        <v>Adult</v>
      </c>
      <c r="T2576" s="1">
        <f>Table1[[#This Row],[Purchase Amount (USD)]]</f>
        <v>63</v>
      </c>
      <c r="U2576">
        <f>IF(Table1[[#This Row],[Subscription Status]]="Yes",1,IF(Table1[[#This Row],[Subscription Status]]="No",0))</f>
        <v>0</v>
      </c>
    </row>
    <row r="2577" spans="1:21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  <c r="S2577" t="str">
        <f>IF(Table1[[#This Row],[Age]]&lt;=25,"Young",IF(Table1[[#This Row],[Age]]&lt;=50,"Adult","Senior"))</f>
        <v>Senior</v>
      </c>
      <c r="T2577" s="1">
        <f>Table1[[#This Row],[Purchase Amount (USD)]]</f>
        <v>96</v>
      </c>
      <c r="U2577">
        <f>IF(Table1[[#This Row],[Subscription Status]]="Yes",1,IF(Table1[[#This Row],[Subscription Status]]="No",0))</f>
        <v>0</v>
      </c>
    </row>
    <row r="2578" spans="1:21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  <c r="S2578" t="str">
        <f>IF(Table1[[#This Row],[Age]]&lt;=25,"Young",IF(Table1[[#This Row],[Age]]&lt;=50,"Adult","Senior"))</f>
        <v>Young</v>
      </c>
      <c r="T2578" s="1">
        <f>Table1[[#This Row],[Purchase Amount (USD)]]</f>
        <v>40</v>
      </c>
      <c r="U2578">
        <f>IF(Table1[[#This Row],[Subscription Status]]="Yes",1,IF(Table1[[#This Row],[Subscription Status]]="No",0))</f>
        <v>0</v>
      </c>
    </row>
    <row r="2579" spans="1:21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  <c r="S2579" t="str">
        <f>IF(Table1[[#This Row],[Age]]&lt;=25,"Young",IF(Table1[[#This Row],[Age]]&lt;=50,"Adult","Senior"))</f>
        <v>Senior</v>
      </c>
      <c r="T2579" s="1">
        <f>Table1[[#This Row],[Purchase Amount (USD)]]</f>
        <v>39</v>
      </c>
      <c r="U2579">
        <f>IF(Table1[[#This Row],[Subscription Status]]="Yes",1,IF(Table1[[#This Row],[Subscription Status]]="No",0))</f>
        <v>0</v>
      </c>
    </row>
    <row r="2580" spans="1:21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  <c r="S2580" t="str">
        <f>IF(Table1[[#This Row],[Age]]&lt;=25,"Young",IF(Table1[[#This Row],[Age]]&lt;=50,"Adult","Senior"))</f>
        <v>Senior</v>
      </c>
      <c r="T2580" s="1">
        <f>Table1[[#This Row],[Purchase Amount (USD)]]</f>
        <v>48</v>
      </c>
      <c r="U2580">
        <f>IF(Table1[[#This Row],[Subscription Status]]="Yes",1,IF(Table1[[#This Row],[Subscription Status]]="No",0))</f>
        <v>0</v>
      </c>
    </row>
    <row r="2581" spans="1:21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  <c r="S2581" t="str">
        <f>IF(Table1[[#This Row],[Age]]&lt;=25,"Young",IF(Table1[[#This Row],[Age]]&lt;=50,"Adult","Senior"))</f>
        <v>Senior</v>
      </c>
      <c r="T2581" s="1">
        <f>Table1[[#This Row],[Purchase Amount (USD)]]</f>
        <v>20</v>
      </c>
      <c r="U2581">
        <f>IF(Table1[[#This Row],[Subscription Status]]="Yes",1,IF(Table1[[#This Row],[Subscription Status]]="No",0))</f>
        <v>0</v>
      </c>
    </row>
    <row r="2582" spans="1:21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  <c r="S2582" t="str">
        <f>IF(Table1[[#This Row],[Age]]&lt;=25,"Young",IF(Table1[[#This Row],[Age]]&lt;=50,"Adult","Senior"))</f>
        <v>Adult</v>
      </c>
      <c r="T2582" s="1">
        <f>Table1[[#This Row],[Purchase Amount (USD)]]</f>
        <v>29</v>
      </c>
      <c r="U2582">
        <f>IF(Table1[[#This Row],[Subscription Status]]="Yes",1,IF(Table1[[#This Row],[Subscription Status]]="No",0))</f>
        <v>0</v>
      </c>
    </row>
    <row r="2583" spans="1:21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  <c r="S2583" t="str">
        <f>IF(Table1[[#This Row],[Age]]&lt;=25,"Young",IF(Table1[[#This Row],[Age]]&lt;=50,"Adult","Senior"))</f>
        <v>Senior</v>
      </c>
      <c r="T2583" s="1">
        <f>Table1[[#This Row],[Purchase Amount (USD)]]</f>
        <v>81</v>
      </c>
      <c r="U2583">
        <f>IF(Table1[[#This Row],[Subscription Status]]="Yes",1,IF(Table1[[#This Row],[Subscription Status]]="No",0))</f>
        <v>0</v>
      </c>
    </row>
    <row r="2584" spans="1:21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  <c r="S2584" t="str">
        <f>IF(Table1[[#This Row],[Age]]&lt;=25,"Young",IF(Table1[[#This Row],[Age]]&lt;=50,"Adult","Senior"))</f>
        <v>Young</v>
      </c>
      <c r="T2584" s="1">
        <f>Table1[[#This Row],[Purchase Amount (USD)]]</f>
        <v>98</v>
      </c>
      <c r="U2584">
        <f>IF(Table1[[#This Row],[Subscription Status]]="Yes",1,IF(Table1[[#This Row],[Subscription Status]]="No",0))</f>
        <v>0</v>
      </c>
    </row>
    <row r="2585" spans="1:21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  <c r="S2585" t="str">
        <f>IF(Table1[[#This Row],[Age]]&lt;=25,"Young",IF(Table1[[#This Row],[Age]]&lt;=50,"Adult","Senior"))</f>
        <v>Senior</v>
      </c>
      <c r="T2585" s="1">
        <f>Table1[[#This Row],[Purchase Amount (USD)]]</f>
        <v>93</v>
      </c>
      <c r="U2585">
        <f>IF(Table1[[#This Row],[Subscription Status]]="Yes",1,IF(Table1[[#This Row],[Subscription Status]]="No",0))</f>
        <v>0</v>
      </c>
    </row>
    <row r="2586" spans="1:21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  <c r="S2586" t="str">
        <f>IF(Table1[[#This Row],[Age]]&lt;=25,"Young",IF(Table1[[#This Row],[Age]]&lt;=50,"Adult","Senior"))</f>
        <v>Adult</v>
      </c>
      <c r="T2586" s="1">
        <f>Table1[[#This Row],[Purchase Amount (USD)]]</f>
        <v>30</v>
      </c>
      <c r="U2586">
        <f>IF(Table1[[#This Row],[Subscription Status]]="Yes",1,IF(Table1[[#This Row],[Subscription Status]]="No",0))</f>
        <v>0</v>
      </c>
    </row>
    <row r="2587" spans="1:21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  <c r="S2587" t="str">
        <f>IF(Table1[[#This Row],[Age]]&lt;=25,"Young",IF(Table1[[#This Row],[Age]]&lt;=50,"Adult","Senior"))</f>
        <v>Senior</v>
      </c>
      <c r="T2587" s="1">
        <f>Table1[[#This Row],[Purchase Amount (USD)]]</f>
        <v>37</v>
      </c>
      <c r="U2587">
        <f>IF(Table1[[#This Row],[Subscription Status]]="Yes",1,IF(Table1[[#This Row],[Subscription Status]]="No",0))</f>
        <v>0</v>
      </c>
    </row>
    <row r="2588" spans="1:21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  <c r="S2588" t="str">
        <f>IF(Table1[[#This Row],[Age]]&lt;=25,"Young",IF(Table1[[#This Row],[Age]]&lt;=50,"Adult","Senior"))</f>
        <v>Young</v>
      </c>
      <c r="T2588" s="1">
        <f>Table1[[#This Row],[Purchase Amount (USD)]]</f>
        <v>28</v>
      </c>
      <c r="U2588">
        <f>IF(Table1[[#This Row],[Subscription Status]]="Yes",1,IF(Table1[[#This Row],[Subscription Status]]="No",0))</f>
        <v>0</v>
      </c>
    </row>
    <row r="2589" spans="1:21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  <c r="S2589" t="str">
        <f>IF(Table1[[#This Row],[Age]]&lt;=25,"Young",IF(Table1[[#This Row],[Age]]&lt;=50,"Adult","Senior"))</f>
        <v>Senior</v>
      </c>
      <c r="T2589" s="1">
        <f>Table1[[#This Row],[Purchase Amount (USD)]]</f>
        <v>29</v>
      </c>
      <c r="U2589">
        <f>IF(Table1[[#This Row],[Subscription Status]]="Yes",1,IF(Table1[[#This Row],[Subscription Status]]="No",0))</f>
        <v>0</v>
      </c>
    </row>
    <row r="2590" spans="1:21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  <c r="S2590" t="str">
        <f>IF(Table1[[#This Row],[Age]]&lt;=25,"Young",IF(Table1[[#This Row],[Age]]&lt;=50,"Adult","Senior"))</f>
        <v>Adult</v>
      </c>
      <c r="T2590" s="1">
        <f>Table1[[#This Row],[Purchase Amount (USD)]]</f>
        <v>49</v>
      </c>
      <c r="U2590">
        <f>IF(Table1[[#This Row],[Subscription Status]]="Yes",1,IF(Table1[[#This Row],[Subscription Status]]="No",0))</f>
        <v>0</v>
      </c>
    </row>
    <row r="2591" spans="1:21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  <c r="S2591" t="str">
        <f>IF(Table1[[#This Row],[Age]]&lt;=25,"Young",IF(Table1[[#This Row],[Age]]&lt;=50,"Adult","Senior"))</f>
        <v>Senior</v>
      </c>
      <c r="T2591" s="1">
        <f>Table1[[#This Row],[Purchase Amount (USD)]]</f>
        <v>53</v>
      </c>
      <c r="U2591">
        <f>IF(Table1[[#This Row],[Subscription Status]]="Yes",1,IF(Table1[[#This Row],[Subscription Status]]="No",0))</f>
        <v>0</v>
      </c>
    </row>
    <row r="2592" spans="1:21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  <c r="S2592" t="str">
        <f>IF(Table1[[#This Row],[Age]]&lt;=25,"Young",IF(Table1[[#This Row],[Age]]&lt;=50,"Adult","Senior"))</f>
        <v>Senior</v>
      </c>
      <c r="T2592" s="1">
        <f>Table1[[#This Row],[Purchase Amount (USD)]]</f>
        <v>66</v>
      </c>
      <c r="U2592">
        <f>IF(Table1[[#This Row],[Subscription Status]]="Yes",1,IF(Table1[[#This Row],[Subscription Status]]="No",0))</f>
        <v>0</v>
      </c>
    </row>
    <row r="2593" spans="1:21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  <c r="S2593" t="str">
        <f>IF(Table1[[#This Row],[Age]]&lt;=25,"Young",IF(Table1[[#This Row],[Age]]&lt;=50,"Adult","Senior"))</f>
        <v>Adult</v>
      </c>
      <c r="T2593" s="1">
        <f>Table1[[#This Row],[Purchase Amount (USD)]]</f>
        <v>61</v>
      </c>
      <c r="U2593">
        <f>IF(Table1[[#This Row],[Subscription Status]]="Yes",1,IF(Table1[[#This Row],[Subscription Status]]="No",0))</f>
        <v>0</v>
      </c>
    </row>
    <row r="2594" spans="1:21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  <c r="S2594" t="str">
        <f>IF(Table1[[#This Row],[Age]]&lt;=25,"Young",IF(Table1[[#This Row],[Age]]&lt;=50,"Adult","Senior"))</f>
        <v>Young</v>
      </c>
      <c r="T2594" s="1">
        <f>Table1[[#This Row],[Purchase Amount (USD)]]</f>
        <v>23</v>
      </c>
      <c r="U2594">
        <f>IF(Table1[[#This Row],[Subscription Status]]="Yes",1,IF(Table1[[#This Row],[Subscription Status]]="No",0))</f>
        <v>0</v>
      </c>
    </row>
    <row r="2595" spans="1:21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  <c r="S2595" t="str">
        <f>IF(Table1[[#This Row],[Age]]&lt;=25,"Young",IF(Table1[[#This Row],[Age]]&lt;=50,"Adult","Senior"))</f>
        <v>Adult</v>
      </c>
      <c r="T2595" s="1">
        <f>Table1[[#This Row],[Purchase Amount (USD)]]</f>
        <v>36</v>
      </c>
      <c r="U2595">
        <f>IF(Table1[[#This Row],[Subscription Status]]="Yes",1,IF(Table1[[#This Row],[Subscription Status]]="No",0))</f>
        <v>0</v>
      </c>
    </row>
    <row r="2596" spans="1:21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  <c r="S2596" t="str">
        <f>IF(Table1[[#This Row],[Age]]&lt;=25,"Young",IF(Table1[[#This Row],[Age]]&lt;=50,"Adult","Senior"))</f>
        <v>Senior</v>
      </c>
      <c r="T2596" s="1">
        <f>Table1[[#This Row],[Purchase Amount (USD)]]</f>
        <v>81</v>
      </c>
      <c r="U2596">
        <f>IF(Table1[[#This Row],[Subscription Status]]="Yes",1,IF(Table1[[#This Row],[Subscription Status]]="No",0))</f>
        <v>0</v>
      </c>
    </row>
    <row r="2597" spans="1:21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  <c r="S2597" t="str">
        <f>IF(Table1[[#This Row],[Age]]&lt;=25,"Young",IF(Table1[[#This Row],[Age]]&lt;=50,"Adult","Senior"))</f>
        <v>Adult</v>
      </c>
      <c r="T2597" s="1">
        <f>Table1[[#This Row],[Purchase Amount (USD)]]</f>
        <v>56</v>
      </c>
      <c r="U2597">
        <f>IF(Table1[[#This Row],[Subscription Status]]="Yes",1,IF(Table1[[#This Row],[Subscription Status]]="No",0))</f>
        <v>0</v>
      </c>
    </row>
    <row r="2598" spans="1:21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  <c r="S2598" t="str">
        <f>IF(Table1[[#This Row],[Age]]&lt;=25,"Young",IF(Table1[[#This Row],[Age]]&lt;=50,"Adult","Senior"))</f>
        <v>Senior</v>
      </c>
      <c r="T2598" s="1">
        <f>Table1[[#This Row],[Purchase Amount (USD)]]</f>
        <v>78</v>
      </c>
      <c r="U2598">
        <f>IF(Table1[[#This Row],[Subscription Status]]="Yes",1,IF(Table1[[#This Row],[Subscription Status]]="No",0))</f>
        <v>0</v>
      </c>
    </row>
    <row r="2599" spans="1:21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  <c r="S2599" t="str">
        <f>IF(Table1[[#This Row],[Age]]&lt;=25,"Young",IF(Table1[[#This Row],[Age]]&lt;=50,"Adult","Senior"))</f>
        <v>Senior</v>
      </c>
      <c r="T2599" s="1">
        <f>Table1[[#This Row],[Purchase Amount (USD)]]</f>
        <v>25</v>
      </c>
      <c r="U2599">
        <f>IF(Table1[[#This Row],[Subscription Status]]="Yes",1,IF(Table1[[#This Row],[Subscription Status]]="No",0))</f>
        <v>0</v>
      </c>
    </row>
    <row r="2600" spans="1:21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  <c r="S2600" t="str">
        <f>IF(Table1[[#This Row],[Age]]&lt;=25,"Young",IF(Table1[[#This Row],[Age]]&lt;=50,"Adult","Senior"))</f>
        <v>Senior</v>
      </c>
      <c r="T2600" s="1">
        <f>Table1[[#This Row],[Purchase Amount (USD)]]</f>
        <v>86</v>
      </c>
      <c r="U2600">
        <f>IF(Table1[[#This Row],[Subscription Status]]="Yes",1,IF(Table1[[#This Row],[Subscription Status]]="No",0))</f>
        <v>0</v>
      </c>
    </row>
    <row r="2601" spans="1:21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  <c r="S2601" t="str">
        <f>IF(Table1[[#This Row],[Age]]&lt;=25,"Young",IF(Table1[[#This Row],[Age]]&lt;=50,"Adult","Senior"))</f>
        <v>Senior</v>
      </c>
      <c r="T2601" s="1">
        <f>Table1[[#This Row],[Purchase Amount (USD)]]</f>
        <v>99</v>
      </c>
      <c r="U2601">
        <f>IF(Table1[[#This Row],[Subscription Status]]="Yes",1,IF(Table1[[#This Row],[Subscription Status]]="No",0))</f>
        <v>0</v>
      </c>
    </row>
    <row r="2602" spans="1:21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  <c r="S2602" t="str">
        <f>IF(Table1[[#This Row],[Age]]&lt;=25,"Young",IF(Table1[[#This Row],[Age]]&lt;=50,"Adult","Senior"))</f>
        <v>Young</v>
      </c>
      <c r="T2602" s="1">
        <f>Table1[[#This Row],[Purchase Amount (USD)]]</f>
        <v>83</v>
      </c>
      <c r="U2602">
        <f>IF(Table1[[#This Row],[Subscription Status]]="Yes",1,IF(Table1[[#This Row],[Subscription Status]]="No",0))</f>
        <v>0</v>
      </c>
    </row>
    <row r="2603" spans="1:21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  <c r="S2603" t="str">
        <f>IF(Table1[[#This Row],[Age]]&lt;=25,"Young",IF(Table1[[#This Row],[Age]]&lt;=50,"Adult","Senior"))</f>
        <v>Senior</v>
      </c>
      <c r="T2603" s="1">
        <f>Table1[[#This Row],[Purchase Amount (USD)]]</f>
        <v>33</v>
      </c>
      <c r="U2603">
        <f>IF(Table1[[#This Row],[Subscription Status]]="Yes",1,IF(Table1[[#This Row],[Subscription Status]]="No",0))</f>
        <v>0</v>
      </c>
    </row>
    <row r="2604" spans="1:21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  <c r="S2604" t="str">
        <f>IF(Table1[[#This Row],[Age]]&lt;=25,"Young",IF(Table1[[#This Row],[Age]]&lt;=50,"Adult","Senior"))</f>
        <v>Senior</v>
      </c>
      <c r="T2604" s="1">
        <f>Table1[[#This Row],[Purchase Amount (USD)]]</f>
        <v>44</v>
      </c>
      <c r="U2604">
        <f>IF(Table1[[#This Row],[Subscription Status]]="Yes",1,IF(Table1[[#This Row],[Subscription Status]]="No",0))</f>
        <v>0</v>
      </c>
    </row>
    <row r="2605" spans="1:21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  <c r="S2605" t="str">
        <f>IF(Table1[[#This Row],[Age]]&lt;=25,"Young",IF(Table1[[#This Row],[Age]]&lt;=50,"Adult","Senior"))</f>
        <v>Senior</v>
      </c>
      <c r="T2605" s="1">
        <f>Table1[[#This Row],[Purchase Amount (USD)]]</f>
        <v>58</v>
      </c>
      <c r="U2605">
        <f>IF(Table1[[#This Row],[Subscription Status]]="Yes",1,IF(Table1[[#This Row],[Subscription Status]]="No",0))</f>
        <v>0</v>
      </c>
    </row>
    <row r="2606" spans="1:21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  <c r="S2606" t="str">
        <f>IF(Table1[[#This Row],[Age]]&lt;=25,"Young",IF(Table1[[#This Row],[Age]]&lt;=50,"Adult","Senior"))</f>
        <v>Adult</v>
      </c>
      <c r="T2606" s="1">
        <f>Table1[[#This Row],[Purchase Amount (USD)]]</f>
        <v>54</v>
      </c>
      <c r="U2606">
        <f>IF(Table1[[#This Row],[Subscription Status]]="Yes",1,IF(Table1[[#This Row],[Subscription Status]]="No",0))</f>
        <v>0</v>
      </c>
    </row>
    <row r="2607" spans="1:21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  <c r="S2607" t="str">
        <f>IF(Table1[[#This Row],[Age]]&lt;=25,"Young",IF(Table1[[#This Row],[Age]]&lt;=50,"Adult","Senior"))</f>
        <v>Adult</v>
      </c>
      <c r="T2607" s="1">
        <f>Table1[[#This Row],[Purchase Amount (USD)]]</f>
        <v>93</v>
      </c>
      <c r="U2607">
        <f>IF(Table1[[#This Row],[Subscription Status]]="Yes",1,IF(Table1[[#This Row],[Subscription Status]]="No",0))</f>
        <v>0</v>
      </c>
    </row>
    <row r="2608" spans="1:21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  <c r="S2608" t="str">
        <f>IF(Table1[[#This Row],[Age]]&lt;=25,"Young",IF(Table1[[#This Row],[Age]]&lt;=50,"Adult","Senior"))</f>
        <v>Senior</v>
      </c>
      <c r="T2608" s="1">
        <f>Table1[[#This Row],[Purchase Amount (USD)]]</f>
        <v>98</v>
      </c>
      <c r="U2608">
        <f>IF(Table1[[#This Row],[Subscription Status]]="Yes",1,IF(Table1[[#This Row],[Subscription Status]]="No",0))</f>
        <v>0</v>
      </c>
    </row>
    <row r="2609" spans="1:21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  <c r="S2609" t="str">
        <f>IF(Table1[[#This Row],[Age]]&lt;=25,"Young",IF(Table1[[#This Row],[Age]]&lt;=50,"Adult","Senior"))</f>
        <v>Adult</v>
      </c>
      <c r="T2609" s="1">
        <f>Table1[[#This Row],[Purchase Amount (USD)]]</f>
        <v>36</v>
      </c>
      <c r="U2609">
        <f>IF(Table1[[#This Row],[Subscription Status]]="Yes",1,IF(Table1[[#This Row],[Subscription Status]]="No",0))</f>
        <v>0</v>
      </c>
    </row>
    <row r="2610" spans="1:21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  <c r="S2610" t="str">
        <f>IF(Table1[[#This Row],[Age]]&lt;=25,"Young",IF(Table1[[#This Row],[Age]]&lt;=50,"Adult","Senior"))</f>
        <v>Adult</v>
      </c>
      <c r="T2610" s="1">
        <f>Table1[[#This Row],[Purchase Amount (USD)]]</f>
        <v>68</v>
      </c>
      <c r="U2610">
        <f>IF(Table1[[#This Row],[Subscription Status]]="Yes",1,IF(Table1[[#This Row],[Subscription Status]]="No",0))</f>
        <v>0</v>
      </c>
    </row>
    <row r="2611" spans="1:21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  <c r="S2611" t="str">
        <f>IF(Table1[[#This Row],[Age]]&lt;=25,"Young",IF(Table1[[#This Row],[Age]]&lt;=50,"Adult","Senior"))</f>
        <v>Senior</v>
      </c>
      <c r="T2611" s="1">
        <f>Table1[[#This Row],[Purchase Amount (USD)]]</f>
        <v>95</v>
      </c>
      <c r="U2611">
        <f>IF(Table1[[#This Row],[Subscription Status]]="Yes",1,IF(Table1[[#This Row],[Subscription Status]]="No",0))</f>
        <v>0</v>
      </c>
    </row>
    <row r="2612" spans="1:21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  <c r="S2612" t="str">
        <f>IF(Table1[[#This Row],[Age]]&lt;=25,"Young",IF(Table1[[#This Row],[Age]]&lt;=50,"Adult","Senior"))</f>
        <v>Senior</v>
      </c>
      <c r="T2612" s="1">
        <f>Table1[[#This Row],[Purchase Amount (USD)]]</f>
        <v>93</v>
      </c>
      <c r="U2612">
        <f>IF(Table1[[#This Row],[Subscription Status]]="Yes",1,IF(Table1[[#This Row],[Subscription Status]]="No",0))</f>
        <v>0</v>
      </c>
    </row>
    <row r="2613" spans="1:21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  <c r="S2613" t="str">
        <f>IF(Table1[[#This Row],[Age]]&lt;=25,"Young",IF(Table1[[#This Row],[Age]]&lt;=50,"Adult","Senior"))</f>
        <v>Adult</v>
      </c>
      <c r="T2613" s="1">
        <f>Table1[[#This Row],[Purchase Amount (USD)]]</f>
        <v>99</v>
      </c>
      <c r="U2613">
        <f>IF(Table1[[#This Row],[Subscription Status]]="Yes",1,IF(Table1[[#This Row],[Subscription Status]]="No",0))</f>
        <v>0</v>
      </c>
    </row>
    <row r="2614" spans="1:21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  <c r="S2614" t="str">
        <f>IF(Table1[[#This Row],[Age]]&lt;=25,"Young",IF(Table1[[#This Row],[Age]]&lt;=50,"Adult","Senior"))</f>
        <v>Senior</v>
      </c>
      <c r="T2614" s="1">
        <f>Table1[[#This Row],[Purchase Amount (USD)]]</f>
        <v>22</v>
      </c>
      <c r="U2614">
        <f>IF(Table1[[#This Row],[Subscription Status]]="Yes",1,IF(Table1[[#This Row],[Subscription Status]]="No",0))</f>
        <v>0</v>
      </c>
    </row>
    <row r="2615" spans="1:21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  <c r="S2615" t="str">
        <f>IF(Table1[[#This Row],[Age]]&lt;=25,"Young",IF(Table1[[#This Row],[Age]]&lt;=50,"Adult","Senior"))</f>
        <v>Senior</v>
      </c>
      <c r="T2615" s="1">
        <f>Table1[[#This Row],[Purchase Amount (USD)]]</f>
        <v>88</v>
      </c>
      <c r="U2615">
        <f>IF(Table1[[#This Row],[Subscription Status]]="Yes",1,IF(Table1[[#This Row],[Subscription Status]]="No",0))</f>
        <v>0</v>
      </c>
    </row>
    <row r="2616" spans="1:21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  <c r="S2616" t="str">
        <f>IF(Table1[[#This Row],[Age]]&lt;=25,"Young",IF(Table1[[#This Row],[Age]]&lt;=50,"Adult","Senior"))</f>
        <v>Young</v>
      </c>
      <c r="T2616" s="1">
        <f>Table1[[#This Row],[Purchase Amount (USD)]]</f>
        <v>65</v>
      </c>
      <c r="U2616">
        <f>IF(Table1[[#This Row],[Subscription Status]]="Yes",1,IF(Table1[[#This Row],[Subscription Status]]="No",0))</f>
        <v>0</v>
      </c>
    </row>
    <row r="2617" spans="1:21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  <c r="S2617" t="str">
        <f>IF(Table1[[#This Row],[Age]]&lt;=25,"Young",IF(Table1[[#This Row],[Age]]&lt;=50,"Adult","Senior"))</f>
        <v>Adult</v>
      </c>
      <c r="T2617" s="1">
        <f>Table1[[#This Row],[Purchase Amount (USD)]]</f>
        <v>62</v>
      </c>
      <c r="U2617">
        <f>IF(Table1[[#This Row],[Subscription Status]]="Yes",1,IF(Table1[[#This Row],[Subscription Status]]="No",0))</f>
        <v>0</v>
      </c>
    </row>
    <row r="2618" spans="1:21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  <c r="S2618" t="str">
        <f>IF(Table1[[#This Row],[Age]]&lt;=25,"Young",IF(Table1[[#This Row],[Age]]&lt;=50,"Adult","Senior"))</f>
        <v>Senior</v>
      </c>
      <c r="T2618" s="1">
        <f>Table1[[#This Row],[Purchase Amount (USD)]]</f>
        <v>55</v>
      </c>
      <c r="U2618">
        <f>IF(Table1[[#This Row],[Subscription Status]]="Yes",1,IF(Table1[[#This Row],[Subscription Status]]="No",0))</f>
        <v>0</v>
      </c>
    </row>
    <row r="2619" spans="1:21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  <c r="S2619" t="str">
        <f>IF(Table1[[#This Row],[Age]]&lt;=25,"Young",IF(Table1[[#This Row],[Age]]&lt;=50,"Adult","Senior"))</f>
        <v>Adult</v>
      </c>
      <c r="T2619" s="1">
        <f>Table1[[#This Row],[Purchase Amount (USD)]]</f>
        <v>97</v>
      </c>
      <c r="U2619">
        <f>IF(Table1[[#This Row],[Subscription Status]]="Yes",1,IF(Table1[[#This Row],[Subscription Status]]="No",0))</f>
        <v>0</v>
      </c>
    </row>
    <row r="2620" spans="1:21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  <c r="S2620" t="str">
        <f>IF(Table1[[#This Row],[Age]]&lt;=25,"Young",IF(Table1[[#This Row],[Age]]&lt;=50,"Adult","Senior"))</f>
        <v>Senior</v>
      </c>
      <c r="T2620" s="1">
        <f>Table1[[#This Row],[Purchase Amount (USD)]]</f>
        <v>77</v>
      </c>
      <c r="U2620">
        <f>IF(Table1[[#This Row],[Subscription Status]]="Yes",1,IF(Table1[[#This Row],[Subscription Status]]="No",0))</f>
        <v>0</v>
      </c>
    </row>
    <row r="2621" spans="1:21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  <c r="S2621" t="str">
        <f>IF(Table1[[#This Row],[Age]]&lt;=25,"Young",IF(Table1[[#This Row],[Age]]&lt;=50,"Adult","Senior"))</f>
        <v>Senior</v>
      </c>
      <c r="T2621" s="1">
        <f>Table1[[#This Row],[Purchase Amount (USD)]]</f>
        <v>40</v>
      </c>
      <c r="U2621">
        <f>IF(Table1[[#This Row],[Subscription Status]]="Yes",1,IF(Table1[[#This Row],[Subscription Status]]="No",0))</f>
        <v>0</v>
      </c>
    </row>
    <row r="2622" spans="1:21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  <c r="S2622" t="str">
        <f>IF(Table1[[#This Row],[Age]]&lt;=25,"Young",IF(Table1[[#This Row],[Age]]&lt;=50,"Adult","Senior"))</f>
        <v>Adult</v>
      </c>
      <c r="T2622" s="1">
        <f>Table1[[#This Row],[Purchase Amount (USD)]]</f>
        <v>23</v>
      </c>
      <c r="U2622">
        <f>IF(Table1[[#This Row],[Subscription Status]]="Yes",1,IF(Table1[[#This Row],[Subscription Status]]="No",0))</f>
        <v>0</v>
      </c>
    </row>
    <row r="2623" spans="1:21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  <c r="S2623" t="str">
        <f>IF(Table1[[#This Row],[Age]]&lt;=25,"Young",IF(Table1[[#This Row],[Age]]&lt;=50,"Adult","Senior"))</f>
        <v>Adult</v>
      </c>
      <c r="T2623" s="1">
        <f>Table1[[#This Row],[Purchase Amount (USD)]]</f>
        <v>46</v>
      </c>
      <c r="U2623">
        <f>IF(Table1[[#This Row],[Subscription Status]]="Yes",1,IF(Table1[[#This Row],[Subscription Status]]="No",0))</f>
        <v>0</v>
      </c>
    </row>
    <row r="2624" spans="1:21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  <c r="S2624" t="str">
        <f>IF(Table1[[#This Row],[Age]]&lt;=25,"Young",IF(Table1[[#This Row],[Age]]&lt;=50,"Adult","Senior"))</f>
        <v>Senior</v>
      </c>
      <c r="T2624" s="1">
        <f>Table1[[#This Row],[Purchase Amount (USD)]]</f>
        <v>75</v>
      </c>
      <c r="U2624">
        <f>IF(Table1[[#This Row],[Subscription Status]]="Yes",1,IF(Table1[[#This Row],[Subscription Status]]="No",0))</f>
        <v>0</v>
      </c>
    </row>
    <row r="2625" spans="1:21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  <c r="S2625" t="str">
        <f>IF(Table1[[#This Row],[Age]]&lt;=25,"Young",IF(Table1[[#This Row],[Age]]&lt;=50,"Adult","Senior"))</f>
        <v>Adult</v>
      </c>
      <c r="T2625" s="1">
        <f>Table1[[#This Row],[Purchase Amount (USD)]]</f>
        <v>76</v>
      </c>
      <c r="U2625">
        <f>IF(Table1[[#This Row],[Subscription Status]]="Yes",1,IF(Table1[[#This Row],[Subscription Status]]="No",0))</f>
        <v>0</v>
      </c>
    </row>
    <row r="2626" spans="1:21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  <c r="S2626" t="str">
        <f>IF(Table1[[#This Row],[Age]]&lt;=25,"Young",IF(Table1[[#This Row],[Age]]&lt;=50,"Adult","Senior"))</f>
        <v>Young</v>
      </c>
      <c r="T2626" s="1">
        <f>Table1[[#This Row],[Purchase Amount (USD)]]</f>
        <v>59</v>
      </c>
      <c r="U2626">
        <f>IF(Table1[[#This Row],[Subscription Status]]="Yes",1,IF(Table1[[#This Row],[Subscription Status]]="No",0))</f>
        <v>0</v>
      </c>
    </row>
    <row r="2627" spans="1:21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  <c r="S2627" t="str">
        <f>IF(Table1[[#This Row],[Age]]&lt;=25,"Young",IF(Table1[[#This Row],[Age]]&lt;=50,"Adult","Senior"))</f>
        <v>Adult</v>
      </c>
      <c r="T2627" s="1">
        <f>Table1[[#This Row],[Purchase Amount (USD)]]</f>
        <v>51</v>
      </c>
      <c r="U2627">
        <f>IF(Table1[[#This Row],[Subscription Status]]="Yes",1,IF(Table1[[#This Row],[Subscription Status]]="No",0))</f>
        <v>0</v>
      </c>
    </row>
    <row r="2628" spans="1:21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  <c r="S2628" t="str">
        <f>IF(Table1[[#This Row],[Age]]&lt;=25,"Young",IF(Table1[[#This Row],[Age]]&lt;=50,"Adult","Senior"))</f>
        <v>Adult</v>
      </c>
      <c r="T2628" s="1">
        <f>Table1[[#This Row],[Purchase Amount (USD)]]</f>
        <v>46</v>
      </c>
      <c r="U2628">
        <f>IF(Table1[[#This Row],[Subscription Status]]="Yes",1,IF(Table1[[#This Row],[Subscription Status]]="No",0))</f>
        <v>0</v>
      </c>
    </row>
    <row r="2629" spans="1:21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  <c r="S2629" t="str">
        <f>IF(Table1[[#This Row],[Age]]&lt;=25,"Young",IF(Table1[[#This Row],[Age]]&lt;=50,"Adult","Senior"))</f>
        <v>Senior</v>
      </c>
      <c r="T2629" s="1">
        <f>Table1[[#This Row],[Purchase Amount (USD)]]</f>
        <v>26</v>
      </c>
      <c r="U2629">
        <f>IF(Table1[[#This Row],[Subscription Status]]="Yes",1,IF(Table1[[#This Row],[Subscription Status]]="No",0))</f>
        <v>0</v>
      </c>
    </row>
    <row r="2630" spans="1:21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  <c r="S2630" t="str">
        <f>IF(Table1[[#This Row],[Age]]&lt;=25,"Young",IF(Table1[[#This Row],[Age]]&lt;=50,"Adult","Senior"))</f>
        <v>Young</v>
      </c>
      <c r="T2630" s="1">
        <f>Table1[[#This Row],[Purchase Amount (USD)]]</f>
        <v>51</v>
      </c>
      <c r="U2630">
        <f>IF(Table1[[#This Row],[Subscription Status]]="Yes",1,IF(Table1[[#This Row],[Subscription Status]]="No",0))</f>
        <v>0</v>
      </c>
    </row>
    <row r="2631" spans="1:21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  <c r="S2631" t="str">
        <f>IF(Table1[[#This Row],[Age]]&lt;=25,"Young",IF(Table1[[#This Row],[Age]]&lt;=50,"Adult","Senior"))</f>
        <v>Senior</v>
      </c>
      <c r="T2631" s="1">
        <f>Table1[[#This Row],[Purchase Amount (USD)]]</f>
        <v>44</v>
      </c>
      <c r="U2631">
        <f>IF(Table1[[#This Row],[Subscription Status]]="Yes",1,IF(Table1[[#This Row],[Subscription Status]]="No",0))</f>
        <v>0</v>
      </c>
    </row>
    <row r="2632" spans="1:21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  <c r="S2632" t="str">
        <f>IF(Table1[[#This Row],[Age]]&lt;=25,"Young",IF(Table1[[#This Row],[Age]]&lt;=50,"Adult","Senior"))</f>
        <v>Adult</v>
      </c>
      <c r="T2632" s="1">
        <f>Table1[[#This Row],[Purchase Amount (USD)]]</f>
        <v>82</v>
      </c>
      <c r="U2632">
        <f>IF(Table1[[#This Row],[Subscription Status]]="Yes",1,IF(Table1[[#This Row],[Subscription Status]]="No",0))</f>
        <v>0</v>
      </c>
    </row>
    <row r="2633" spans="1:21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  <c r="S2633" t="str">
        <f>IF(Table1[[#This Row],[Age]]&lt;=25,"Young",IF(Table1[[#This Row],[Age]]&lt;=50,"Adult","Senior"))</f>
        <v>Senior</v>
      </c>
      <c r="T2633" s="1">
        <f>Table1[[#This Row],[Purchase Amount (USD)]]</f>
        <v>44</v>
      </c>
      <c r="U2633">
        <f>IF(Table1[[#This Row],[Subscription Status]]="Yes",1,IF(Table1[[#This Row],[Subscription Status]]="No",0))</f>
        <v>0</v>
      </c>
    </row>
    <row r="2634" spans="1:21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  <c r="S2634" t="str">
        <f>IF(Table1[[#This Row],[Age]]&lt;=25,"Young",IF(Table1[[#This Row],[Age]]&lt;=50,"Adult","Senior"))</f>
        <v>Young</v>
      </c>
      <c r="T2634" s="1">
        <f>Table1[[#This Row],[Purchase Amount (USD)]]</f>
        <v>27</v>
      </c>
      <c r="U2634">
        <f>IF(Table1[[#This Row],[Subscription Status]]="Yes",1,IF(Table1[[#This Row],[Subscription Status]]="No",0))</f>
        <v>0</v>
      </c>
    </row>
    <row r="2635" spans="1:21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  <c r="S2635" t="str">
        <f>IF(Table1[[#This Row],[Age]]&lt;=25,"Young",IF(Table1[[#This Row],[Age]]&lt;=50,"Adult","Senior"))</f>
        <v>Senior</v>
      </c>
      <c r="T2635" s="1">
        <f>Table1[[#This Row],[Purchase Amount (USD)]]</f>
        <v>90</v>
      </c>
      <c r="U2635">
        <f>IF(Table1[[#This Row],[Subscription Status]]="Yes",1,IF(Table1[[#This Row],[Subscription Status]]="No",0))</f>
        <v>0</v>
      </c>
    </row>
    <row r="2636" spans="1:21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  <c r="S2636" t="str">
        <f>IF(Table1[[#This Row],[Age]]&lt;=25,"Young",IF(Table1[[#This Row],[Age]]&lt;=50,"Adult","Senior"))</f>
        <v>Adult</v>
      </c>
      <c r="T2636" s="1">
        <f>Table1[[#This Row],[Purchase Amount (USD)]]</f>
        <v>58</v>
      </c>
      <c r="U2636">
        <f>IF(Table1[[#This Row],[Subscription Status]]="Yes",1,IF(Table1[[#This Row],[Subscription Status]]="No",0))</f>
        <v>0</v>
      </c>
    </row>
    <row r="2637" spans="1:21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  <c r="S2637" t="str">
        <f>IF(Table1[[#This Row],[Age]]&lt;=25,"Young",IF(Table1[[#This Row],[Age]]&lt;=50,"Adult","Senior"))</f>
        <v>Senior</v>
      </c>
      <c r="T2637" s="1">
        <f>Table1[[#This Row],[Purchase Amount (USD)]]</f>
        <v>80</v>
      </c>
      <c r="U2637">
        <f>IF(Table1[[#This Row],[Subscription Status]]="Yes",1,IF(Table1[[#This Row],[Subscription Status]]="No",0))</f>
        <v>0</v>
      </c>
    </row>
    <row r="2638" spans="1:21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  <c r="S2638" t="str">
        <f>IF(Table1[[#This Row],[Age]]&lt;=25,"Young",IF(Table1[[#This Row],[Age]]&lt;=50,"Adult","Senior"))</f>
        <v>Adult</v>
      </c>
      <c r="T2638" s="1">
        <f>Table1[[#This Row],[Purchase Amount (USD)]]</f>
        <v>40</v>
      </c>
      <c r="U2638">
        <f>IF(Table1[[#This Row],[Subscription Status]]="Yes",1,IF(Table1[[#This Row],[Subscription Status]]="No",0))</f>
        <v>0</v>
      </c>
    </row>
    <row r="2639" spans="1:21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  <c r="S2639" t="str">
        <f>IF(Table1[[#This Row],[Age]]&lt;=25,"Young",IF(Table1[[#This Row],[Age]]&lt;=50,"Adult","Senior"))</f>
        <v>Young</v>
      </c>
      <c r="T2639" s="1">
        <f>Table1[[#This Row],[Purchase Amount (USD)]]</f>
        <v>23</v>
      </c>
      <c r="U2639">
        <f>IF(Table1[[#This Row],[Subscription Status]]="Yes",1,IF(Table1[[#This Row],[Subscription Status]]="No",0))</f>
        <v>0</v>
      </c>
    </row>
    <row r="2640" spans="1:21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  <c r="S2640" t="str">
        <f>IF(Table1[[#This Row],[Age]]&lt;=25,"Young",IF(Table1[[#This Row],[Age]]&lt;=50,"Adult","Senior"))</f>
        <v>Young</v>
      </c>
      <c r="T2640" s="1">
        <f>Table1[[#This Row],[Purchase Amount (USD)]]</f>
        <v>34</v>
      </c>
      <c r="U2640">
        <f>IF(Table1[[#This Row],[Subscription Status]]="Yes",1,IF(Table1[[#This Row],[Subscription Status]]="No",0))</f>
        <v>0</v>
      </c>
    </row>
    <row r="2641" spans="1:21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  <c r="S2641" t="str">
        <f>IF(Table1[[#This Row],[Age]]&lt;=25,"Young",IF(Table1[[#This Row],[Age]]&lt;=50,"Adult","Senior"))</f>
        <v>Young</v>
      </c>
      <c r="T2641" s="1">
        <f>Table1[[#This Row],[Purchase Amount (USD)]]</f>
        <v>35</v>
      </c>
      <c r="U2641">
        <f>IF(Table1[[#This Row],[Subscription Status]]="Yes",1,IF(Table1[[#This Row],[Subscription Status]]="No",0))</f>
        <v>0</v>
      </c>
    </row>
    <row r="2642" spans="1:21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  <c r="S2642" t="str">
        <f>IF(Table1[[#This Row],[Age]]&lt;=25,"Young",IF(Table1[[#This Row],[Age]]&lt;=50,"Adult","Senior"))</f>
        <v>Adult</v>
      </c>
      <c r="T2642" s="1">
        <f>Table1[[#This Row],[Purchase Amount (USD)]]</f>
        <v>75</v>
      </c>
      <c r="U2642">
        <f>IF(Table1[[#This Row],[Subscription Status]]="Yes",1,IF(Table1[[#This Row],[Subscription Status]]="No",0))</f>
        <v>0</v>
      </c>
    </row>
    <row r="2643" spans="1:21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  <c r="S2643" t="str">
        <f>IF(Table1[[#This Row],[Age]]&lt;=25,"Young",IF(Table1[[#This Row],[Age]]&lt;=50,"Adult","Senior"))</f>
        <v>Young</v>
      </c>
      <c r="T2643" s="1">
        <f>Table1[[#This Row],[Purchase Amount (USD)]]</f>
        <v>60</v>
      </c>
      <c r="U2643">
        <f>IF(Table1[[#This Row],[Subscription Status]]="Yes",1,IF(Table1[[#This Row],[Subscription Status]]="No",0))</f>
        <v>0</v>
      </c>
    </row>
    <row r="2644" spans="1:21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  <c r="S2644" t="str">
        <f>IF(Table1[[#This Row],[Age]]&lt;=25,"Young",IF(Table1[[#This Row],[Age]]&lt;=50,"Adult","Senior"))</f>
        <v>Adult</v>
      </c>
      <c r="T2644" s="1">
        <f>Table1[[#This Row],[Purchase Amount (USD)]]</f>
        <v>87</v>
      </c>
      <c r="U2644">
        <f>IF(Table1[[#This Row],[Subscription Status]]="Yes",1,IF(Table1[[#This Row],[Subscription Status]]="No",0))</f>
        <v>0</v>
      </c>
    </row>
    <row r="2645" spans="1:21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  <c r="S2645" t="str">
        <f>IF(Table1[[#This Row],[Age]]&lt;=25,"Young",IF(Table1[[#This Row],[Age]]&lt;=50,"Adult","Senior"))</f>
        <v>Adult</v>
      </c>
      <c r="T2645" s="1">
        <f>Table1[[#This Row],[Purchase Amount (USD)]]</f>
        <v>41</v>
      </c>
      <c r="U2645">
        <f>IF(Table1[[#This Row],[Subscription Status]]="Yes",1,IF(Table1[[#This Row],[Subscription Status]]="No",0))</f>
        <v>0</v>
      </c>
    </row>
    <row r="2646" spans="1:21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  <c r="S2646" t="str">
        <f>IF(Table1[[#This Row],[Age]]&lt;=25,"Young",IF(Table1[[#This Row],[Age]]&lt;=50,"Adult","Senior"))</f>
        <v>Young</v>
      </c>
      <c r="T2646" s="1">
        <f>Table1[[#This Row],[Purchase Amount (USD)]]</f>
        <v>83</v>
      </c>
      <c r="U2646">
        <f>IF(Table1[[#This Row],[Subscription Status]]="Yes",1,IF(Table1[[#This Row],[Subscription Status]]="No",0))</f>
        <v>0</v>
      </c>
    </row>
    <row r="2647" spans="1:21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  <c r="S2647" t="str">
        <f>IF(Table1[[#This Row],[Age]]&lt;=25,"Young",IF(Table1[[#This Row],[Age]]&lt;=50,"Adult","Senior"))</f>
        <v>Young</v>
      </c>
      <c r="T2647" s="1">
        <f>Table1[[#This Row],[Purchase Amount (USD)]]</f>
        <v>81</v>
      </c>
      <c r="U2647">
        <f>IF(Table1[[#This Row],[Subscription Status]]="Yes",1,IF(Table1[[#This Row],[Subscription Status]]="No",0))</f>
        <v>0</v>
      </c>
    </row>
    <row r="2648" spans="1:21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  <c r="S2648" t="str">
        <f>IF(Table1[[#This Row],[Age]]&lt;=25,"Young",IF(Table1[[#This Row],[Age]]&lt;=50,"Adult","Senior"))</f>
        <v>Adult</v>
      </c>
      <c r="T2648" s="1">
        <f>Table1[[#This Row],[Purchase Amount (USD)]]</f>
        <v>56</v>
      </c>
      <c r="U2648">
        <f>IF(Table1[[#This Row],[Subscription Status]]="Yes",1,IF(Table1[[#This Row],[Subscription Status]]="No",0))</f>
        <v>0</v>
      </c>
    </row>
    <row r="2649" spans="1:21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  <c r="S2649" t="str">
        <f>IF(Table1[[#This Row],[Age]]&lt;=25,"Young",IF(Table1[[#This Row],[Age]]&lt;=50,"Adult","Senior"))</f>
        <v>Senior</v>
      </c>
      <c r="T2649" s="1">
        <f>Table1[[#This Row],[Purchase Amount (USD)]]</f>
        <v>58</v>
      </c>
      <c r="U2649">
        <f>IF(Table1[[#This Row],[Subscription Status]]="Yes",1,IF(Table1[[#This Row],[Subscription Status]]="No",0))</f>
        <v>0</v>
      </c>
    </row>
    <row r="2650" spans="1:21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  <c r="S2650" t="str">
        <f>IF(Table1[[#This Row],[Age]]&lt;=25,"Young",IF(Table1[[#This Row],[Age]]&lt;=50,"Adult","Senior"))</f>
        <v>Senior</v>
      </c>
      <c r="T2650" s="1">
        <f>Table1[[#This Row],[Purchase Amount (USD)]]</f>
        <v>84</v>
      </c>
      <c r="U2650">
        <f>IF(Table1[[#This Row],[Subscription Status]]="Yes",1,IF(Table1[[#This Row],[Subscription Status]]="No",0))</f>
        <v>0</v>
      </c>
    </row>
    <row r="2651" spans="1:21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  <c r="S2651" t="str">
        <f>IF(Table1[[#This Row],[Age]]&lt;=25,"Young",IF(Table1[[#This Row],[Age]]&lt;=50,"Adult","Senior"))</f>
        <v>Young</v>
      </c>
      <c r="T2651" s="1">
        <f>Table1[[#This Row],[Purchase Amount (USD)]]</f>
        <v>21</v>
      </c>
      <c r="U2651">
        <f>IF(Table1[[#This Row],[Subscription Status]]="Yes",1,IF(Table1[[#This Row],[Subscription Status]]="No",0))</f>
        <v>0</v>
      </c>
    </row>
    <row r="2652" spans="1:21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  <c r="S2652" t="str">
        <f>IF(Table1[[#This Row],[Age]]&lt;=25,"Young",IF(Table1[[#This Row],[Age]]&lt;=50,"Adult","Senior"))</f>
        <v>Young</v>
      </c>
      <c r="T2652" s="1">
        <f>Table1[[#This Row],[Purchase Amount (USD)]]</f>
        <v>35</v>
      </c>
      <c r="U2652">
        <f>IF(Table1[[#This Row],[Subscription Status]]="Yes",1,IF(Table1[[#This Row],[Subscription Status]]="No",0))</f>
        <v>0</v>
      </c>
    </row>
    <row r="2653" spans="1:21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  <c r="S2653" t="str">
        <f>IF(Table1[[#This Row],[Age]]&lt;=25,"Young",IF(Table1[[#This Row],[Age]]&lt;=50,"Adult","Senior"))</f>
        <v>Senior</v>
      </c>
      <c r="T2653" s="1">
        <f>Table1[[#This Row],[Purchase Amount (USD)]]</f>
        <v>43</v>
      </c>
      <c r="U2653">
        <f>IF(Table1[[#This Row],[Subscription Status]]="Yes",1,IF(Table1[[#This Row],[Subscription Status]]="No",0))</f>
        <v>0</v>
      </c>
    </row>
    <row r="2654" spans="1:21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  <c r="S2654" t="str">
        <f>IF(Table1[[#This Row],[Age]]&lt;=25,"Young",IF(Table1[[#This Row],[Age]]&lt;=50,"Adult","Senior"))</f>
        <v>Young</v>
      </c>
      <c r="T2654" s="1">
        <f>Table1[[#This Row],[Purchase Amount (USD)]]</f>
        <v>20</v>
      </c>
      <c r="U2654">
        <f>IF(Table1[[#This Row],[Subscription Status]]="Yes",1,IF(Table1[[#This Row],[Subscription Status]]="No",0))</f>
        <v>0</v>
      </c>
    </row>
    <row r="2655" spans="1:21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  <c r="S2655" t="str">
        <f>IF(Table1[[#This Row],[Age]]&lt;=25,"Young",IF(Table1[[#This Row],[Age]]&lt;=50,"Adult","Senior"))</f>
        <v>Senior</v>
      </c>
      <c r="T2655" s="1">
        <f>Table1[[#This Row],[Purchase Amount (USD)]]</f>
        <v>36</v>
      </c>
      <c r="U2655">
        <f>IF(Table1[[#This Row],[Subscription Status]]="Yes",1,IF(Table1[[#This Row],[Subscription Status]]="No",0))</f>
        <v>0</v>
      </c>
    </row>
    <row r="2656" spans="1:21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  <c r="S2656" t="str">
        <f>IF(Table1[[#This Row],[Age]]&lt;=25,"Young",IF(Table1[[#This Row],[Age]]&lt;=50,"Adult","Senior"))</f>
        <v>Young</v>
      </c>
      <c r="T2656" s="1">
        <f>Table1[[#This Row],[Purchase Amount (USD)]]</f>
        <v>70</v>
      </c>
      <c r="U2656">
        <f>IF(Table1[[#This Row],[Subscription Status]]="Yes",1,IF(Table1[[#This Row],[Subscription Status]]="No",0))</f>
        <v>0</v>
      </c>
    </row>
    <row r="2657" spans="1:21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  <c r="S2657" t="str">
        <f>IF(Table1[[#This Row],[Age]]&lt;=25,"Young",IF(Table1[[#This Row],[Age]]&lt;=50,"Adult","Senior"))</f>
        <v>Adult</v>
      </c>
      <c r="T2657" s="1">
        <f>Table1[[#This Row],[Purchase Amount (USD)]]</f>
        <v>83</v>
      </c>
      <c r="U2657">
        <f>IF(Table1[[#This Row],[Subscription Status]]="Yes",1,IF(Table1[[#This Row],[Subscription Status]]="No",0))</f>
        <v>0</v>
      </c>
    </row>
    <row r="2658" spans="1:21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  <c r="S2658" t="str">
        <f>IF(Table1[[#This Row],[Age]]&lt;=25,"Young",IF(Table1[[#This Row],[Age]]&lt;=50,"Adult","Senior"))</f>
        <v>Senior</v>
      </c>
      <c r="T2658" s="1">
        <f>Table1[[#This Row],[Purchase Amount (USD)]]</f>
        <v>76</v>
      </c>
      <c r="U2658">
        <f>IF(Table1[[#This Row],[Subscription Status]]="Yes",1,IF(Table1[[#This Row],[Subscription Status]]="No",0))</f>
        <v>0</v>
      </c>
    </row>
    <row r="2659" spans="1:21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  <c r="S2659" t="str">
        <f>IF(Table1[[#This Row],[Age]]&lt;=25,"Young",IF(Table1[[#This Row],[Age]]&lt;=50,"Adult","Senior"))</f>
        <v>Senior</v>
      </c>
      <c r="T2659" s="1">
        <f>Table1[[#This Row],[Purchase Amount (USD)]]</f>
        <v>81</v>
      </c>
      <c r="U2659">
        <f>IF(Table1[[#This Row],[Subscription Status]]="Yes",1,IF(Table1[[#This Row],[Subscription Status]]="No",0))</f>
        <v>0</v>
      </c>
    </row>
    <row r="2660" spans="1:21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  <c r="S2660" t="str">
        <f>IF(Table1[[#This Row],[Age]]&lt;=25,"Young",IF(Table1[[#This Row],[Age]]&lt;=50,"Adult","Senior"))</f>
        <v>Senior</v>
      </c>
      <c r="T2660" s="1">
        <f>Table1[[#This Row],[Purchase Amount (USD)]]</f>
        <v>47</v>
      </c>
      <c r="U2660">
        <f>IF(Table1[[#This Row],[Subscription Status]]="Yes",1,IF(Table1[[#This Row],[Subscription Status]]="No",0))</f>
        <v>0</v>
      </c>
    </row>
    <row r="2661" spans="1:21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  <c r="S2661" t="str">
        <f>IF(Table1[[#This Row],[Age]]&lt;=25,"Young",IF(Table1[[#This Row],[Age]]&lt;=50,"Adult","Senior"))</f>
        <v>Adult</v>
      </c>
      <c r="T2661" s="1">
        <f>Table1[[#This Row],[Purchase Amount (USD)]]</f>
        <v>35</v>
      </c>
      <c r="U2661">
        <f>IF(Table1[[#This Row],[Subscription Status]]="Yes",1,IF(Table1[[#This Row],[Subscription Status]]="No",0))</f>
        <v>0</v>
      </c>
    </row>
    <row r="2662" spans="1:21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  <c r="S2662" t="str">
        <f>IF(Table1[[#This Row],[Age]]&lt;=25,"Young",IF(Table1[[#This Row],[Age]]&lt;=50,"Adult","Senior"))</f>
        <v>Young</v>
      </c>
      <c r="T2662" s="1">
        <f>Table1[[#This Row],[Purchase Amount (USD)]]</f>
        <v>85</v>
      </c>
      <c r="U2662">
        <f>IF(Table1[[#This Row],[Subscription Status]]="Yes",1,IF(Table1[[#This Row],[Subscription Status]]="No",0))</f>
        <v>0</v>
      </c>
    </row>
    <row r="2663" spans="1:21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  <c r="S2663" t="str">
        <f>IF(Table1[[#This Row],[Age]]&lt;=25,"Young",IF(Table1[[#This Row],[Age]]&lt;=50,"Adult","Senior"))</f>
        <v>Adult</v>
      </c>
      <c r="T2663" s="1">
        <f>Table1[[#This Row],[Purchase Amount (USD)]]</f>
        <v>96</v>
      </c>
      <c r="U2663">
        <f>IF(Table1[[#This Row],[Subscription Status]]="Yes",1,IF(Table1[[#This Row],[Subscription Status]]="No",0))</f>
        <v>0</v>
      </c>
    </row>
    <row r="2664" spans="1:21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  <c r="S2664" t="str">
        <f>IF(Table1[[#This Row],[Age]]&lt;=25,"Young",IF(Table1[[#This Row],[Age]]&lt;=50,"Adult","Senior"))</f>
        <v>Young</v>
      </c>
      <c r="T2664" s="1">
        <f>Table1[[#This Row],[Purchase Amount (USD)]]</f>
        <v>98</v>
      </c>
      <c r="U2664">
        <f>IF(Table1[[#This Row],[Subscription Status]]="Yes",1,IF(Table1[[#This Row],[Subscription Status]]="No",0))</f>
        <v>0</v>
      </c>
    </row>
    <row r="2665" spans="1:21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  <c r="S2665" t="str">
        <f>IF(Table1[[#This Row],[Age]]&lt;=25,"Young",IF(Table1[[#This Row],[Age]]&lt;=50,"Adult","Senior"))</f>
        <v>Adult</v>
      </c>
      <c r="T2665" s="1">
        <f>Table1[[#This Row],[Purchase Amount (USD)]]</f>
        <v>52</v>
      </c>
      <c r="U2665">
        <f>IF(Table1[[#This Row],[Subscription Status]]="Yes",1,IF(Table1[[#This Row],[Subscription Status]]="No",0))</f>
        <v>0</v>
      </c>
    </row>
    <row r="2666" spans="1:21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  <c r="S2666" t="str">
        <f>IF(Table1[[#This Row],[Age]]&lt;=25,"Young",IF(Table1[[#This Row],[Age]]&lt;=50,"Adult","Senior"))</f>
        <v>Young</v>
      </c>
      <c r="T2666" s="1">
        <f>Table1[[#This Row],[Purchase Amount (USD)]]</f>
        <v>84</v>
      </c>
      <c r="U2666">
        <f>IF(Table1[[#This Row],[Subscription Status]]="Yes",1,IF(Table1[[#This Row],[Subscription Status]]="No",0))</f>
        <v>0</v>
      </c>
    </row>
    <row r="2667" spans="1:21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  <c r="S2667" t="str">
        <f>IF(Table1[[#This Row],[Age]]&lt;=25,"Young",IF(Table1[[#This Row],[Age]]&lt;=50,"Adult","Senior"))</f>
        <v>Senior</v>
      </c>
      <c r="T2667" s="1">
        <f>Table1[[#This Row],[Purchase Amount (USD)]]</f>
        <v>71</v>
      </c>
      <c r="U2667">
        <f>IF(Table1[[#This Row],[Subscription Status]]="Yes",1,IF(Table1[[#This Row],[Subscription Status]]="No",0))</f>
        <v>0</v>
      </c>
    </row>
    <row r="2668" spans="1:21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  <c r="S2668" t="str">
        <f>IF(Table1[[#This Row],[Age]]&lt;=25,"Young",IF(Table1[[#This Row],[Age]]&lt;=50,"Adult","Senior"))</f>
        <v>Adult</v>
      </c>
      <c r="T2668" s="1">
        <f>Table1[[#This Row],[Purchase Amount (USD)]]</f>
        <v>95</v>
      </c>
      <c r="U2668">
        <f>IF(Table1[[#This Row],[Subscription Status]]="Yes",1,IF(Table1[[#This Row],[Subscription Status]]="No",0))</f>
        <v>0</v>
      </c>
    </row>
    <row r="2669" spans="1:21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  <c r="S2669" t="str">
        <f>IF(Table1[[#This Row],[Age]]&lt;=25,"Young",IF(Table1[[#This Row],[Age]]&lt;=50,"Adult","Senior"))</f>
        <v>Adult</v>
      </c>
      <c r="T2669" s="1">
        <f>Table1[[#This Row],[Purchase Amount (USD)]]</f>
        <v>47</v>
      </c>
      <c r="U2669">
        <f>IF(Table1[[#This Row],[Subscription Status]]="Yes",1,IF(Table1[[#This Row],[Subscription Status]]="No",0))</f>
        <v>0</v>
      </c>
    </row>
    <row r="2670" spans="1:21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  <c r="S2670" t="str">
        <f>IF(Table1[[#This Row],[Age]]&lt;=25,"Young",IF(Table1[[#This Row],[Age]]&lt;=50,"Adult","Senior"))</f>
        <v>Senior</v>
      </c>
      <c r="T2670" s="1">
        <f>Table1[[#This Row],[Purchase Amount (USD)]]</f>
        <v>75</v>
      </c>
      <c r="U2670">
        <f>IF(Table1[[#This Row],[Subscription Status]]="Yes",1,IF(Table1[[#This Row],[Subscription Status]]="No",0))</f>
        <v>0</v>
      </c>
    </row>
    <row r="2671" spans="1:21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  <c r="S2671" t="str">
        <f>IF(Table1[[#This Row],[Age]]&lt;=25,"Young",IF(Table1[[#This Row],[Age]]&lt;=50,"Adult","Senior"))</f>
        <v>Adult</v>
      </c>
      <c r="T2671" s="1">
        <f>Table1[[#This Row],[Purchase Amount (USD)]]</f>
        <v>28</v>
      </c>
      <c r="U2671">
        <f>IF(Table1[[#This Row],[Subscription Status]]="Yes",1,IF(Table1[[#This Row],[Subscription Status]]="No",0))</f>
        <v>0</v>
      </c>
    </row>
    <row r="2672" spans="1:21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  <c r="S2672" t="str">
        <f>IF(Table1[[#This Row],[Age]]&lt;=25,"Young",IF(Table1[[#This Row],[Age]]&lt;=50,"Adult","Senior"))</f>
        <v>Adult</v>
      </c>
      <c r="T2672" s="1">
        <f>Table1[[#This Row],[Purchase Amount (USD)]]</f>
        <v>44</v>
      </c>
      <c r="U2672">
        <f>IF(Table1[[#This Row],[Subscription Status]]="Yes",1,IF(Table1[[#This Row],[Subscription Status]]="No",0))</f>
        <v>0</v>
      </c>
    </row>
    <row r="2673" spans="1:21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  <c r="S2673" t="str">
        <f>IF(Table1[[#This Row],[Age]]&lt;=25,"Young",IF(Table1[[#This Row],[Age]]&lt;=50,"Adult","Senior"))</f>
        <v>Adult</v>
      </c>
      <c r="T2673" s="1">
        <f>Table1[[#This Row],[Purchase Amount (USD)]]</f>
        <v>64</v>
      </c>
      <c r="U2673">
        <f>IF(Table1[[#This Row],[Subscription Status]]="Yes",1,IF(Table1[[#This Row],[Subscription Status]]="No",0))</f>
        <v>0</v>
      </c>
    </row>
    <row r="2674" spans="1:21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  <c r="S2674" t="str">
        <f>IF(Table1[[#This Row],[Age]]&lt;=25,"Young",IF(Table1[[#This Row],[Age]]&lt;=50,"Adult","Senior"))</f>
        <v>Senior</v>
      </c>
      <c r="T2674" s="1">
        <f>Table1[[#This Row],[Purchase Amount (USD)]]</f>
        <v>28</v>
      </c>
      <c r="U2674">
        <f>IF(Table1[[#This Row],[Subscription Status]]="Yes",1,IF(Table1[[#This Row],[Subscription Status]]="No",0))</f>
        <v>0</v>
      </c>
    </row>
    <row r="2675" spans="1:21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  <c r="S2675" t="str">
        <f>IF(Table1[[#This Row],[Age]]&lt;=25,"Young",IF(Table1[[#This Row],[Age]]&lt;=50,"Adult","Senior"))</f>
        <v>Senior</v>
      </c>
      <c r="T2675" s="1">
        <f>Table1[[#This Row],[Purchase Amount (USD)]]</f>
        <v>21</v>
      </c>
      <c r="U2675">
        <f>IF(Table1[[#This Row],[Subscription Status]]="Yes",1,IF(Table1[[#This Row],[Subscription Status]]="No",0))</f>
        <v>0</v>
      </c>
    </row>
    <row r="2676" spans="1:21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  <c r="S2676" t="str">
        <f>IF(Table1[[#This Row],[Age]]&lt;=25,"Young",IF(Table1[[#This Row],[Age]]&lt;=50,"Adult","Senior"))</f>
        <v>Adult</v>
      </c>
      <c r="T2676" s="1">
        <f>Table1[[#This Row],[Purchase Amount (USD)]]</f>
        <v>41</v>
      </c>
      <c r="U2676">
        <f>IF(Table1[[#This Row],[Subscription Status]]="Yes",1,IF(Table1[[#This Row],[Subscription Status]]="No",0))</f>
        <v>0</v>
      </c>
    </row>
    <row r="2677" spans="1:21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  <c r="S2677" t="str">
        <f>IF(Table1[[#This Row],[Age]]&lt;=25,"Young",IF(Table1[[#This Row],[Age]]&lt;=50,"Adult","Senior"))</f>
        <v>Young</v>
      </c>
      <c r="T2677" s="1">
        <f>Table1[[#This Row],[Purchase Amount (USD)]]</f>
        <v>38</v>
      </c>
      <c r="U2677">
        <f>IF(Table1[[#This Row],[Subscription Status]]="Yes",1,IF(Table1[[#This Row],[Subscription Status]]="No",0))</f>
        <v>0</v>
      </c>
    </row>
    <row r="2678" spans="1:21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  <c r="S2678" t="str">
        <f>IF(Table1[[#This Row],[Age]]&lt;=25,"Young",IF(Table1[[#This Row],[Age]]&lt;=50,"Adult","Senior"))</f>
        <v>Adult</v>
      </c>
      <c r="T2678" s="1">
        <f>Table1[[#This Row],[Purchase Amount (USD)]]</f>
        <v>77</v>
      </c>
      <c r="U2678">
        <f>IF(Table1[[#This Row],[Subscription Status]]="Yes",1,IF(Table1[[#This Row],[Subscription Status]]="No",0))</f>
        <v>0</v>
      </c>
    </row>
    <row r="2679" spans="1:21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  <c r="S2679" t="str">
        <f>IF(Table1[[#This Row],[Age]]&lt;=25,"Young",IF(Table1[[#This Row],[Age]]&lt;=50,"Adult","Senior"))</f>
        <v>Adult</v>
      </c>
      <c r="T2679" s="1">
        <f>Table1[[#This Row],[Purchase Amount (USD)]]</f>
        <v>43</v>
      </c>
      <c r="U2679">
        <f>IF(Table1[[#This Row],[Subscription Status]]="Yes",1,IF(Table1[[#This Row],[Subscription Status]]="No",0))</f>
        <v>0</v>
      </c>
    </row>
    <row r="2680" spans="1:21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  <c r="S2680" t="str">
        <f>IF(Table1[[#This Row],[Age]]&lt;=25,"Young",IF(Table1[[#This Row],[Age]]&lt;=50,"Adult","Senior"))</f>
        <v>Adult</v>
      </c>
      <c r="T2680" s="1">
        <f>Table1[[#This Row],[Purchase Amount (USD)]]</f>
        <v>91</v>
      </c>
      <c r="U2680">
        <f>IF(Table1[[#This Row],[Subscription Status]]="Yes",1,IF(Table1[[#This Row],[Subscription Status]]="No",0))</f>
        <v>0</v>
      </c>
    </row>
    <row r="2681" spans="1:21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  <c r="S2681" t="str">
        <f>IF(Table1[[#This Row],[Age]]&lt;=25,"Young",IF(Table1[[#This Row],[Age]]&lt;=50,"Adult","Senior"))</f>
        <v>Senior</v>
      </c>
      <c r="T2681" s="1">
        <f>Table1[[#This Row],[Purchase Amount (USD)]]</f>
        <v>68</v>
      </c>
      <c r="U2681">
        <f>IF(Table1[[#This Row],[Subscription Status]]="Yes",1,IF(Table1[[#This Row],[Subscription Status]]="No",0))</f>
        <v>0</v>
      </c>
    </row>
    <row r="2682" spans="1:21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  <c r="S2682" t="str">
        <f>IF(Table1[[#This Row],[Age]]&lt;=25,"Young",IF(Table1[[#This Row],[Age]]&lt;=50,"Adult","Senior"))</f>
        <v>Adult</v>
      </c>
      <c r="T2682" s="1">
        <f>Table1[[#This Row],[Purchase Amount (USD)]]</f>
        <v>37</v>
      </c>
      <c r="U2682">
        <f>IF(Table1[[#This Row],[Subscription Status]]="Yes",1,IF(Table1[[#This Row],[Subscription Status]]="No",0))</f>
        <v>0</v>
      </c>
    </row>
    <row r="2683" spans="1:21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  <c r="S2683" t="str">
        <f>IF(Table1[[#This Row],[Age]]&lt;=25,"Young",IF(Table1[[#This Row],[Age]]&lt;=50,"Adult","Senior"))</f>
        <v>Young</v>
      </c>
      <c r="T2683" s="1">
        <f>Table1[[#This Row],[Purchase Amount (USD)]]</f>
        <v>23</v>
      </c>
      <c r="U2683">
        <f>IF(Table1[[#This Row],[Subscription Status]]="Yes",1,IF(Table1[[#This Row],[Subscription Status]]="No",0))</f>
        <v>0</v>
      </c>
    </row>
    <row r="2684" spans="1:21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  <c r="S2684" t="str">
        <f>IF(Table1[[#This Row],[Age]]&lt;=25,"Young",IF(Table1[[#This Row],[Age]]&lt;=50,"Adult","Senior"))</f>
        <v>Senior</v>
      </c>
      <c r="T2684" s="1">
        <f>Table1[[#This Row],[Purchase Amount (USD)]]</f>
        <v>65</v>
      </c>
      <c r="U2684">
        <f>IF(Table1[[#This Row],[Subscription Status]]="Yes",1,IF(Table1[[#This Row],[Subscription Status]]="No",0))</f>
        <v>0</v>
      </c>
    </row>
    <row r="2685" spans="1:21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  <c r="S2685" t="str">
        <f>IF(Table1[[#This Row],[Age]]&lt;=25,"Young",IF(Table1[[#This Row],[Age]]&lt;=50,"Adult","Senior"))</f>
        <v>Senior</v>
      </c>
      <c r="T2685" s="1">
        <f>Table1[[#This Row],[Purchase Amount (USD)]]</f>
        <v>30</v>
      </c>
      <c r="U2685">
        <f>IF(Table1[[#This Row],[Subscription Status]]="Yes",1,IF(Table1[[#This Row],[Subscription Status]]="No",0))</f>
        <v>0</v>
      </c>
    </row>
    <row r="2686" spans="1:21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  <c r="S2686" t="str">
        <f>IF(Table1[[#This Row],[Age]]&lt;=25,"Young",IF(Table1[[#This Row],[Age]]&lt;=50,"Adult","Senior"))</f>
        <v>Adult</v>
      </c>
      <c r="T2686" s="1">
        <f>Table1[[#This Row],[Purchase Amount (USD)]]</f>
        <v>45</v>
      </c>
      <c r="U2686">
        <f>IF(Table1[[#This Row],[Subscription Status]]="Yes",1,IF(Table1[[#This Row],[Subscription Status]]="No",0))</f>
        <v>0</v>
      </c>
    </row>
    <row r="2687" spans="1:21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  <c r="S2687" t="str">
        <f>IF(Table1[[#This Row],[Age]]&lt;=25,"Young",IF(Table1[[#This Row],[Age]]&lt;=50,"Adult","Senior"))</f>
        <v>Senior</v>
      </c>
      <c r="T2687" s="1">
        <f>Table1[[#This Row],[Purchase Amount (USD)]]</f>
        <v>25</v>
      </c>
      <c r="U2687">
        <f>IF(Table1[[#This Row],[Subscription Status]]="Yes",1,IF(Table1[[#This Row],[Subscription Status]]="No",0))</f>
        <v>0</v>
      </c>
    </row>
    <row r="2688" spans="1:21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  <c r="S2688" t="str">
        <f>IF(Table1[[#This Row],[Age]]&lt;=25,"Young",IF(Table1[[#This Row],[Age]]&lt;=50,"Adult","Senior"))</f>
        <v>Adult</v>
      </c>
      <c r="T2688" s="1">
        <f>Table1[[#This Row],[Purchase Amount (USD)]]</f>
        <v>72</v>
      </c>
      <c r="U2688">
        <f>IF(Table1[[#This Row],[Subscription Status]]="Yes",1,IF(Table1[[#This Row],[Subscription Status]]="No",0))</f>
        <v>0</v>
      </c>
    </row>
    <row r="2689" spans="1:21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  <c r="S2689" t="str">
        <f>IF(Table1[[#This Row],[Age]]&lt;=25,"Young",IF(Table1[[#This Row],[Age]]&lt;=50,"Adult","Senior"))</f>
        <v>Senior</v>
      </c>
      <c r="T2689" s="1">
        <f>Table1[[#This Row],[Purchase Amount (USD)]]</f>
        <v>75</v>
      </c>
      <c r="U2689">
        <f>IF(Table1[[#This Row],[Subscription Status]]="Yes",1,IF(Table1[[#This Row],[Subscription Status]]="No",0))</f>
        <v>0</v>
      </c>
    </row>
    <row r="2690" spans="1:21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  <c r="S2690" t="str">
        <f>IF(Table1[[#This Row],[Age]]&lt;=25,"Young",IF(Table1[[#This Row],[Age]]&lt;=50,"Adult","Senior"))</f>
        <v>Senior</v>
      </c>
      <c r="T2690" s="1">
        <f>Table1[[#This Row],[Purchase Amount (USD)]]</f>
        <v>63</v>
      </c>
      <c r="U2690">
        <f>IF(Table1[[#This Row],[Subscription Status]]="Yes",1,IF(Table1[[#This Row],[Subscription Status]]="No",0))</f>
        <v>0</v>
      </c>
    </row>
    <row r="2691" spans="1:21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  <c r="S2691" t="str">
        <f>IF(Table1[[#This Row],[Age]]&lt;=25,"Young",IF(Table1[[#This Row],[Age]]&lt;=50,"Adult","Senior"))</f>
        <v>Adult</v>
      </c>
      <c r="T2691" s="1">
        <f>Table1[[#This Row],[Purchase Amount (USD)]]</f>
        <v>35</v>
      </c>
      <c r="U2691">
        <f>IF(Table1[[#This Row],[Subscription Status]]="Yes",1,IF(Table1[[#This Row],[Subscription Status]]="No",0))</f>
        <v>0</v>
      </c>
    </row>
    <row r="2692" spans="1:21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  <c r="S2692" t="str">
        <f>IF(Table1[[#This Row],[Age]]&lt;=25,"Young",IF(Table1[[#This Row],[Age]]&lt;=50,"Adult","Senior"))</f>
        <v>Adult</v>
      </c>
      <c r="T2692" s="1">
        <f>Table1[[#This Row],[Purchase Amount (USD)]]</f>
        <v>32</v>
      </c>
      <c r="U2692">
        <f>IF(Table1[[#This Row],[Subscription Status]]="Yes",1,IF(Table1[[#This Row],[Subscription Status]]="No",0))</f>
        <v>0</v>
      </c>
    </row>
    <row r="2693" spans="1:21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  <c r="S2693" t="str">
        <f>IF(Table1[[#This Row],[Age]]&lt;=25,"Young",IF(Table1[[#This Row],[Age]]&lt;=50,"Adult","Senior"))</f>
        <v>Adult</v>
      </c>
      <c r="T2693" s="1">
        <f>Table1[[#This Row],[Purchase Amount (USD)]]</f>
        <v>25</v>
      </c>
      <c r="U2693">
        <f>IF(Table1[[#This Row],[Subscription Status]]="Yes",1,IF(Table1[[#This Row],[Subscription Status]]="No",0))</f>
        <v>0</v>
      </c>
    </row>
    <row r="2694" spans="1:21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  <c r="S2694" t="str">
        <f>IF(Table1[[#This Row],[Age]]&lt;=25,"Young",IF(Table1[[#This Row],[Age]]&lt;=50,"Adult","Senior"))</f>
        <v>Adult</v>
      </c>
      <c r="T2694" s="1">
        <f>Table1[[#This Row],[Purchase Amount (USD)]]</f>
        <v>90</v>
      </c>
      <c r="U2694">
        <f>IF(Table1[[#This Row],[Subscription Status]]="Yes",1,IF(Table1[[#This Row],[Subscription Status]]="No",0))</f>
        <v>0</v>
      </c>
    </row>
    <row r="2695" spans="1:21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  <c r="S2695" t="str">
        <f>IF(Table1[[#This Row],[Age]]&lt;=25,"Young",IF(Table1[[#This Row],[Age]]&lt;=50,"Adult","Senior"))</f>
        <v>Senior</v>
      </c>
      <c r="T2695" s="1">
        <f>Table1[[#This Row],[Purchase Amount (USD)]]</f>
        <v>70</v>
      </c>
      <c r="U2695">
        <f>IF(Table1[[#This Row],[Subscription Status]]="Yes",1,IF(Table1[[#This Row],[Subscription Status]]="No",0))</f>
        <v>0</v>
      </c>
    </row>
    <row r="2696" spans="1:21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  <c r="S2696" t="str">
        <f>IF(Table1[[#This Row],[Age]]&lt;=25,"Young",IF(Table1[[#This Row],[Age]]&lt;=50,"Adult","Senior"))</f>
        <v>Senior</v>
      </c>
      <c r="T2696" s="1">
        <f>Table1[[#This Row],[Purchase Amount (USD)]]</f>
        <v>27</v>
      </c>
      <c r="U2696">
        <f>IF(Table1[[#This Row],[Subscription Status]]="Yes",1,IF(Table1[[#This Row],[Subscription Status]]="No",0))</f>
        <v>0</v>
      </c>
    </row>
    <row r="2697" spans="1:21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  <c r="S2697" t="str">
        <f>IF(Table1[[#This Row],[Age]]&lt;=25,"Young",IF(Table1[[#This Row],[Age]]&lt;=50,"Adult","Senior"))</f>
        <v>Adult</v>
      </c>
      <c r="T2697" s="1">
        <f>Table1[[#This Row],[Purchase Amount (USD)]]</f>
        <v>92</v>
      </c>
      <c r="U2697">
        <f>IF(Table1[[#This Row],[Subscription Status]]="Yes",1,IF(Table1[[#This Row],[Subscription Status]]="No",0))</f>
        <v>0</v>
      </c>
    </row>
    <row r="2698" spans="1:21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  <c r="S2698" t="str">
        <f>IF(Table1[[#This Row],[Age]]&lt;=25,"Young",IF(Table1[[#This Row],[Age]]&lt;=50,"Adult","Senior"))</f>
        <v>Senior</v>
      </c>
      <c r="T2698" s="1">
        <f>Table1[[#This Row],[Purchase Amount (USD)]]</f>
        <v>20</v>
      </c>
      <c r="U2698">
        <f>IF(Table1[[#This Row],[Subscription Status]]="Yes",1,IF(Table1[[#This Row],[Subscription Status]]="No",0))</f>
        <v>0</v>
      </c>
    </row>
    <row r="2699" spans="1:21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  <c r="S2699" t="str">
        <f>IF(Table1[[#This Row],[Age]]&lt;=25,"Young",IF(Table1[[#This Row],[Age]]&lt;=50,"Adult","Senior"))</f>
        <v>Adult</v>
      </c>
      <c r="T2699" s="1">
        <f>Table1[[#This Row],[Purchase Amount (USD)]]</f>
        <v>52</v>
      </c>
      <c r="U2699">
        <f>IF(Table1[[#This Row],[Subscription Status]]="Yes",1,IF(Table1[[#This Row],[Subscription Status]]="No",0))</f>
        <v>0</v>
      </c>
    </row>
    <row r="2700" spans="1:21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  <c r="S2700" t="str">
        <f>IF(Table1[[#This Row],[Age]]&lt;=25,"Young",IF(Table1[[#This Row],[Age]]&lt;=50,"Adult","Senior"))</f>
        <v>Senior</v>
      </c>
      <c r="T2700" s="1">
        <f>Table1[[#This Row],[Purchase Amount (USD)]]</f>
        <v>57</v>
      </c>
      <c r="U2700">
        <f>IF(Table1[[#This Row],[Subscription Status]]="Yes",1,IF(Table1[[#This Row],[Subscription Status]]="No",0))</f>
        <v>0</v>
      </c>
    </row>
    <row r="2701" spans="1:21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  <c r="S2701" t="str">
        <f>IF(Table1[[#This Row],[Age]]&lt;=25,"Young",IF(Table1[[#This Row],[Age]]&lt;=50,"Adult","Senior"))</f>
        <v>Young</v>
      </c>
      <c r="T2701" s="1">
        <f>Table1[[#This Row],[Purchase Amount (USD)]]</f>
        <v>96</v>
      </c>
      <c r="U2701">
        <f>IF(Table1[[#This Row],[Subscription Status]]="Yes",1,IF(Table1[[#This Row],[Subscription Status]]="No",0))</f>
        <v>0</v>
      </c>
    </row>
    <row r="2702" spans="1:21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  <c r="S2702" t="str">
        <f>IF(Table1[[#This Row],[Age]]&lt;=25,"Young",IF(Table1[[#This Row],[Age]]&lt;=50,"Adult","Senior"))</f>
        <v>Young</v>
      </c>
      <c r="T2702" s="1">
        <f>Table1[[#This Row],[Purchase Amount (USD)]]</f>
        <v>68</v>
      </c>
      <c r="U2702">
        <f>IF(Table1[[#This Row],[Subscription Status]]="Yes",1,IF(Table1[[#This Row],[Subscription Status]]="No",0))</f>
        <v>0</v>
      </c>
    </row>
    <row r="2703" spans="1:21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  <c r="S2703" t="str">
        <f>IF(Table1[[#This Row],[Age]]&lt;=25,"Young",IF(Table1[[#This Row],[Age]]&lt;=50,"Adult","Senior"))</f>
        <v>Adult</v>
      </c>
      <c r="T2703" s="1">
        <f>Table1[[#This Row],[Purchase Amount (USD)]]</f>
        <v>30</v>
      </c>
      <c r="U2703">
        <f>IF(Table1[[#This Row],[Subscription Status]]="Yes",1,IF(Table1[[#This Row],[Subscription Status]]="No",0))</f>
        <v>0</v>
      </c>
    </row>
    <row r="2704" spans="1:21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  <c r="S2704" t="str">
        <f>IF(Table1[[#This Row],[Age]]&lt;=25,"Young",IF(Table1[[#This Row],[Age]]&lt;=50,"Adult","Senior"))</f>
        <v>Senior</v>
      </c>
      <c r="T2704" s="1">
        <f>Table1[[#This Row],[Purchase Amount (USD)]]</f>
        <v>37</v>
      </c>
      <c r="U2704">
        <f>IF(Table1[[#This Row],[Subscription Status]]="Yes",1,IF(Table1[[#This Row],[Subscription Status]]="No",0))</f>
        <v>0</v>
      </c>
    </row>
    <row r="2705" spans="1:21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  <c r="S2705" t="str">
        <f>IF(Table1[[#This Row],[Age]]&lt;=25,"Young",IF(Table1[[#This Row],[Age]]&lt;=50,"Adult","Senior"))</f>
        <v>Senior</v>
      </c>
      <c r="T2705" s="1">
        <f>Table1[[#This Row],[Purchase Amount (USD)]]</f>
        <v>42</v>
      </c>
      <c r="U2705">
        <f>IF(Table1[[#This Row],[Subscription Status]]="Yes",1,IF(Table1[[#This Row],[Subscription Status]]="No",0))</f>
        <v>0</v>
      </c>
    </row>
    <row r="2706" spans="1:21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  <c r="S2706" t="str">
        <f>IF(Table1[[#This Row],[Age]]&lt;=25,"Young",IF(Table1[[#This Row],[Age]]&lt;=50,"Adult","Senior"))</f>
        <v>Senior</v>
      </c>
      <c r="T2706" s="1">
        <f>Table1[[#This Row],[Purchase Amount (USD)]]</f>
        <v>54</v>
      </c>
      <c r="U2706">
        <f>IF(Table1[[#This Row],[Subscription Status]]="Yes",1,IF(Table1[[#This Row],[Subscription Status]]="No",0))</f>
        <v>0</v>
      </c>
    </row>
    <row r="2707" spans="1:21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  <c r="S2707" t="str">
        <f>IF(Table1[[#This Row],[Age]]&lt;=25,"Young",IF(Table1[[#This Row],[Age]]&lt;=50,"Adult","Senior"))</f>
        <v>Senior</v>
      </c>
      <c r="T2707" s="1">
        <f>Table1[[#This Row],[Purchase Amount (USD)]]</f>
        <v>81</v>
      </c>
      <c r="U2707">
        <f>IF(Table1[[#This Row],[Subscription Status]]="Yes",1,IF(Table1[[#This Row],[Subscription Status]]="No",0))</f>
        <v>0</v>
      </c>
    </row>
    <row r="2708" spans="1:21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  <c r="S2708" t="str">
        <f>IF(Table1[[#This Row],[Age]]&lt;=25,"Young",IF(Table1[[#This Row],[Age]]&lt;=50,"Adult","Senior"))</f>
        <v>Young</v>
      </c>
      <c r="T2708" s="1">
        <f>Table1[[#This Row],[Purchase Amount (USD)]]</f>
        <v>40</v>
      </c>
      <c r="U2708">
        <f>IF(Table1[[#This Row],[Subscription Status]]="Yes",1,IF(Table1[[#This Row],[Subscription Status]]="No",0))</f>
        <v>0</v>
      </c>
    </row>
    <row r="2709" spans="1:21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  <c r="S2709" t="str">
        <f>IF(Table1[[#This Row],[Age]]&lt;=25,"Young",IF(Table1[[#This Row],[Age]]&lt;=50,"Adult","Senior"))</f>
        <v>Adult</v>
      </c>
      <c r="T2709" s="1">
        <f>Table1[[#This Row],[Purchase Amount (USD)]]</f>
        <v>88</v>
      </c>
      <c r="U2709">
        <f>IF(Table1[[#This Row],[Subscription Status]]="Yes",1,IF(Table1[[#This Row],[Subscription Status]]="No",0))</f>
        <v>0</v>
      </c>
    </row>
    <row r="2710" spans="1:21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  <c r="S2710" t="str">
        <f>IF(Table1[[#This Row],[Age]]&lt;=25,"Young",IF(Table1[[#This Row],[Age]]&lt;=50,"Adult","Senior"))</f>
        <v>Senior</v>
      </c>
      <c r="T2710" s="1">
        <f>Table1[[#This Row],[Purchase Amount (USD)]]</f>
        <v>94</v>
      </c>
      <c r="U2710">
        <f>IF(Table1[[#This Row],[Subscription Status]]="Yes",1,IF(Table1[[#This Row],[Subscription Status]]="No",0))</f>
        <v>0</v>
      </c>
    </row>
    <row r="2711" spans="1:21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  <c r="S2711" t="str">
        <f>IF(Table1[[#This Row],[Age]]&lt;=25,"Young",IF(Table1[[#This Row],[Age]]&lt;=50,"Adult","Senior"))</f>
        <v>Adult</v>
      </c>
      <c r="T2711" s="1">
        <f>Table1[[#This Row],[Purchase Amount (USD)]]</f>
        <v>54</v>
      </c>
      <c r="U2711">
        <f>IF(Table1[[#This Row],[Subscription Status]]="Yes",1,IF(Table1[[#This Row],[Subscription Status]]="No",0))</f>
        <v>0</v>
      </c>
    </row>
    <row r="2712" spans="1:21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  <c r="S2712" t="str">
        <f>IF(Table1[[#This Row],[Age]]&lt;=25,"Young",IF(Table1[[#This Row],[Age]]&lt;=50,"Adult","Senior"))</f>
        <v>Senior</v>
      </c>
      <c r="T2712" s="1">
        <f>Table1[[#This Row],[Purchase Amount (USD)]]</f>
        <v>51</v>
      </c>
      <c r="U2712">
        <f>IF(Table1[[#This Row],[Subscription Status]]="Yes",1,IF(Table1[[#This Row],[Subscription Status]]="No",0))</f>
        <v>0</v>
      </c>
    </row>
    <row r="2713" spans="1:21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  <c r="S2713" t="str">
        <f>IF(Table1[[#This Row],[Age]]&lt;=25,"Young",IF(Table1[[#This Row],[Age]]&lt;=50,"Adult","Senior"))</f>
        <v>Adult</v>
      </c>
      <c r="T2713" s="1">
        <f>Table1[[#This Row],[Purchase Amount (USD)]]</f>
        <v>22</v>
      </c>
      <c r="U2713">
        <f>IF(Table1[[#This Row],[Subscription Status]]="Yes",1,IF(Table1[[#This Row],[Subscription Status]]="No",0))</f>
        <v>0</v>
      </c>
    </row>
    <row r="2714" spans="1:21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  <c r="S2714" t="str">
        <f>IF(Table1[[#This Row],[Age]]&lt;=25,"Young",IF(Table1[[#This Row],[Age]]&lt;=50,"Adult","Senior"))</f>
        <v>Adult</v>
      </c>
      <c r="T2714" s="1">
        <f>Table1[[#This Row],[Purchase Amount (USD)]]</f>
        <v>95</v>
      </c>
      <c r="U2714">
        <f>IF(Table1[[#This Row],[Subscription Status]]="Yes",1,IF(Table1[[#This Row],[Subscription Status]]="No",0))</f>
        <v>0</v>
      </c>
    </row>
    <row r="2715" spans="1:21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  <c r="S2715" t="str">
        <f>IF(Table1[[#This Row],[Age]]&lt;=25,"Young",IF(Table1[[#This Row],[Age]]&lt;=50,"Adult","Senior"))</f>
        <v>Young</v>
      </c>
      <c r="T2715" s="1">
        <f>Table1[[#This Row],[Purchase Amount (USD)]]</f>
        <v>57</v>
      </c>
      <c r="U2715">
        <f>IF(Table1[[#This Row],[Subscription Status]]="Yes",1,IF(Table1[[#This Row],[Subscription Status]]="No",0))</f>
        <v>0</v>
      </c>
    </row>
    <row r="2716" spans="1:21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  <c r="S2716" t="str">
        <f>IF(Table1[[#This Row],[Age]]&lt;=25,"Young",IF(Table1[[#This Row],[Age]]&lt;=50,"Adult","Senior"))</f>
        <v>Senior</v>
      </c>
      <c r="T2716" s="1">
        <f>Table1[[#This Row],[Purchase Amount (USD)]]</f>
        <v>45</v>
      </c>
      <c r="U2716">
        <f>IF(Table1[[#This Row],[Subscription Status]]="Yes",1,IF(Table1[[#This Row],[Subscription Status]]="No",0))</f>
        <v>0</v>
      </c>
    </row>
    <row r="2717" spans="1:21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  <c r="S2717" t="str">
        <f>IF(Table1[[#This Row],[Age]]&lt;=25,"Young",IF(Table1[[#This Row],[Age]]&lt;=50,"Adult","Senior"))</f>
        <v>Young</v>
      </c>
      <c r="T2717" s="1">
        <f>Table1[[#This Row],[Purchase Amount (USD)]]</f>
        <v>92</v>
      </c>
      <c r="U2717">
        <f>IF(Table1[[#This Row],[Subscription Status]]="Yes",1,IF(Table1[[#This Row],[Subscription Status]]="No",0))</f>
        <v>0</v>
      </c>
    </row>
    <row r="2718" spans="1:21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  <c r="S2718" t="str">
        <f>IF(Table1[[#This Row],[Age]]&lt;=25,"Young",IF(Table1[[#This Row],[Age]]&lt;=50,"Adult","Senior"))</f>
        <v>Adult</v>
      </c>
      <c r="T2718" s="1">
        <f>Table1[[#This Row],[Purchase Amount (USD)]]</f>
        <v>40</v>
      </c>
      <c r="U2718">
        <f>IF(Table1[[#This Row],[Subscription Status]]="Yes",1,IF(Table1[[#This Row],[Subscription Status]]="No",0))</f>
        <v>0</v>
      </c>
    </row>
    <row r="2719" spans="1:21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  <c r="S2719" t="str">
        <f>IF(Table1[[#This Row],[Age]]&lt;=25,"Young",IF(Table1[[#This Row],[Age]]&lt;=50,"Adult","Senior"))</f>
        <v>Young</v>
      </c>
      <c r="T2719" s="1">
        <f>Table1[[#This Row],[Purchase Amount (USD)]]</f>
        <v>62</v>
      </c>
      <c r="U2719">
        <f>IF(Table1[[#This Row],[Subscription Status]]="Yes",1,IF(Table1[[#This Row],[Subscription Status]]="No",0))</f>
        <v>0</v>
      </c>
    </row>
    <row r="2720" spans="1:21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  <c r="S2720" t="str">
        <f>IF(Table1[[#This Row],[Age]]&lt;=25,"Young",IF(Table1[[#This Row],[Age]]&lt;=50,"Adult","Senior"))</f>
        <v>Young</v>
      </c>
      <c r="T2720" s="1">
        <f>Table1[[#This Row],[Purchase Amount (USD)]]</f>
        <v>90</v>
      </c>
      <c r="U2720">
        <f>IF(Table1[[#This Row],[Subscription Status]]="Yes",1,IF(Table1[[#This Row],[Subscription Status]]="No",0))</f>
        <v>0</v>
      </c>
    </row>
    <row r="2721" spans="1:21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  <c r="S2721" t="str">
        <f>IF(Table1[[#This Row],[Age]]&lt;=25,"Young",IF(Table1[[#This Row],[Age]]&lt;=50,"Adult","Senior"))</f>
        <v>Senior</v>
      </c>
      <c r="T2721" s="1">
        <f>Table1[[#This Row],[Purchase Amount (USD)]]</f>
        <v>82</v>
      </c>
      <c r="U2721">
        <f>IF(Table1[[#This Row],[Subscription Status]]="Yes",1,IF(Table1[[#This Row],[Subscription Status]]="No",0))</f>
        <v>0</v>
      </c>
    </row>
    <row r="2722" spans="1:21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  <c r="S2722" t="str">
        <f>IF(Table1[[#This Row],[Age]]&lt;=25,"Young",IF(Table1[[#This Row],[Age]]&lt;=50,"Adult","Senior"))</f>
        <v>Senior</v>
      </c>
      <c r="T2722" s="1">
        <f>Table1[[#This Row],[Purchase Amount (USD)]]</f>
        <v>52</v>
      </c>
      <c r="U2722">
        <f>IF(Table1[[#This Row],[Subscription Status]]="Yes",1,IF(Table1[[#This Row],[Subscription Status]]="No",0))</f>
        <v>0</v>
      </c>
    </row>
    <row r="2723" spans="1:21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  <c r="S2723" t="str">
        <f>IF(Table1[[#This Row],[Age]]&lt;=25,"Young",IF(Table1[[#This Row],[Age]]&lt;=50,"Adult","Senior"))</f>
        <v>Young</v>
      </c>
      <c r="T2723" s="1">
        <f>Table1[[#This Row],[Purchase Amount (USD)]]</f>
        <v>70</v>
      </c>
      <c r="U2723">
        <f>IF(Table1[[#This Row],[Subscription Status]]="Yes",1,IF(Table1[[#This Row],[Subscription Status]]="No",0))</f>
        <v>0</v>
      </c>
    </row>
    <row r="2724" spans="1:21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  <c r="S2724" t="str">
        <f>IF(Table1[[#This Row],[Age]]&lt;=25,"Young",IF(Table1[[#This Row],[Age]]&lt;=50,"Adult","Senior"))</f>
        <v>Young</v>
      </c>
      <c r="T2724" s="1">
        <f>Table1[[#This Row],[Purchase Amount (USD)]]</f>
        <v>83</v>
      </c>
      <c r="U2724">
        <f>IF(Table1[[#This Row],[Subscription Status]]="Yes",1,IF(Table1[[#This Row],[Subscription Status]]="No",0))</f>
        <v>0</v>
      </c>
    </row>
    <row r="2725" spans="1:21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  <c r="S2725" t="str">
        <f>IF(Table1[[#This Row],[Age]]&lt;=25,"Young",IF(Table1[[#This Row],[Age]]&lt;=50,"Adult","Senior"))</f>
        <v>Senior</v>
      </c>
      <c r="T2725" s="1">
        <f>Table1[[#This Row],[Purchase Amount (USD)]]</f>
        <v>49</v>
      </c>
      <c r="U2725">
        <f>IF(Table1[[#This Row],[Subscription Status]]="Yes",1,IF(Table1[[#This Row],[Subscription Status]]="No",0))</f>
        <v>0</v>
      </c>
    </row>
    <row r="2726" spans="1:21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  <c r="S2726" t="str">
        <f>IF(Table1[[#This Row],[Age]]&lt;=25,"Young",IF(Table1[[#This Row],[Age]]&lt;=50,"Adult","Senior"))</f>
        <v>Senior</v>
      </c>
      <c r="T2726" s="1">
        <f>Table1[[#This Row],[Purchase Amount (USD)]]</f>
        <v>91</v>
      </c>
      <c r="U2726">
        <f>IF(Table1[[#This Row],[Subscription Status]]="Yes",1,IF(Table1[[#This Row],[Subscription Status]]="No",0))</f>
        <v>0</v>
      </c>
    </row>
    <row r="2727" spans="1:21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  <c r="S2727" t="str">
        <f>IF(Table1[[#This Row],[Age]]&lt;=25,"Young",IF(Table1[[#This Row],[Age]]&lt;=50,"Adult","Senior"))</f>
        <v>Senior</v>
      </c>
      <c r="T2727" s="1">
        <f>Table1[[#This Row],[Purchase Amount (USD)]]</f>
        <v>99</v>
      </c>
      <c r="U2727">
        <f>IF(Table1[[#This Row],[Subscription Status]]="Yes",1,IF(Table1[[#This Row],[Subscription Status]]="No",0))</f>
        <v>0</v>
      </c>
    </row>
    <row r="2728" spans="1:21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  <c r="S2728" t="str">
        <f>IF(Table1[[#This Row],[Age]]&lt;=25,"Young",IF(Table1[[#This Row],[Age]]&lt;=50,"Adult","Senior"))</f>
        <v>Adult</v>
      </c>
      <c r="T2728" s="1">
        <f>Table1[[#This Row],[Purchase Amount (USD)]]</f>
        <v>92</v>
      </c>
      <c r="U2728">
        <f>IF(Table1[[#This Row],[Subscription Status]]="Yes",1,IF(Table1[[#This Row],[Subscription Status]]="No",0))</f>
        <v>0</v>
      </c>
    </row>
    <row r="2729" spans="1:21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  <c r="S2729" t="str">
        <f>IF(Table1[[#This Row],[Age]]&lt;=25,"Young",IF(Table1[[#This Row],[Age]]&lt;=50,"Adult","Senior"))</f>
        <v>Adult</v>
      </c>
      <c r="T2729" s="1">
        <f>Table1[[#This Row],[Purchase Amount (USD)]]</f>
        <v>87</v>
      </c>
      <c r="U2729">
        <f>IF(Table1[[#This Row],[Subscription Status]]="Yes",1,IF(Table1[[#This Row],[Subscription Status]]="No",0))</f>
        <v>0</v>
      </c>
    </row>
    <row r="2730" spans="1:21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  <c r="S2730" t="str">
        <f>IF(Table1[[#This Row],[Age]]&lt;=25,"Young",IF(Table1[[#This Row],[Age]]&lt;=50,"Adult","Senior"))</f>
        <v>Adult</v>
      </c>
      <c r="T2730" s="1">
        <f>Table1[[#This Row],[Purchase Amount (USD)]]</f>
        <v>28</v>
      </c>
      <c r="U2730">
        <f>IF(Table1[[#This Row],[Subscription Status]]="Yes",1,IF(Table1[[#This Row],[Subscription Status]]="No",0))</f>
        <v>0</v>
      </c>
    </row>
    <row r="2731" spans="1:21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  <c r="S2731" t="str">
        <f>IF(Table1[[#This Row],[Age]]&lt;=25,"Young",IF(Table1[[#This Row],[Age]]&lt;=50,"Adult","Senior"))</f>
        <v>Adult</v>
      </c>
      <c r="T2731" s="1">
        <f>Table1[[#This Row],[Purchase Amount (USD)]]</f>
        <v>71</v>
      </c>
      <c r="U2731">
        <f>IF(Table1[[#This Row],[Subscription Status]]="Yes",1,IF(Table1[[#This Row],[Subscription Status]]="No",0))</f>
        <v>0</v>
      </c>
    </row>
    <row r="2732" spans="1:21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  <c r="S2732" t="str">
        <f>IF(Table1[[#This Row],[Age]]&lt;=25,"Young",IF(Table1[[#This Row],[Age]]&lt;=50,"Adult","Senior"))</f>
        <v>Young</v>
      </c>
      <c r="T2732" s="1">
        <f>Table1[[#This Row],[Purchase Amount (USD)]]</f>
        <v>32</v>
      </c>
      <c r="U2732">
        <f>IF(Table1[[#This Row],[Subscription Status]]="Yes",1,IF(Table1[[#This Row],[Subscription Status]]="No",0))</f>
        <v>0</v>
      </c>
    </row>
    <row r="2733" spans="1:21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  <c r="S2733" t="str">
        <f>IF(Table1[[#This Row],[Age]]&lt;=25,"Young",IF(Table1[[#This Row],[Age]]&lt;=50,"Adult","Senior"))</f>
        <v>Senior</v>
      </c>
      <c r="T2733" s="1">
        <f>Table1[[#This Row],[Purchase Amount (USD)]]</f>
        <v>33</v>
      </c>
      <c r="U2733">
        <f>IF(Table1[[#This Row],[Subscription Status]]="Yes",1,IF(Table1[[#This Row],[Subscription Status]]="No",0))</f>
        <v>0</v>
      </c>
    </row>
    <row r="2734" spans="1:21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  <c r="S2734" t="str">
        <f>IF(Table1[[#This Row],[Age]]&lt;=25,"Young",IF(Table1[[#This Row],[Age]]&lt;=50,"Adult","Senior"))</f>
        <v>Young</v>
      </c>
      <c r="T2734" s="1">
        <f>Table1[[#This Row],[Purchase Amount (USD)]]</f>
        <v>75</v>
      </c>
      <c r="U2734">
        <f>IF(Table1[[#This Row],[Subscription Status]]="Yes",1,IF(Table1[[#This Row],[Subscription Status]]="No",0))</f>
        <v>0</v>
      </c>
    </row>
    <row r="2735" spans="1:21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  <c r="S2735" t="str">
        <f>IF(Table1[[#This Row],[Age]]&lt;=25,"Young",IF(Table1[[#This Row],[Age]]&lt;=50,"Adult","Senior"))</f>
        <v>Adult</v>
      </c>
      <c r="T2735" s="1">
        <f>Table1[[#This Row],[Purchase Amount (USD)]]</f>
        <v>83</v>
      </c>
      <c r="U2735">
        <f>IF(Table1[[#This Row],[Subscription Status]]="Yes",1,IF(Table1[[#This Row],[Subscription Status]]="No",0))</f>
        <v>0</v>
      </c>
    </row>
    <row r="2736" spans="1:21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  <c r="S2736" t="str">
        <f>IF(Table1[[#This Row],[Age]]&lt;=25,"Young",IF(Table1[[#This Row],[Age]]&lt;=50,"Adult","Senior"))</f>
        <v>Senior</v>
      </c>
      <c r="T2736" s="1">
        <f>Table1[[#This Row],[Purchase Amount (USD)]]</f>
        <v>93</v>
      </c>
      <c r="U2736">
        <f>IF(Table1[[#This Row],[Subscription Status]]="Yes",1,IF(Table1[[#This Row],[Subscription Status]]="No",0))</f>
        <v>0</v>
      </c>
    </row>
    <row r="2737" spans="1:21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  <c r="S2737" t="str">
        <f>IF(Table1[[#This Row],[Age]]&lt;=25,"Young",IF(Table1[[#This Row],[Age]]&lt;=50,"Adult","Senior"))</f>
        <v>Adult</v>
      </c>
      <c r="T2737" s="1">
        <f>Table1[[#This Row],[Purchase Amount (USD)]]</f>
        <v>29</v>
      </c>
      <c r="U2737">
        <f>IF(Table1[[#This Row],[Subscription Status]]="Yes",1,IF(Table1[[#This Row],[Subscription Status]]="No",0))</f>
        <v>0</v>
      </c>
    </row>
    <row r="2738" spans="1:21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  <c r="S2738" t="str">
        <f>IF(Table1[[#This Row],[Age]]&lt;=25,"Young",IF(Table1[[#This Row],[Age]]&lt;=50,"Adult","Senior"))</f>
        <v>Adult</v>
      </c>
      <c r="T2738" s="1">
        <f>Table1[[#This Row],[Purchase Amount (USD)]]</f>
        <v>25</v>
      </c>
      <c r="U2738">
        <f>IF(Table1[[#This Row],[Subscription Status]]="Yes",1,IF(Table1[[#This Row],[Subscription Status]]="No",0))</f>
        <v>0</v>
      </c>
    </row>
    <row r="2739" spans="1:21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  <c r="S2739" t="str">
        <f>IF(Table1[[#This Row],[Age]]&lt;=25,"Young",IF(Table1[[#This Row],[Age]]&lt;=50,"Adult","Senior"))</f>
        <v>Senior</v>
      </c>
      <c r="T2739" s="1">
        <f>Table1[[#This Row],[Purchase Amount (USD)]]</f>
        <v>76</v>
      </c>
      <c r="U2739">
        <f>IF(Table1[[#This Row],[Subscription Status]]="Yes",1,IF(Table1[[#This Row],[Subscription Status]]="No",0))</f>
        <v>0</v>
      </c>
    </row>
    <row r="2740" spans="1:21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  <c r="S2740" t="str">
        <f>IF(Table1[[#This Row],[Age]]&lt;=25,"Young",IF(Table1[[#This Row],[Age]]&lt;=50,"Adult","Senior"))</f>
        <v>Adult</v>
      </c>
      <c r="T2740" s="1">
        <f>Table1[[#This Row],[Purchase Amount (USD)]]</f>
        <v>81</v>
      </c>
      <c r="U2740">
        <f>IF(Table1[[#This Row],[Subscription Status]]="Yes",1,IF(Table1[[#This Row],[Subscription Status]]="No",0))</f>
        <v>0</v>
      </c>
    </row>
    <row r="2741" spans="1:21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  <c r="S2741" t="str">
        <f>IF(Table1[[#This Row],[Age]]&lt;=25,"Young",IF(Table1[[#This Row],[Age]]&lt;=50,"Adult","Senior"))</f>
        <v>Adult</v>
      </c>
      <c r="T2741" s="1">
        <f>Table1[[#This Row],[Purchase Amount (USD)]]</f>
        <v>80</v>
      </c>
      <c r="U2741">
        <f>IF(Table1[[#This Row],[Subscription Status]]="Yes",1,IF(Table1[[#This Row],[Subscription Status]]="No",0))</f>
        <v>0</v>
      </c>
    </row>
    <row r="2742" spans="1:21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  <c r="S2742" t="str">
        <f>IF(Table1[[#This Row],[Age]]&lt;=25,"Young",IF(Table1[[#This Row],[Age]]&lt;=50,"Adult","Senior"))</f>
        <v>Young</v>
      </c>
      <c r="T2742" s="1">
        <f>Table1[[#This Row],[Purchase Amount (USD)]]</f>
        <v>70</v>
      </c>
      <c r="U2742">
        <f>IF(Table1[[#This Row],[Subscription Status]]="Yes",1,IF(Table1[[#This Row],[Subscription Status]]="No",0))</f>
        <v>0</v>
      </c>
    </row>
    <row r="2743" spans="1:21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  <c r="S2743" t="str">
        <f>IF(Table1[[#This Row],[Age]]&lt;=25,"Young",IF(Table1[[#This Row],[Age]]&lt;=50,"Adult","Senior"))</f>
        <v>Senior</v>
      </c>
      <c r="T2743" s="1">
        <f>Table1[[#This Row],[Purchase Amount (USD)]]</f>
        <v>81</v>
      </c>
      <c r="U2743">
        <f>IF(Table1[[#This Row],[Subscription Status]]="Yes",1,IF(Table1[[#This Row],[Subscription Status]]="No",0))</f>
        <v>0</v>
      </c>
    </row>
    <row r="2744" spans="1:21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  <c r="S2744" t="str">
        <f>IF(Table1[[#This Row],[Age]]&lt;=25,"Young",IF(Table1[[#This Row],[Age]]&lt;=50,"Adult","Senior"))</f>
        <v>Adult</v>
      </c>
      <c r="T2744" s="1">
        <f>Table1[[#This Row],[Purchase Amount (USD)]]</f>
        <v>86</v>
      </c>
      <c r="U2744">
        <f>IF(Table1[[#This Row],[Subscription Status]]="Yes",1,IF(Table1[[#This Row],[Subscription Status]]="No",0))</f>
        <v>0</v>
      </c>
    </row>
    <row r="2745" spans="1:21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  <c r="S2745" t="str">
        <f>IF(Table1[[#This Row],[Age]]&lt;=25,"Young",IF(Table1[[#This Row],[Age]]&lt;=50,"Adult","Senior"))</f>
        <v>Senior</v>
      </c>
      <c r="T2745" s="1">
        <f>Table1[[#This Row],[Purchase Amount (USD)]]</f>
        <v>94</v>
      </c>
      <c r="U2745">
        <f>IF(Table1[[#This Row],[Subscription Status]]="Yes",1,IF(Table1[[#This Row],[Subscription Status]]="No",0))</f>
        <v>0</v>
      </c>
    </row>
    <row r="2746" spans="1:21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  <c r="S2746" t="str">
        <f>IF(Table1[[#This Row],[Age]]&lt;=25,"Young",IF(Table1[[#This Row],[Age]]&lt;=50,"Adult","Senior"))</f>
        <v>Adult</v>
      </c>
      <c r="T2746" s="1">
        <f>Table1[[#This Row],[Purchase Amount (USD)]]</f>
        <v>66</v>
      </c>
      <c r="U2746">
        <f>IF(Table1[[#This Row],[Subscription Status]]="Yes",1,IF(Table1[[#This Row],[Subscription Status]]="No",0))</f>
        <v>0</v>
      </c>
    </row>
    <row r="2747" spans="1:21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  <c r="S2747" t="str">
        <f>IF(Table1[[#This Row],[Age]]&lt;=25,"Young",IF(Table1[[#This Row],[Age]]&lt;=50,"Adult","Senior"))</f>
        <v>Adult</v>
      </c>
      <c r="T2747" s="1">
        <f>Table1[[#This Row],[Purchase Amount (USD)]]</f>
        <v>98</v>
      </c>
      <c r="U2747">
        <f>IF(Table1[[#This Row],[Subscription Status]]="Yes",1,IF(Table1[[#This Row],[Subscription Status]]="No",0))</f>
        <v>0</v>
      </c>
    </row>
    <row r="2748" spans="1:21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  <c r="S2748" t="str">
        <f>IF(Table1[[#This Row],[Age]]&lt;=25,"Young",IF(Table1[[#This Row],[Age]]&lt;=50,"Adult","Senior"))</f>
        <v>Adult</v>
      </c>
      <c r="T2748" s="1">
        <f>Table1[[#This Row],[Purchase Amount (USD)]]</f>
        <v>25</v>
      </c>
      <c r="U2748">
        <f>IF(Table1[[#This Row],[Subscription Status]]="Yes",1,IF(Table1[[#This Row],[Subscription Status]]="No",0))</f>
        <v>0</v>
      </c>
    </row>
    <row r="2749" spans="1:21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  <c r="S2749" t="str">
        <f>IF(Table1[[#This Row],[Age]]&lt;=25,"Young",IF(Table1[[#This Row],[Age]]&lt;=50,"Adult","Senior"))</f>
        <v>Young</v>
      </c>
      <c r="T2749" s="1">
        <f>Table1[[#This Row],[Purchase Amount (USD)]]</f>
        <v>62</v>
      </c>
      <c r="U2749">
        <f>IF(Table1[[#This Row],[Subscription Status]]="Yes",1,IF(Table1[[#This Row],[Subscription Status]]="No",0))</f>
        <v>0</v>
      </c>
    </row>
    <row r="2750" spans="1:21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  <c r="S2750" t="str">
        <f>IF(Table1[[#This Row],[Age]]&lt;=25,"Young",IF(Table1[[#This Row],[Age]]&lt;=50,"Adult","Senior"))</f>
        <v>Young</v>
      </c>
      <c r="T2750" s="1">
        <f>Table1[[#This Row],[Purchase Amount (USD)]]</f>
        <v>98</v>
      </c>
      <c r="U2750">
        <f>IF(Table1[[#This Row],[Subscription Status]]="Yes",1,IF(Table1[[#This Row],[Subscription Status]]="No",0))</f>
        <v>0</v>
      </c>
    </row>
    <row r="2751" spans="1:21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  <c r="S2751" t="str">
        <f>IF(Table1[[#This Row],[Age]]&lt;=25,"Young",IF(Table1[[#This Row],[Age]]&lt;=50,"Adult","Senior"))</f>
        <v>Senior</v>
      </c>
      <c r="T2751" s="1">
        <f>Table1[[#This Row],[Purchase Amount (USD)]]</f>
        <v>53</v>
      </c>
      <c r="U2751">
        <f>IF(Table1[[#This Row],[Subscription Status]]="Yes",1,IF(Table1[[#This Row],[Subscription Status]]="No",0))</f>
        <v>0</v>
      </c>
    </row>
    <row r="2752" spans="1:21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  <c r="S2752" t="str">
        <f>IF(Table1[[#This Row],[Age]]&lt;=25,"Young",IF(Table1[[#This Row],[Age]]&lt;=50,"Adult","Senior"))</f>
        <v>Senior</v>
      </c>
      <c r="T2752" s="1">
        <f>Table1[[#This Row],[Purchase Amount (USD)]]</f>
        <v>66</v>
      </c>
      <c r="U2752">
        <f>IF(Table1[[#This Row],[Subscription Status]]="Yes",1,IF(Table1[[#This Row],[Subscription Status]]="No",0))</f>
        <v>0</v>
      </c>
    </row>
    <row r="2753" spans="1:21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  <c r="S2753" t="str">
        <f>IF(Table1[[#This Row],[Age]]&lt;=25,"Young",IF(Table1[[#This Row],[Age]]&lt;=50,"Adult","Senior"))</f>
        <v>Adult</v>
      </c>
      <c r="T2753" s="1">
        <f>Table1[[#This Row],[Purchase Amount (USD)]]</f>
        <v>52</v>
      </c>
      <c r="U2753">
        <f>IF(Table1[[#This Row],[Subscription Status]]="Yes",1,IF(Table1[[#This Row],[Subscription Status]]="No",0))</f>
        <v>0</v>
      </c>
    </row>
    <row r="2754" spans="1:21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  <c r="S2754" t="str">
        <f>IF(Table1[[#This Row],[Age]]&lt;=25,"Young",IF(Table1[[#This Row],[Age]]&lt;=50,"Adult","Senior"))</f>
        <v>Adult</v>
      </c>
      <c r="T2754" s="1">
        <f>Table1[[#This Row],[Purchase Amount (USD)]]</f>
        <v>64</v>
      </c>
      <c r="U2754">
        <f>IF(Table1[[#This Row],[Subscription Status]]="Yes",1,IF(Table1[[#This Row],[Subscription Status]]="No",0))</f>
        <v>0</v>
      </c>
    </row>
    <row r="2755" spans="1:21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  <c r="S2755" t="str">
        <f>IF(Table1[[#This Row],[Age]]&lt;=25,"Young",IF(Table1[[#This Row],[Age]]&lt;=50,"Adult","Senior"))</f>
        <v>Senior</v>
      </c>
      <c r="T2755" s="1">
        <f>Table1[[#This Row],[Purchase Amount (USD)]]</f>
        <v>59</v>
      </c>
      <c r="U2755">
        <f>IF(Table1[[#This Row],[Subscription Status]]="Yes",1,IF(Table1[[#This Row],[Subscription Status]]="No",0))</f>
        <v>0</v>
      </c>
    </row>
    <row r="2756" spans="1:21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  <c r="S2756" t="str">
        <f>IF(Table1[[#This Row],[Age]]&lt;=25,"Young",IF(Table1[[#This Row],[Age]]&lt;=50,"Adult","Senior"))</f>
        <v>Senior</v>
      </c>
      <c r="T2756" s="1">
        <f>Table1[[#This Row],[Purchase Amount (USD)]]</f>
        <v>61</v>
      </c>
      <c r="U2756">
        <f>IF(Table1[[#This Row],[Subscription Status]]="Yes",1,IF(Table1[[#This Row],[Subscription Status]]="No",0))</f>
        <v>0</v>
      </c>
    </row>
    <row r="2757" spans="1:21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  <c r="S2757" t="str">
        <f>IF(Table1[[#This Row],[Age]]&lt;=25,"Young",IF(Table1[[#This Row],[Age]]&lt;=50,"Adult","Senior"))</f>
        <v>Senior</v>
      </c>
      <c r="T2757" s="1">
        <f>Table1[[#This Row],[Purchase Amount (USD)]]</f>
        <v>97</v>
      </c>
      <c r="U2757">
        <f>IF(Table1[[#This Row],[Subscription Status]]="Yes",1,IF(Table1[[#This Row],[Subscription Status]]="No",0))</f>
        <v>0</v>
      </c>
    </row>
    <row r="2758" spans="1:21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  <c r="S2758" t="str">
        <f>IF(Table1[[#This Row],[Age]]&lt;=25,"Young",IF(Table1[[#This Row],[Age]]&lt;=50,"Adult","Senior"))</f>
        <v>Adult</v>
      </c>
      <c r="T2758" s="1">
        <f>Table1[[#This Row],[Purchase Amount (USD)]]</f>
        <v>23</v>
      </c>
      <c r="U2758">
        <f>IF(Table1[[#This Row],[Subscription Status]]="Yes",1,IF(Table1[[#This Row],[Subscription Status]]="No",0))</f>
        <v>0</v>
      </c>
    </row>
    <row r="2759" spans="1:21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  <c r="S2759" t="str">
        <f>IF(Table1[[#This Row],[Age]]&lt;=25,"Young",IF(Table1[[#This Row],[Age]]&lt;=50,"Adult","Senior"))</f>
        <v>Adult</v>
      </c>
      <c r="T2759" s="1">
        <f>Table1[[#This Row],[Purchase Amount (USD)]]</f>
        <v>98</v>
      </c>
      <c r="U2759">
        <f>IF(Table1[[#This Row],[Subscription Status]]="Yes",1,IF(Table1[[#This Row],[Subscription Status]]="No",0))</f>
        <v>0</v>
      </c>
    </row>
    <row r="2760" spans="1:21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  <c r="S2760" t="str">
        <f>IF(Table1[[#This Row],[Age]]&lt;=25,"Young",IF(Table1[[#This Row],[Age]]&lt;=50,"Adult","Senior"))</f>
        <v>Adult</v>
      </c>
      <c r="T2760" s="1">
        <f>Table1[[#This Row],[Purchase Amount (USD)]]</f>
        <v>98</v>
      </c>
      <c r="U2760">
        <f>IF(Table1[[#This Row],[Subscription Status]]="Yes",1,IF(Table1[[#This Row],[Subscription Status]]="No",0))</f>
        <v>0</v>
      </c>
    </row>
    <row r="2761" spans="1:21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  <c r="S2761" t="str">
        <f>IF(Table1[[#This Row],[Age]]&lt;=25,"Young",IF(Table1[[#This Row],[Age]]&lt;=50,"Adult","Senior"))</f>
        <v>Senior</v>
      </c>
      <c r="T2761" s="1">
        <f>Table1[[#This Row],[Purchase Amount (USD)]]</f>
        <v>59</v>
      </c>
      <c r="U2761">
        <f>IF(Table1[[#This Row],[Subscription Status]]="Yes",1,IF(Table1[[#This Row],[Subscription Status]]="No",0))</f>
        <v>0</v>
      </c>
    </row>
    <row r="2762" spans="1:21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  <c r="S2762" t="str">
        <f>IF(Table1[[#This Row],[Age]]&lt;=25,"Young",IF(Table1[[#This Row],[Age]]&lt;=50,"Adult","Senior"))</f>
        <v>Adult</v>
      </c>
      <c r="T2762" s="1">
        <f>Table1[[#This Row],[Purchase Amount (USD)]]</f>
        <v>82</v>
      </c>
      <c r="U2762">
        <f>IF(Table1[[#This Row],[Subscription Status]]="Yes",1,IF(Table1[[#This Row],[Subscription Status]]="No",0))</f>
        <v>0</v>
      </c>
    </row>
    <row r="2763" spans="1:21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  <c r="S2763" t="str">
        <f>IF(Table1[[#This Row],[Age]]&lt;=25,"Young",IF(Table1[[#This Row],[Age]]&lt;=50,"Adult","Senior"))</f>
        <v>Adult</v>
      </c>
      <c r="T2763" s="1">
        <f>Table1[[#This Row],[Purchase Amount (USD)]]</f>
        <v>82</v>
      </c>
      <c r="U2763">
        <f>IF(Table1[[#This Row],[Subscription Status]]="Yes",1,IF(Table1[[#This Row],[Subscription Status]]="No",0))</f>
        <v>0</v>
      </c>
    </row>
    <row r="2764" spans="1:21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  <c r="S2764" t="str">
        <f>IF(Table1[[#This Row],[Age]]&lt;=25,"Young",IF(Table1[[#This Row],[Age]]&lt;=50,"Adult","Senior"))</f>
        <v>Senior</v>
      </c>
      <c r="T2764" s="1">
        <f>Table1[[#This Row],[Purchase Amount (USD)]]</f>
        <v>41</v>
      </c>
      <c r="U2764">
        <f>IF(Table1[[#This Row],[Subscription Status]]="Yes",1,IF(Table1[[#This Row],[Subscription Status]]="No",0))</f>
        <v>0</v>
      </c>
    </row>
    <row r="2765" spans="1:21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  <c r="S2765" t="str">
        <f>IF(Table1[[#This Row],[Age]]&lt;=25,"Young",IF(Table1[[#This Row],[Age]]&lt;=50,"Adult","Senior"))</f>
        <v>Adult</v>
      </c>
      <c r="T2765" s="1">
        <f>Table1[[#This Row],[Purchase Amount (USD)]]</f>
        <v>52</v>
      </c>
      <c r="U2765">
        <f>IF(Table1[[#This Row],[Subscription Status]]="Yes",1,IF(Table1[[#This Row],[Subscription Status]]="No",0))</f>
        <v>0</v>
      </c>
    </row>
    <row r="2766" spans="1:21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  <c r="S2766" t="str">
        <f>IF(Table1[[#This Row],[Age]]&lt;=25,"Young",IF(Table1[[#This Row],[Age]]&lt;=50,"Adult","Senior"))</f>
        <v>Senior</v>
      </c>
      <c r="T2766" s="1">
        <f>Table1[[#This Row],[Purchase Amount (USD)]]</f>
        <v>41</v>
      </c>
      <c r="U2766">
        <f>IF(Table1[[#This Row],[Subscription Status]]="Yes",1,IF(Table1[[#This Row],[Subscription Status]]="No",0))</f>
        <v>0</v>
      </c>
    </row>
    <row r="2767" spans="1:21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  <c r="S2767" t="str">
        <f>IF(Table1[[#This Row],[Age]]&lt;=25,"Young",IF(Table1[[#This Row],[Age]]&lt;=50,"Adult","Senior"))</f>
        <v>Senior</v>
      </c>
      <c r="T2767" s="1">
        <f>Table1[[#This Row],[Purchase Amount (USD)]]</f>
        <v>70</v>
      </c>
      <c r="U2767">
        <f>IF(Table1[[#This Row],[Subscription Status]]="Yes",1,IF(Table1[[#This Row],[Subscription Status]]="No",0))</f>
        <v>0</v>
      </c>
    </row>
    <row r="2768" spans="1:21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  <c r="S2768" t="str">
        <f>IF(Table1[[#This Row],[Age]]&lt;=25,"Young",IF(Table1[[#This Row],[Age]]&lt;=50,"Adult","Senior"))</f>
        <v>Senior</v>
      </c>
      <c r="T2768" s="1">
        <f>Table1[[#This Row],[Purchase Amount (USD)]]</f>
        <v>91</v>
      </c>
      <c r="U2768">
        <f>IF(Table1[[#This Row],[Subscription Status]]="Yes",1,IF(Table1[[#This Row],[Subscription Status]]="No",0))</f>
        <v>0</v>
      </c>
    </row>
    <row r="2769" spans="1:21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  <c r="S2769" t="str">
        <f>IF(Table1[[#This Row],[Age]]&lt;=25,"Young",IF(Table1[[#This Row],[Age]]&lt;=50,"Adult","Senior"))</f>
        <v>Adult</v>
      </c>
      <c r="T2769" s="1">
        <f>Table1[[#This Row],[Purchase Amount (USD)]]</f>
        <v>95</v>
      </c>
      <c r="U2769">
        <f>IF(Table1[[#This Row],[Subscription Status]]="Yes",1,IF(Table1[[#This Row],[Subscription Status]]="No",0))</f>
        <v>0</v>
      </c>
    </row>
    <row r="2770" spans="1:21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  <c r="S2770" t="str">
        <f>IF(Table1[[#This Row],[Age]]&lt;=25,"Young",IF(Table1[[#This Row],[Age]]&lt;=50,"Adult","Senior"))</f>
        <v>Senior</v>
      </c>
      <c r="T2770" s="1">
        <f>Table1[[#This Row],[Purchase Amount (USD)]]</f>
        <v>25</v>
      </c>
      <c r="U2770">
        <f>IF(Table1[[#This Row],[Subscription Status]]="Yes",1,IF(Table1[[#This Row],[Subscription Status]]="No",0))</f>
        <v>0</v>
      </c>
    </row>
    <row r="2771" spans="1:21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  <c r="S2771" t="str">
        <f>IF(Table1[[#This Row],[Age]]&lt;=25,"Young",IF(Table1[[#This Row],[Age]]&lt;=50,"Adult","Senior"))</f>
        <v>Adult</v>
      </c>
      <c r="T2771" s="1">
        <f>Table1[[#This Row],[Purchase Amount (USD)]]</f>
        <v>89</v>
      </c>
      <c r="U2771">
        <f>IF(Table1[[#This Row],[Subscription Status]]="Yes",1,IF(Table1[[#This Row],[Subscription Status]]="No",0))</f>
        <v>0</v>
      </c>
    </row>
    <row r="2772" spans="1:21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  <c r="S2772" t="str">
        <f>IF(Table1[[#This Row],[Age]]&lt;=25,"Young",IF(Table1[[#This Row],[Age]]&lt;=50,"Adult","Senior"))</f>
        <v>Adult</v>
      </c>
      <c r="T2772" s="1">
        <f>Table1[[#This Row],[Purchase Amount (USD)]]</f>
        <v>44</v>
      </c>
      <c r="U2772">
        <f>IF(Table1[[#This Row],[Subscription Status]]="Yes",1,IF(Table1[[#This Row],[Subscription Status]]="No",0))</f>
        <v>0</v>
      </c>
    </row>
    <row r="2773" spans="1:21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  <c r="S2773" t="str">
        <f>IF(Table1[[#This Row],[Age]]&lt;=25,"Young",IF(Table1[[#This Row],[Age]]&lt;=50,"Adult","Senior"))</f>
        <v>Senior</v>
      </c>
      <c r="T2773" s="1">
        <f>Table1[[#This Row],[Purchase Amount (USD)]]</f>
        <v>52</v>
      </c>
      <c r="U2773">
        <f>IF(Table1[[#This Row],[Subscription Status]]="Yes",1,IF(Table1[[#This Row],[Subscription Status]]="No",0))</f>
        <v>0</v>
      </c>
    </row>
    <row r="2774" spans="1:21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  <c r="S2774" t="str">
        <f>IF(Table1[[#This Row],[Age]]&lt;=25,"Young",IF(Table1[[#This Row],[Age]]&lt;=50,"Adult","Senior"))</f>
        <v>Young</v>
      </c>
      <c r="T2774" s="1">
        <f>Table1[[#This Row],[Purchase Amount (USD)]]</f>
        <v>94</v>
      </c>
      <c r="U2774">
        <f>IF(Table1[[#This Row],[Subscription Status]]="Yes",1,IF(Table1[[#This Row],[Subscription Status]]="No",0))</f>
        <v>0</v>
      </c>
    </row>
    <row r="2775" spans="1:21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  <c r="S2775" t="str">
        <f>IF(Table1[[#This Row],[Age]]&lt;=25,"Young",IF(Table1[[#This Row],[Age]]&lt;=50,"Adult","Senior"))</f>
        <v>Adult</v>
      </c>
      <c r="T2775" s="1">
        <f>Table1[[#This Row],[Purchase Amount (USD)]]</f>
        <v>98</v>
      </c>
      <c r="U2775">
        <f>IF(Table1[[#This Row],[Subscription Status]]="Yes",1,IF(Table1[[#This Row],[Subscription Status]]="No",0))</f>
        <v>0</v>
      </c>
    </row>
    <row r="2776" spans="1:21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  <c r="S2776" t="str">
        <f>IF(Table1[[#This Row],[Age]]&lt;=25,"Young",IF(Table1[[#This Row],[Age]]&lt;=50,"Adult","Senior"))</f>
        <v>Senior</v>
      </c>
      <c r="T2776" s="1">
        <f>Table1[[#This Row],[Purchase Amount (USD)]]</f>
        <v>40</v>
      </c>
      <c r="U2776">
        <f>IF(Table1[[#This Row],[Subscription Status]]="Yes",1,IF(Table1[[#This Row],[Subscription Status]]="No",0))</f>
        <v>0</v>
      </c>
    </row>
    <row r="2777" spans="1:21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  <c r="S2777" t="str">
        <f>IF(Table1[[#This Row],[Age]]&lt;=25,"Young",IF(Table1[[#This Row],[Age]]&lt;=50,"Adult","Senior"))</f>
        <v>Adult</v>
      </c>
      <c r="T2777" s="1">
        <f>Table1[[#This Row],[Purchase Amount (USD)]]</f>
        <v>25</v>
      </c>
      <c r="U2777">
        <f>IF(Table1[[#This Row],[Subscription Status]]="Yes",1,IF(Table1[[#This Row],[Subscription Status]]="No",0))</f>
        <v>0</v>
      </c>
    </row>
    <row r="2778" spans="1:21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  <c r="S2778" t="str">
        <f>IF(Table1[[#This Row],[Age]]&lt;=25,"Young",IF(Table1[[#This Row],[Age]]&lt;=50,"Adult","Senior"))</f>
        <v>Adult</v>
      </c>
      <c r="T2778" s="1">
        <f>Table1[[#This Row],[Purchase Amount (USD)]]</f>
        <v>62</v>
      </c>
      <c r="U2778">
        <f>IF(Table1[[#This Row],[Subscription Status]]="Yes",1,IF(Table1[[#This Row],[Subscription Status]]="No",0))</f>
        <v>0</v>
      </c>
    </row>
    <row r="2779" spans="1:21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  <c r="S2779" t="str">
        <f>IF(Table1[[#This Row],[Age]]&lt;=25,"Young",IF(Table1[[#This Row],[Age]]&lt;=50,"Adult","Senior"))</f>
        <v>Senior</v>
      </c>
      <c r="T2779" s="1">
        <f>Table1[[#This Row],[Purchase Amount (USD)]]</f>
        <v>24</v>
      </c>
      <c r="U2779">
        <f>IF(Table1[[#This Row],[Subscription Status]]="Yes",1,IF(Table1[[#This Row],[Subscription Status]]="No",0))</f>
        <v>0</v>
      </c>
    </row>
    <row r="2780" spans="1:21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  <c r="S2780" t="str">
        <f>IF(Table1[[#This Row],[Age]]&lt;=25,"Young",IF(Table1[[#This Row],[Age]]&lt;=50,"Adult","Senior"))</f>
        <v>Senior</v>
      </c>
      <c r="T2780" s="1">
        <f>Table1[[#This Row],[Purchase Amount (USD)]]</f>
        <v>57</v>
      </c>
      <c r="U2780">
        <f>IF(Table1[[#This Row],[Subscription Status]]="Yes",1,IF(Table1[[#This Row],[Subscription Status]]="No",0))</f>
        <v>0</v>
      </c>
    </row>
    <row r="2781" spans="1:21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  <c r="S2781" t="str">
        <f>IF(Table1[[#This Row],[Age]]&lt;=25,"Young",IF(Table1[[#This Row],[Age]]&lt;=50,"Adult","Senior"))</f>
        <v>Senior</v>
      </c>
      <c r="T2781" s="1">
        <f>Table1[[#This Row],[Purchase Amount (USD)]]</f>
        <v>66</v>
      </c>
      <c r="U2781">
        <f>IF(Table1[[#This Row],[Subscription Status]]="Yes",1,IF(Table1[[#This Row],[Subscription Status]]="No",0))</f>
        <v>0</v>
      </c>
    </row>
    <row r="2782" spans="1:21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  <c r="S2782" t="str">
        <f>IF(Table1[[#This Row],[Age]]&lt;=25,"Young",IF(Table1[[#This Row],[Age]]&lt;=50,"Adult","Senior"))</f>
        <v>Adult</v>
      </c>
      <c r="T2782" s="1">
        <f>Table1[[#This Row],[Purchase Amount (USD)]]</f>
        <v>70</v>
      </c>
      <c r="U2782">
        <f>IF(Table1[[#This Row],[Subscription Status]]="Yes",1,IF(Table1[[#This Row],[Subscription Status]]="No",0))</f>
        <v>0</v>
      </c>
    </row>
    <row r="2783" spans="1:21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  <c r="S2783" t="str">
        <f>IF(Table1[[#This Row],[Age]]&lt;=25,"Young",IF(Table1[[#This Row],[Age]]&lt;=50,"Adult","Senior"))</f>
        <v>Senior</v>
      </c>
      <c r="T2783" s="1">
        <f>Table1[[#This Row],[Purchase Amount (USD)]]</f>
        <v>39</v>
      </c>
      <c r="U2783">
        <f>IF(Table1[[#This Row],[Subscription Status]]="Yes",1,IF(Table1[[#This Row],[Subscription Status]]="No",0))</f>
        <v>0</v>
      </c>
    </row>
    <row r="2784" spans="1:21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  <c r="S2784" t="str">
        <f>IF(Table1[[#This Row],[Age]]&lt;=25,"Young",IF(Table1[[#This Row],[Age]]&lt;=50,"Adult","Senior"))</f>
        <v>Adult</v>
      </c>
      <c r="T2784" s="1">
        <f>Table1[[#This Row],[Purchase Amount (USD)]]</f>
        <v>34</v>
      </c>
      <c r="U2784">
        <f>IF(Table1[[#This Row],[Subscription Status]]="Yes",1,IF(Table1[[#This Row],[Subscription Status]]="No",0))</f>
        <v>0</v>
      </c>
    </row>
    <row r="2785" spans="1:21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  <c r="S2785" t="str">
        <f>IF(Table1[[#This Row],[Age]]&lt;=25,"Young",IF(Table1[[#This Row],[Age]]&lt;=50,"Adult","Senior"))</f>
        <v>Young</v>
      </c>
      <c r="T2785" s="1">
        <f>Table1[[#This Row],[Purchase Amount (USD)]]</f>
        <v>38</v>
      </c>
      <c r="U2785">
        <f>IF(Table1[[#This Row],[Subscription Status]]="Yes",1,IF(Table1[[#This Row],[Subscription Status]]="No",0))</f>
        <v>0</v>
      </c>
    </row>
    <row r="2786" spans="1:21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  <c r="S2786" t="str">
        <f>IF(Table1[[#This Row],[Age]]&lt;=25,"Young",IF(Table1[[#This Row],[Age]]&lt;=50,"Adult","Senior"))</f>
        <v>Adult</v>
      </c>
      <c r="T2786" s="1">
        <f>Table1[[#This Row],[Purchase Amount (USD)]]</f>
        <v>70</v>
      </c>
      <c r="U2786">
        <f>IF(Table1[[#This Row],[Subscription Status]]="Yes",1,IF(Table1[[#This Row],[Subscription Status]]="No",0))</f>
        <v>0</v>
      </c>
    </row>
    <row r="2787" spans="1:21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  <c r="S2787" t="str">
        <f>IF(Table1[[#This Row],[Age]]&lt;=25,"Young",IF(Table1[[#This Row],[Age]]&lt;=50,"Adult","Senior"))</f>
        <v>Senior</v>
      </c>
      <c r="T2787" s="1">
        <f>Table1[[#This Row],[Purchase Amount (USD)]]</f>
        <v>80</v>
      </c>
      <c r="U2787">
        <f>IF(Table1[[#This Row],[Subscription Status]]="Yes",1,IF(Table1[[#This Row],[Subscription Status]]="No",0))</f>
        <v>0</v>
      </c>
    </row>
    <row r="2788" spans="1:21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  <c r="S2788" t="str">
        <f>IF(Table1[[#This Row],[Age]]&lt;=25,"Young",IF(Table1[[#This Row],[Age]]&lt;=50,"Adult","Senior"))</f>
        <v>Senior</v>
      </c>
      <c r="T2788" s="1">
        <f>Table1[[#This Row],[Purchase Amount (USD)]]</f>
        <v>51</v>
      </c>
      <c r="U2788">
        <f>IF(Table1[[#This Row],[Subscription Status]]="Yes",1,IF(Table1[[#This Row],[Subscription Status]]="No",0))</f>
        <v>0</v>
      </c>
    </row>
    <row r="2789" spans="1:21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  <c r="S2789" t="str">
        <f>IF(Table1[[#This Row],[Age]]&lt;=25,"Young",IF(Table1[[#This Row],[Age]]&lt;=50,"Adult","Senior"))</f>
        <v>Adult</v>
      </c>
      <c r="T2789" s="1">
        <f>Table1[[#This Row],[Purchase Amount (USD)]]</f>
        <v>79</v>
      </c>
      <c r="U2789">
        <f>IF(Table1[[#This Row],[Subscription Status]]="Yes",1,IF(Table1[[#This Row],[Subscription Status]]="No",0))</f>
        <v>0</v>
      </c>
    </row>
    <row r="2790" spans="1:21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  <c r="S2790" t="str">
        <f>IF(Table1[[#This Row],[Age]]&lt;=25,"Young",IF(Table1[[#This Row],[Age]]&lt;=50,"Adult","Senior"))</f>
        <v>Senior</v>
      </c>
      <c r="T2790" s="1">
        <f>Table1[[#This Row],[Purchase Amount (USD)]]</f>
        <v>92</v>
      </c>
      <c r="U2790">
        <f>IF(Table1[[#This Row],[Subscription Status]]="Yes",1,IF(Table1[[#This Row],[Subscription Status]]="No",0))</f>
        <v>0</v>
      </c>
    </row>
    <row r="2791" spans="1:21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  <c r="S2791" t="str">
        <f>IF(Table1[[#This Row],[Age]]&lt;=25,"Young",IF(Table1[[#This Row],[Age]]&lt;=50,"Adult","Senior"))</f>
        <v>Adult</v>
      </c>
      <c r="T2791" s="1">
        <f>Table1[[#This Row],[Purchase Amount (USD)]]</f>
        <v>85</v>
      </c>
      <c r="U2791">
        <f>IF(Table1[[#This Row],[Subscription Status]]="Yes",1,IF(Table1[[#This Row],[Subscription Status]]="No",0))</f>
        <v>0</v>
      </c>
    </row>
    <row r="2792" spans="1:21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  <c r="S2792" t="str">
        <f>IF(Table1[[#This Row],[Age]]&lt;=25,"Young",IF(Table1[[#This Row],[Age]]&lt;=50,"Adult","Senior"))</f>
        <v>Adult</v>
      </c>
      <c r="T2792" s="1">
        <f>Table1[[#This Row],[Purchase Amount (USD)]]</f>
        <v>63</v>
      </c>
      <c r="U2792">
        <f>IF(Table1[[#This Row],[Subscription Status]]="Yes",1,IF(Table1[[#This Row],[Subscription Status]]="No",0))</f>
        <v>0</v>
      </c>
    </row>
    <row r="2793" spans="1:21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  <c r="S2793" t="str">
        <f>IF(Table1[[#This Row],[Age]]&lt;=25,"Young",IF(Table1[[#This Row],[Age]]&lt;=50,"Adult","Senior"))</f>
        <v>Adult</v>
      </c>
      <c r="T2793" s="1">
        <f>Table1[[#This Row],[Purchase Amount (USD)]]</f>
        <v>60</v>
      </c>
      <c r="U2793">
        <f>IF(Table1[[#This Row],[Subscription Status]]="Yes",1,IF(Table1[[#This Row],[Subscription Status]]="No",0))</f>
        <v>0</v>
      </c>
    </row>
    <row r="2794" spans="1:21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  <c r="S2794" t="str">
        <f>IF(Table1[[#This Row],[Age]]&lt;=25,"Young",IF(Table1[[#This Row],[Age]]&lt;=50,"Adult","Senior"))</f>
        <v>Senior</v>
      </c>
      <c r="T2794" s="1">
        <f>Table1[[#This Row],[Purchase Amount (USD)]]</f>
        <v>44</v>
      </c>
      <c r="U2794">
        <f>IF(Table1[[#This Row],[Subscription Status]]="Yes",1,IF(Table1[[#This Row],[Subscription Status]]="No",0))</f>
        <v>0</v>
      </c>
    </row>
    <row r="2795" spans="1:21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  <c r="S2795" t="str">
        <f>IF(Table1[[#This Row],[Age]]&lt;=25,"Young",IF(Table1[[#This Row],[Age]]&lt;=50,"Adult","Senior"))</f>
        <v>Adult</v>
      </c>
      <c r="T2795" s="1">
        <f>Table1[[#This Row],[Purchase Amount (USD)]]</f>
        <v>57</v>
      </c>
      <c r="U2795">
        <f>IF(Table1[[#This Row],[Subscription Status]]="Yes",1,IF(Table1[[#This Row],[Subscription Status]]="No",0))</f>
        <v>0</v>
      </c>
    </row>
    <row r="2796" spans="1:21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  <c r="S2796" t="str">
        <f>IF(Table1[[#This Row],[Age]]&lt;=25,"Young",IF(Table1[[#This Row],[Age]]&lt;=50,"Adult","Senior"))</f>
        <v>Adult</v>
      </c>
      <c r="T2796" s="1">
        <f>Table1[[#This Row],[Purchase Amount (USD)]]</f>
        <v>24</v>
      </c>
      <c r="U2796">
        <f>IF(Table1[[#This Row],[Subscription Status]]="Yes",1,IF(Table1[[#This Row],[Subscription Status]]="No",0))</f>
        <v>0</v>
      </c>
    </row>
    <row r="2797" spans="1:21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  <c r="S2797" t="str">
        <f>IF(Table1[[#This Row],[Age]]&lt;=25,"Young",IF(Table1[[#This Row],[Age]]&lt;=50,"Adult","Senior"))</f>
        <v>Adult</v>
      </c>
      <c r="T2797" s="1">
        <f>Table1[[#This Row],[Purchase Amount (USD)]]</f>
        <v>35</v>
      </c>
      <c r="U2797">
        <f>IF(Table1[[#This Row],[Subscription Status]]="Yes",1,IF(Table1[[#This Row],[Subscription Status]]="No",0))</f>
        <v>0</v>
      </c>
    </row>
    <row r="2798" spans="1:21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  <c r="S2798" t="str">
        <f>IF(Table1[[#This Row],[Age]]&lt;=25,"Young",IF(Table1[[#This Row],[Age]]&lt;=50,"Adult","Senior"))</f>
        <v>Senior</v>
      </c>
      <c r="T2798" s="1">
        <f>Table1[[#This Row],[Purchase Amount (USD)]]</f>
        <v>73</v>
      </c>
      <c r="U2798">
        <f>IF(Table1[[#This Row],[Subscription Status]]="Yes",1,IF(Table1[[#This Row],[Subscription Status]]="No",0))</f>
        <v>0</v>
      </c>
    </row>
    <row r="2799" spans="1:21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  <c r="S2799" t="str">
        <f>IF(Table1[[#This Row],[Age]]&lt;=25,"Young",IF(Table1[[#This Row],[Age]]&lt;=50,"Adult","Senior"))</f>
        <v>Senior</v>
      </c>
      <c r="T2799" s="1">
        <f>Table1[[#This Row],[Purchase Amount (USD)]]</f>
        <v>42</v>
      </c>
      <c r="U2799">
        <f>IF(Table1[[#This Row],[Subscription Status]]="Yes",1,IF(Table1[[#This Row],[Subscription Status]]="No",0))</f>
        <v>0</v>
      </c>
    </row>
    <row r="2800" spans="1:21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  <c r="S2800" t="str">
        <f>IF(Table1[[#This Row],[Age]]&lt;=25,"Young",IF(Table1[[#This Row],[Age]]&lt;=50,"Adult","Senior"))</f>
        <v>Senior</v>
      </c>
      <c r="T2800" s="1">
        <f>Table1[[#This Row],[Purchase Amount (USD)]]</f>
        <v>20</v>
      </c>
      <c r="U2800">
        <f>IF(Table1[[#This Row],[Subscription Status]]="Yes",1,IF(Table1[[#This Row],[Subscription Status]]="No",0))</f>
        <v>0</v>
      </c>
    </row>
    <row r="2801" spans="1:21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  <c r="S2801" t="str">
        <f>IF(Table1[[#This Row],[Age]]&lt;=25,"Young",IF(Table1[[#This Row],[Age]]&lt;=50,"Adult","Senior"))</f>
        <v>Young</v>
      </c>
      <c r="T2801" s="1">
        <f>Table1[[#This Row],[Purchase Amount (USD)]]</f>
        <v>89</v>
      </c>
      <c r="U2801">
        <f>IF(Table1[[#This Row],[Subscription Status]]="Yes",1,IF(Table1[[#This Row],[Subscription Status]]="No",0))</f>
        <v>0</v>
      </c>
    </row>
    <row r="2802" spans="1:21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  <c r="S2802" t="str">
        <f>IF(Table1[[#This Row],[Age]]&lt;=25,"Young",IF(Table1[[#This Row],[Age]]&lt;=50,"Adult","Senior"))</f>
        <v>Senior</v>
      </c>
      <c r="T2802" s="1">
        <f>Table1[[#This Row],[Purchase Amount (USD)]]</f>
        <v>76</v>
      </c>
      <c r="U2802">
        <f>IF(Table1[[#This Row],[Subscription Status]]="Yes",1,IF(Table1[[#This Row],[Subscription Status]]="No",0))</f>
        <v>0</v>
      </c>
    </row>
    <row r="2803" spans="1:21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  <c r="S2803" t="str">
        <f>IF(Table1[[#This Row],[Age]]&lt;=25,"Young",IF(Table1[[#This Row],[Age]]&lt;=50,"Adult","Senior"))</f>
        <v>Senior</v>
      </c>
      <c r="T2803" s="1">
        <f>Table1[[#This Row],[Purchase Amount (USD)]]</f>
        <v>56</v>
      </c>
      <c r="U2803">
        <f>IF(Table1[[#This Row],[Subscription Status]]="Yes",1,IF(Table1[[#This Row],[Subscription Status]]="No",0))</f>
        <v>0</v>
      </c>
    </row>
    <row r="2804" spans="1:21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  <c r="S2804" t="str">
        <f>IF(Table1[[#This Row],[Age]]&lt;=25,"Young",IF(Table1[[#This Row],[Age]]&lt;=50,"Adult","Senior"))</f>
        <v>Young</v>
      </c>
      <c r="T2804" s="1">
        <f>Table1[[#This Row],[Purchase Amount (USD)]]</f>
        <v>100</v>
      </c>
      <c r="U2804">
        <f>IF(Table1[[#This Row],[Subscription Status]]="Yes",1,IF(Table1[[#This Row],[Subscription Status]]="No",0))</f>
        <v>0</v>
      </c>
    </row>
    <row r="2805" spans="1:21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  <c r="S2805" t="str">
        <f>IF(Table1[[#This Row],[Age]]&lt;=25,"Young",IF(Table1[[#This Row],[Age]]&lt;=50,"Adult","Senior"))</f>
        <v>Adult</v>
      </c>
      <c r="T2805" s="1">
        <f>Table1[[#This Row],[Purchase Amount (USD)]]</f>
        <v>44</v>
      </c>
      <c r="U2805">
        <f>IF(Table1[[#This Row],[Subscription Status]]="Yes",1,IF(Table1[[#This Row],[Subscription Status]]="No",0))</f>
        <v>0</v>
      </c>
    </row>
    <row r="2806" spans="1:21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  <c r="S2806" t="str">
        <f>IF(Table1[[#This Row],[Age]]&lt;=25,"Young",IF(Table1[[#This Row],[Age]]&lt;=50,"Adult","Senior"))</f>
        <v>Senior</v>
      </c>
      <c r="T2806" s="1">
        <f>Table1[[#This Row],[Purchase Amount (USD)]]</f>
        <v>76</v>
      </c>
      <c r="U2806">
        <f>IF(Table1[[#This Row],[Subscription Status]]="Yes",1,IF(Table1[[#This Row],[Subscription Status]]="No",0))</f>
        <v>0</v>
      </c>
    </row>
    <row r="2807" spans="1:21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  <c r="S2807" t="str">
        <f>IF(Table1[[#This Row],[Age]]&lt;=25,"Young",IF(Table1[[#This Row],[Age]]&lt;=50,"Adult","Senior"))</f>
        <v>Young</v>
      </c>
      <c r="T2807" s="1">
        <f>Table1[[#This Row],[Purchase Amount (USD)]]</f>
        <v>97</v>
      </c>
      <c r="U2807">
        <f>IF(Table1[[#This Row],[Subscription Status]]="Yes",1,IF(Table1[[#This Row],[Subscription Status]]="No",0))</f>
        <v>0</v>
      </c>
    </row>
    <row r="2808" spans="1:21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  <c r="S2808" t="str">
        <f>IF(Table1[[#This Row],[Age]]&lt;=25,"Young",IF(Table1[[#This Row],[Age]]&lt;=50,"Adult","Senior"))</f>
        <v>Adult</v>
      </c>
      <c r="T2808" s="1">
        <f>Table1[[#This Row],[Purchase Amount (USD)]]</f>
        <v>39</v>
      </c>
      <c r="U2808">
        <f>IF(Table1[[#This Row],[Subscription Status]]="Yes",1,IF(Table1[[#This Row],[Subscription Status]]="No",0))</f>
        <v>0</v>
      </c>
    </row>
    <row r="2809" spans="1:21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  <c r="S2809" t="str">
        <f>IF(Table1[[#This Row],[Age]]&lt;=25,"Young",IF(Table1[[#This Row],[Age]]&lt;=50,"Adult","Senior"))</f>
        <v>Senior</v>
      </c>
      <c r="T2809" s="1">
        <f>Table1[[#This Row],[Purchase Amount (USD)]]</f>
        <v>100</v>
      </c>
      <c r="U2809">
        <f>IF(Table1[[#This Row],[Subscription Status]]="Yes",1,IF(Table1[[#This Row],[Subscription Status]]="No",0))</f>
        <v>0</v>
      </c>
    </row>
    <row r="2810" spans="1:21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  <c r="S2810" t="str">
        <f>IF(Table1[[#This Row],[Age]]&lt;=25,"Young",IF(Table1[[#This Row],[Age]]&lt;=50,"Adult","Senior"))</f>
        <v>Adult</v>
      </c>
      <c r="T2810" s="1">
        <f>Table1[[#This Row],[Purchase Amount (USD)]]</f>
        <v>62</v>
      </c>
      <c r="U2810">
        <f>IF(Table1[[#This Row],[Subscription Status]]="Yes",1,IF(Table1[[#This Row],[Subscription Status]]="No",0))</f>
        <v>0</v>
      </c>
    </row>
    <row r="2811" spans="1:21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  <c r="S2811" t="str">
        <f>IF(Table1[[#This Row],[Age]]&lt;=25,"Young",IF(Table1[[#This Row],[Age]]&lt;=50,"Adult","Senior"))</f>
        <v>Senior</v>
      </c>
      <c r="T2811" s="1">
        <f>Table1[[#This Row],[Purchase Amount (USD)]]</f>
        <v>98</v>
      </c>
      <c r="U2811">
        <f>IF(Table1[[#This Row],[Subscription Status]]="Yes",1,IF(Table1[[#This Row],[Subscription Status]]="No",0))</f>
        <v>0</v>
      </c>
    </row>
    <row r="2812" spans="1:21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  <c r="S2812" t="str">
        <f>IF(Table1[[#This Row],[Age]]&lt;=25,"Young",IF(Table1[[#This Row],[Age]]&lt;=50,"Adult","Senior"))</f>
        <v>Adult</v>
      </c>
      <c r="T2812" s="1">
        <f>Table1[[#This Row],[Purchase Amount (USD)]]</f>
        <v>31</v>
      </c>
      <c r="U2812">
        <f>IF(Table1[[#This Row],[Subscription Status]]="Yes",1,IF(Table1[[#This Row],[Subscription Status]]="No",0))</f>
        <v>0</v>
      </c>
    </row>
    <row r="2813" spans="1:21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  <c r="S2813" t="str">
        <f>IF(Table1[[#This Row],[Age]]&lt;=25,"Young",IF(Table1[[#This Row],[Age]]&lt;=50,"Adult","Senior"))</f>
        <v>Senior</v>
      </c>
      <c r="T2813" s="1">
        <f>Table1[[#This Row],[Purchase Amount (USD)]]</f>
        <v>89</v>
      </c>
      <c r="U2813">
        <f>IF(Table1[[#This Row],[Subscription Status]]="Yes",1,IF(Table1[[#This Row],[Subscription Status]]="No",0))</f>
        <v>0</v>
      </c>
    </row>
    <row r="2814" spans="1:21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  <c r="S2814" t="str">
        <f>IF(Table1[[#This Row],[Age]]&lt;=25,"Young",IF(Table1[[#This Row],[Age]]&lt;=50,"Adult","Senior"))</f>
        <v>Senior</v>
      </c>
      <c r="T2814" s="1">
        <f>Table1[[#This Row],[Purchase Amount (USD)]]</f>
        <v>91</v>
      </c>
      <c r="U2814">
        <f>IF(Table1[[#This Row],[Subscription Status]]="Yes",1,IF(Table1[[#This Row],[Subscription Status]]="No",0))</f>
        <v>0</v>
      </c>
    </row>
    <row r="2815" spans="1:21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  <c r="S2815" t="str">
        <f>IF(Table1[[#This Row],[Age]]&lt;=25,"Young",IF(Table1[[#This Row],[Age]]&lt;=50,"Adult","Senior"))</f>
        <v>Adult</v>
      </c>
      <c r="T2815" s="1">
        <f>Table1[[#This Row],[Purchase Amount (USD)]]</f>
        <v>50</v>
      </c>
      <c r="U2815">
        <f>IF(Table1[[#This Row],[Subscription Status]]="Yes",1,IF(Table1[[#This Row],[Subscription Status]]="No",0))</f>
        <v>0</v>
      </c>
    </row>
    <row r="2816" spans="1:21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  <c r="S2816" t="str">
        <f>IF(Table1[[#This Row],[Age]]&lt;=25,"Young",IF(Table1[[#This Row],[Age]]&lt;=50,"Adult","Senior"))</f>
        <v>Adult</v>
      </c>
      <c r="T2816" s="1">
        <f>Table1[[#This Row],[Purchase Amount (USD)]]</f>
        <v>32</v>
      </c>
      <c r="U2816">
        <f>IF(Table1[[#This Row],[Subscription Status]]="Yes",1,IF(Table1[[#This Row],[Subscription Status]]="No",0))</f>
        <v>0</v>
      </c>
    </row>
    <row r="2817" spans="1:21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  <c r="S2817" t="str">
        <f>IF(Table1[[#This Row],[Age]]&lt;=25,"Young",IF(Table1[[#This Row],[Age]]&lt;=50,"Adult","Senior"))</f>
        <v>Adult</v>
      </c>
      <c r="T2817" s="1">
        <f>Table1[[#This Row],[Purchase Amount (USD)]]</f>
        <v>67</v>
      </c>
      <c r="U2817">
        <f>IF(Table1[[#This Row],[Subscription Status]]="Yes",1,IF(Table1[[#This Row],[Subscription Status]]="No",0))</f>
        <v>0</v>
      </c>
    </row>
    <row r="2818" spans="1:21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  <c r="S2818" t="str">
        <f>IF(Table1[[#This Row],[Age]]&lt;=25,"Young",IF(Table1[[#This Row],[Age]]&lt;=50,"Adult","Senior"))</f>
        <v>Adult</v>
      </c>
      <c r="T2818" s="1">
        <f>Table1[[#This Row],[Purchase Amount (USD)]]</f>
        <v>28</v>
      </c>
      <c r="U2818">
        <f>IF(Table1[[#This Row],[Subscription Status]]="Yes",1,IF(Table1[[#This Row],[Subscription Status]]="No",0))</f>
        <v>0</v>
      </c>
    </row>
    <row r="2819" spans="1:21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  <c r="S2819" t="str">
        <f>IF(Table1[[#This Row],[Age]]&lt;=25,"Young",IF(Table1[[#This Row],[Age]]&lt;=50,"Adult","Senior"))</f>
        <v>Young</v>
      </c>
      <c r="T2819" s="1">
        <f>Table1[[#This Row],[Purchase Amount (USD)]]</f>
        <v>65</v>
      </c>
      <c r="U2819">
        <f>IF(Table1[[#This Row],[Subscription Status]]="Yes",1,IF(Table1[[#This Row],[Subscription Status]]="No",0))</f>
        <v>0</v>
      </c>
    </row>
    <row r="2820" spans="1:21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  <c r="S2820" t="str">
        <f>IF(Table1[[#This Row],[Age]]&lt;=25,"Young",IF(Table1[[#This Row],[Age]]&lt;=50,"Adult","Senior"))</f>
        <v>Adult</v>
      </c>
      <c r="T2820" s="1">
        <f>Table1[[#This Row],[Purchase Amount (USD)]]</f>
        <v>73</v>
      </c>
      <c r="U2820">
        <f>IF(Table1[[#This Row],[Subscription Status]]="Yes",1,IF(Table1[[#This Row],[Subscription Status]]="No",0))</f>
        <v>0</v>
      </c>
    </row>
    <row r="2821" spans="1:21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  <c r="S2821" t="str">
        <f>IF(Table1[[#This Row],[Age]]&lt;=25,"Young",IF(Table1[[#This Row],[Age]]&lt;=50,"Adult","Senior"))</f>
        <v>Senior</v>
      </c>
      <c r="T2821" s="1">
        <f>Table1[[#This Row],[Purchase Amount (USD)]]</f>
        <v>27</v>
      </c>
      <c r="U2821">
        <f>IF(Table1[[#This Row],[Subscription Status]]="Yes",1,IF(Table1[[#This Row],[Subscription Status]]="No",0))</f>
        <v>0</v>
      </c>
    </row>
    <row r="2822" spans="1:21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  <c r="S2822" t="str">
        <f>IF(Table1[[#This Row],[Age]]&lt;=25,"Young",IF(Table1[[#This Row],[Age]]&lt;=50,"Adult","Senior"))</f>
        <v>Adult</v>
      </c>
      <c r="T2822" s="1">
        <f>Table1[[#This Row],[Purchase Amount (USD)]]</f>
        <v>89</v>
      </c>
      <c r="U2822">
        <f>IF(Table1[[#This Row],[Subscription Status]]="Yes",1,IF(Table1[[#This Row],[Subscription Status]]="No",0))</f>
        <v>0</v>
      </c>
    </row>
    <row r="2823" spans="1:21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  <c r="S2823" t="str">
        <f>IF(Table1[[#This Row],[Age]]&lt;=25,"Young",IF(Table1[[#This Row],[Age]]&lt;=50,"Adult","Senior"))</f>
        <v>Adult</v>
      </c>
      <c r="T2823" s="1">
        <f>Table1[[#This Row],[Purchase Amount (USD)]]</f>
        <v>72</v>
      </c>
      <c r="U2823">
        <f>IF(Table1[[#This Row],[Subscription Status]]="Yes",1,IF(Table1[[#This Row],[Subscription Status]]="No",0))</f>
        <v>0</v>
      </c>
    </row>
    <row r="2824" spans="1:21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  <c r="S2824" t="str">
        <f>IF(Table1[[#This Row],[Age]]&lt;=25,"Young",IF(Table1[[#This Row],[Age]]&lt;=50,"Adult","Senior"))</f>
        <v>Senior</v>
      </c>
      <c r="T2824" s="1">
        <f>Table1[[#This Row],[Purchase Amount (USD)]]</f>
        <v>37</v>
      </c>
      <c r="U2824">
        <f>IF(Table1[[#This Row],[Subscription Status]]="Yes",1,IF(Table1[[#This Row],[Subscription Status]]="No",0))</f>
        <v>0</v>
      </c>
    </row>
    <row r="2825" spans="1:21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  <c r="S2825" t="str">
        <f>IF(Table1[[#This Row],[Age]]&lt;=25,"Young",IF(Table1[[#This Row],[Age]]&lt;=50,"Adult","Senior"))</f>
        <v>Adult</v>
      </c>
      <c r="T2825" s="1">
        <f>Table1[[#This Row],[Purchase Amount (USD)]]</f>
        <v>63</v>
      </c>
      <c r="U2825">
        <f>IF(Table1[[#This Row],[Subscription Status]]="Yes",1,IF(Table1[[#This Row],[Subscription Status]]="No",0))</f>
        <v>0</v>
      </c>
    </row>
    <row r="2826" spans="1:21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  <c r="S2826" t="str">
        <f>IF(Table1[[#This Row],[Age]]&lt;=25,"Young",IF(Table1[[#This Row],[Age]]&lt;=50,"Adult","Senior"))</f>
        <v>Adult</v>
      </c>
      <c r="T2826" s="1">
        <f>Table1[[#This Row],[Purchase Amount (USD)]]</f>
        <v>90</v>
      </c>
      <c r="U2826">
        <f>IF(Table1[[#This Row],[Subscription Status]]="Yes",1,IF(Table1[[#This Row],[Subscription Status]]="No",0))</f>
        <v>0</v>
      </c>
    </row>
    <row r="2827" spans="1:21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  <c r="S2827" t="str">
        <f>IF(Table1[[#This Row],[Age]]&lt;=25,"Young",IF(Table1[[#This Row],[Age]]&lt;=50,"Adult","Senior"))</f>
        <v>Senior</v>
      </c>
      <c r="T2827" s="1">
        <f>Table1[[#This Row],[Purchase Amount (USD)]]</f>
        <v>62</v>
      </c>
      <c r="U2827">
        <f>IF(Table1[[#This Row],[Subscription Status]]="Yes",1,IF(Table1[[#This Row],[Subscription Status]]="No",0))</f>
        <v>0</v>
      </c>
    </row>
    <row r="2828" spans="1:21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  <c r="S2828" t="str">
        <f>IF(Table1[[#This Row],[Age]]&lt;=25,"Young",IF(Table1[[#This Row],[Age]]&lt;=50,"Adult","Senior"))</f>
        <v>Adult</v>
      </c>
      <c r="T2828" s="1">
        <f>Table1[[#This Row],[Purchase Amount (USD)]]</f>
        <v>43</v>
      </c>
      <c r="U2828">
        <f>IF(Table1[[#This Row],[Subscription Status]]="Yes",1,IF(Table1[[#This Row],[Subscription Status]]="No",0))</f>
        <v>0</v>
      </c>
    </row>
    <row r="2829" spans="1:21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  <c r="S2829" t="str">
        <f>IF(Table1[[#This Row],[Age]]&lt;=25,"Young",IF(Table1[[#This Row],[Age]]&lt;=50,"Adult","Senior"))</f>
        <v>Young</v>
      </c>
      <c r="T2829" s="1">
        <f>Table1[[#This Row],[Purchase Amount (USD)]]</f>
        <v>96</v>
      </c>
      <c r="U2829">
        <f>IF(Table1[[#This Row],[Subscription Status]]="Yes",1,IF(Table1[[#This Row],[Subscription Status]]="No",0))</f>
        <v>0</v>
      </c>
    </row>
    <row r="2830" spans="1:21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  <c r="S2830" t="str">
        <f>IF(Table1[[#This Row],[Age]]&lt;=25,"Young",IF(Table1[[#This Row],[Age]]&lt;=50,"Adult","Senior"))</f>
        <v>Young</v>
      </c>
      <c r="T2830" s="1">
        <f>Table1[[#This Row],[Purchase Amount (USD)]]</f>
        <v>83</v>
      </c>
      <c r="U2830">
        <f>IF(Table1[[#This Row],[Subscription Status]]="Yes",1,IF(Table1[[#This Row],[Subscription Status]]="No",0))</f>
        <v>0</v>
      </c>
    </row>
    <row r="2831" spans="1:21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  <c r="S2831" t="str">
        <f>IF(Table1[[#This Row],[Age]]&lt;=25,"Young",IF(Table1[[#This Row],[Age]]&lt;=50,"Adult","Senior"))</f>
        <v>Senior</v>
      </c>
      <c r="T2831" s="1">
        <f>Table1[[#This Row],[Purchase Amount (USD)]]</f>
        <v>67</v>
      </c>
      <c r="U2831">
        <f>IF(Table1[[#This Row],[Subscription Status]]="Yes",1,IF(Table1[[#This Row],[Subscription Status]]="No",0))</f>
        <v>0</v>
      </c>
    </row>
    <row r="2832" spans="1:21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  <c r="S2832" t="str">
        <f>IF(Table1[[#This Row],[Age]]&lt;=25,"Young",IF(Table1[[#This Row],[Age]]&lt;=50,"Adult","Senior"))</f>
        <v>Senior</v>
      </c>
      <c r="T2832" s="1">
        <f>Table1[[#This Row],[Purchase Amount (USD)]]</f>
        <v>90</v>
      </c>
      <c r="U2832">
        <f>IF(Table1[[#This Row],[Subscription Status]]="Yes",1,IF(Table1[[#This Row],[Subscription Status]]="No",0))</f>
        <v>0</v>
      </c>
    </row>
    <row r="2833" spans="1:21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  <c r="S2833" t="str">
        <f>IF(Table1[[#This Row],[Age]]&lt;=25,"Young",IF(Table1[[#This Row],[Age]]&lt;=50,"Adult","Senior"))</f>
        <v>Adult</v>
      </c>
      <c r="T2833" s="1">
        <f>Table1[[#This Row],[Purchase Amount (USD)]]</f>
        <v>53</v>
      </c>
      <c r="U2833">
        <f>IF(Table1[[#This Row],[Subscription Status]]="Yes",1,IF(Table1[[#This Row],[Subscription Status]]="No",0))</f>
        <v>0</v>
      </c>
    </row>
    <row r="2834" spans="1:21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  <c r="S2834" t="str">
        <f>IF(Table1[[#This Row],[Age]]&lt;=25,"Young",IF(Table1[[#This Row],[Age]]&lt;=50,"Adult","Senior"))</f>
        <v>Adult</v>
      </c>
      <c r="T2834" s="1">
        <f>Table1[[#This Row],[Purchase Amount (USD)]]</f>
        <v>37</v>
      </c>
      <c r="U2834">
        <f>IF(Table1[[#This Row],[Subscription Status]]="Yes",1,IF(Table1[[#This Row],[Subscription Status]]="No",0))</f>
        <v>0</v>
      </c>
    </row>
    <row r="2835" spans="1:21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  <c r="S2835" t="str">
        <f>IF(Table1[[#This Row],[Age]]&lt;=25,"Young",IF(Table1[[#This Row],[Age]]&lt;=50,"Adult","Senior"))</f>
        <v>Adult</v>
      </c>
      <c r="T2835" s="1">
        <f>Table1[[#This Row],[Purchase Amount (USD)]]</f>
        <v>56</v>
      </c>
      <c r="U2835">
        <f>IF(Table1[[#This Row],[Subscription Status]]="Yes",1,IF(Table1[[#This Row],[Subscription Status]]="No",0))</f>
        <v>0</v>
      </c>
    </row>
    <row r="2836" spans="1:21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  <c r="S2836" t="str">
        <f>IF(Table1[[#This Row],[Age]]&lt;=25,"Young",IF(Table1[[#This Row],[Age]]&lt;=50,"Adult","Senior"))</f>
        <v>Adult</v>
      </c>
      <c r="T2836" s="1">
        <f>Table1[[#This Row],[Purchase Amount (USD)]]</f>
        <v>43</v>
      </c>
      <c r="U2836">
        <f>IF(Table1[[#This Row],[Subscription Status]]="Yes",1,IF(Table1[[#This Row],[Subscription Status]]="No",0))</f>
        <v>0</v>
      </c>
    </row>
    <row r="2837" spans="1:21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  <c r="S2837" t="str">
        <f>IF(Table1[[#This Row],[Age]]&lt;=25,"Young",IF(Table1[[#This Row],[Age]]&lt;=50,"Adult","Senior"))</f>
        <v>Adult</v>
      </c>
      <c r="T2837" s="1">
        <f>Table1[[#This Row],[Purchase Amount (USD)]]</f>
        <v>84</v>
      </c>
      <c r="U2837">
        <f>IF(Table1[[#This Row],[Subscription Status]]="Yes",1,IF(Table1[[#This Row],[Subscription Status]]="No",0))</f>
        <v>0</v>
      </c>
    </row>
    <row r="2838" spans="1:21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  <c r="S2838" t="str">
        <f>IF(Table1[[#This Row],[Age]]&lt;=25,"Young",IF(Table1[[#This Row],[Age]]&lt;=50,"Adult","Senior"))</f>
        <v>Senior</v>
      </c>
      <c r="T2838" s="1">
        <f>Table1[[#This Row],[Purchase Amount (USD)]]</f>
        <v>50</v>
      </c>
      <c r="U2838">
        <f>IF(Table1[[#This Row],[Subscription Status]]="Yes",1,IF(Table1[[#This Row],[Subscription Status]]="No",0))</f>
        <v>0</v>
      </c>
    </row>
    <row r="2839" spans="1:21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  <c r="S2839" t="str">
        <f>IF(Table1[[#This Row],[Age]]&lt;=25,"Young",IF(Table1[[#This Row],[Age]]&lt;=50,"Adult","Senior"))</f>
        <v>Senior</v>
      </c>
      <c r="T2839" s="1">
        <f>Table1[[#This Row],[Purchase Amount (USD)]]</f>
        <v>88</v>
      </c>
      <c r="U2839">
        <f>IF(Table1[[#This Row],[Subscription Status]]="Yes",1,IF(Table1[[#This Row],[Subscription Status]]="No",0))</f>
        <v>0</v>
      </c>
    </row>
    <row r="2840" spans="1:21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  <c r="S2840" t="str">
        <f>IF(Table1[[#This Row],[Age]]&lt;=25,"Young",IF(Table1[[#This Row],[Age]]&lt;=50,"Adult","Senior"))</f>
        <v>Senior</v>
      </c>
      <c r="T2840" s="1">
        <f>Table1[[#This Row],[Purchase Amount (USD)]]</f>
        <v>50</v>
      </c>
      <c r="U2840">
        <f>IF(Table1[[#This Row],[Subscription Status]]="Yes",1,IF(Table1[[#This Row],[Subscription Status]]="No",0))</f>
        <v>0</v>
      </c>
    </row>
    <row r="2841" spans="1:21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  <c r="S2841" t="str">
        <f>IF(Table1[[#This Row],[Age]]&lt;=25,"Young",IF(Table1[[#This Row],[Age]]&lt;=50,"Adult","Senior"))</f>
        <v>Senior</v>
      </c>
      <c r="T2841" s="1">
        <f>Table1[[#This Row],[Purchase Amount (USD)]]</f>
        <v>80</v>
      </c>
      <c r="U2841">
        <f>IF(Table1[[#This Row],[Subscription Status]]="Yes",1,IF(Table1[[#This Row],[Subscription Status]]="No",0))</f>
        <v>0</v>
      </c>
    </row>
    <row r="2842" spans="1:21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  <c r="S2842" t="str">
        <f>IF(Table1[[#This Row],[Age]]&lt;=25,"Young",IF(Table1[[#This Row],[Age]]&lt;=50,"Adult","Senior"))</f>
        <v>Adult</v>
      </c>
      <c r="T2842" s="1">
        <f>Table1[[#This Row],[Purchase Amount (USD)]]</f>
        <v>47</v>
      </c>
      <c r="U2842">
        <f>IF(Table1[[#This Row],[Subscription Status]]="Yes",1,IF(Table1[[#This Row],[Subscription Status]]="No",0))</f>
        <v>0</v>
      </c>
    </row>
    <row r="2843" spans="1:21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  <c r="S2843" t="str">
        <f>IF(Table1[[#This Row],[Age]]&lt;=25,"Young",IF(Table1[[#This Row],[Age]]&lt;=50,"Adult","Senior"))</f>
        <v>Young</v>
      </c>
      <c r="T2843" s="1">
        <f>Table1[[#This Row],[Purchase Amount (USD)]]</f>
        <v>33</v>
      </c>
      <c r="U2843">
        <f>IF(Table1[[#This Row],[Subscription Status]]="Yes",1,IF(Table1[[#This Row],[Subscription Status]]="No",0))</f>
        <v>0</v>
      </c>
    </row>
    <row r="2844" spans="1:21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  <c r="S2844" t="str">
        <f>IF(Table1[[#This Row],[Age]]&lt;=25,"Young",IF(Table1[[#This Row],[Age]]&lt;=50,"Adult","Senior"))</f>
        <v>Adult</v>
      </c>
      <c r="T2844" s="1">
        <f>Table1[[#This Row],[Purchase Amount (USD)]]</f>
        <v>100</v>
      </c>
      <c r="U2844">
        <f>IF(Table1[[#This Row],[Subscription Status]]="Yes",1,IF(Table1[[#This Row],[Subscription Status]]="No",0))</f>
        <v>0</v>
      </c>
    </row>
    <row r="2845" spans="1:21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  <c r="S2845" t="str">
        <f>IF(Table1[[#This Row],[Age]]&lt;=25,"Young",IF(Table1[[#This Row],[Age]]&lt;=50,"Adult","Senior"))</f>
        <v>Senior</v>
      </c>
      <c r="T2845" s="1">
        <f>Table1[[#This Row],[Purchase Amount (USD)]]</f>
        <v>26</v>
      </c>
      <c r="U2845">
        <f>IF(Table1[[#This Row],[Subscription Status]]="Yes",1,IF(Table1[[#This Row],[Subscription Status]]="No",0))</f>
        <v>0</v>
      </c>
    </row>
    <row r="2846" spans="1:21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  <c r="S2846" t="str">
        <f>IF(Table1[[#This Row],[Age]]&lt;=25,"Young",IF(Table1[[#This Row],[Age]]&lt;=50,"Adult","Senior"))</f>
        <v>Adult</v>
      </c>
      <c r="T2846" s="1">
        <f>Table1[[#This Row],[Purchase Amount (USD)]]</f>
        <v>79</v>
      </c>
      <c r="U2846">
        <f>IF(Table1[[#This Row],[Subscription Status]]="Yes",1,IF(Table1[[#This Row],[Subscription Status]]="No",0))</f>
        <v>0</v>
      </c>
    </row>
    <row r="2847" spans="1:21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  <c r="S2847" t="str">
        <f>IF(Table1[[#This Row],[Age]]&lt;=25,"Young",IF(Table1[[#This Row],[Age]]&lt;=50,"Adult","Senior"))</f>
        <v>Adult</v>
      </c>
      <c r="T2847" s="1">
        <f>Table1[[#This Row],[Purchase Amount (USD)]]</f>
        <v>77</v>
      </c>
      <c r="U2847">
        <f>IF(Table1[[#This Row],[Subscription Status]]="Yes",1,IF(Table1[[#This Row],[Subscription Status]]="No",0))</f>
        <v>0</v>
      </c>
    </row>
    <row r="2848" spans="1:21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  <c r="S2848" t="str">
        <f>IF(Table1[[#This Row],[Age]]&lt;=25,"Young",IF(Table1[[#This Row],[Age]]&lt;=50,"Adult","Senior"))</f>
        <v>Adult</v>
      </c>
      <c r="T2848" s="1">
        <f>Table1[[#This Row],[Purchase Amount (USD)]]</f>
        <v>36</v>
      </c>
      <c r="U2848">
        <f>IF(Table1[[#This Row],[Subscription Status]]="Yes",1,IF(Table1[[#This Row],[Subscription Status]]="No",0))</f>
        <v>0</v>
      </c>
    </row>
    <row r="2849" spans="1:21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  <c r="S2849" t="str">
        <f>IF(Table1[[#This Row],[Age]]&lt;=25,"Young",IF(Table1[[#This Row],[Age]]&lt;=50,"Adult","Senior"))</f>
        <v>Senior</v>
      </c>
      <c r="T2849" s="1">
        <f>Table1[[#This Row],[Purchase Amount (USD)]]</f>
        <v>21</v>
      </c>
      <c r="U2849">
        <f>IF(Table1[[#This Row],[Subscription Status]]="Yes",1,IF(Table1[[#This Row],[Subscription Status]]="No",0))</f>
        <v>0</v>
      </c>
    </row>
    <row r="2850" spans="1:21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  <c r="S2850" t="str">
        <f>IF(Table1[[#This Row],[Age]]&lt;=25,"Young",IF(Table1[[#This Row],[Age]]&lt;=50,"Adult","Senior"))</f>
        <v>Adult</v>
      </c>
      <c r="T2850" s="1">
        <f>Table1[[#This Row],[Purchase Amount (USD)]]</f>
        <v>72</v>
      </c>
      <c r="U2850">
        <f>IF(Table1[[#This Row],[Subscription Status]]="Yes",1,IF(Table1[[#This Row],[Subscription Status]]="No",0))</f>
        <v>0</v>
      </c>
    </row>
    <row r="2851" spans="1:21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  <c r="S2851" t="str">
        <f>IF(Table1[[#This Row],[Age]]&lt;=25,"Young",IF(Table1[[#This Row],[Age]]&lt;=50,"Adult","Senior"))</f>
        <v>Senior</v>
      </c>
      <c r="T2851" s="1">
        <f>Table1[[#This Row],[Purchase Amount (USD)]]</f>
        <v>25</v>
      </c>
      <c r="U2851">
        <f>IF(Table1[[#This Row],[Subscription Status]]="Yes",1,IF(Table1[[#This Row],[Subscription Status]]="No",0))</f>
        <v>0</v>
      </c>
    </row>
    <row r="2852" spans="1:21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  <c r="S2852" t="str">
        <f>IF(Table1[[#This Row],[Age]]&lt;=25,"Young",IF(Table1[[#This Row],[Age]]&lt;=50,"Adult","Senior"))</f>
        <v>Senior</v>
      </c>
      <c r="T2852" s="1">
        <f>Table1[[#This Row],[Purchase Amount (USD)]]</f>
        <v>79</v>
      </c>
      <c r="U2852">
        <f>IF(Table1[[#This Row],[Subscription Status]]="Yes",1,IF(Table1[[#This Row],[Subscription Status]]="No",0))</f>
        <v>0</v>
      </c>
    </row>
    <row r="2853" spans="1:21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  <c r="S2853" t="str">
        <f>IF(Table1[[#This Row],[Age]]&lt;=25,"Young",IF(Table1[[#This Row],[Age]]&lt;=50,"Adult","Senior"))</f>
        <v>Senior</v>
      </c>
      <c r="T2853" s="1">
        <f>Table1[[#This Row],[Purchase Amount (USD)]]</f>
        <v>73</v>
      </c>
      <c r="U2853">
        <f>IF(Table1[[#This Row],[Subscription Status]]="Yes",1,IF(Table1[[#This Row],[Subscription Status]]="No",0))</f>
        <v>0</v>
      </c>
    </row>
    <row r="2854" spans="1:21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  <c r="S2854" t="str">
        <f>IF(Table1[[#This Row],[Age]]&lt;=25,"Young",IF(Table1[[#This Row],[Age]]&lt;=50,"Adult","Senior"))</f>
        <v>Adult</v>
      </c>
      <c r="T2854" s="1">
        <f>Table1[[#This Row],[Purchase Amount (USD)]]</f>
        <v>71</v>
      </c>
      <c r="U2854">
        <f>IF(Table1[[#This Row],[Subscription Status]]="Yes",1,IF(Table1[[#This Row],[Subscription Status]]="No",0))</f>
        <v>0</v>
      </c>
    </row>
    <row r="2855" spans="1:21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  <c r="S2855" t="str">
        <f>IF(Table1[[#This Row],[Age]]&lt;=25,"Young",IF(Table1[[#This Row],[Age]]&lt;=50,"Adult","Senior"))</f>
        <v>Adult</v>
      </c>
      <c r="T2855" s="1">
        <f>Table1[[#This Row],[Purchase Amount (USD)]]</f>
        <v>48</v>
      </c>
      <c r="U2855">
        <f>IF(Table1[[#This Row],[Subscription Status]]="Yes",1,IF(Table1[[#This Row],[Subscription Status]]="No",0))</f>
        <v>0</v>
      </c>
    </row>
    <row r="2856" spans="1:21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  <c r="S2856" t="str">
        <f>IF(Table1[[#This Row],[Age]]&lt;=25,"Young",IF(Table1[[#This Row],[Age]]&lt;=50,"Adult","Senior"))</f>
        <v>Adult</v>
      </c>
      <c r="T2856" s="1">
        <f>Table1[[#This Row],[Purchase Amount (USD)]]</f>
        <v>28</v>
      </c>
      <c r="U2856">
        <f>IF(Table1[[#This Row],[Subscription Status]]="Yes",1,IF(Table1[[#This Row],[Subscription Status]]="No",0))</f>
        <v>0</v>
      </c>
    </row>
    <row r="2857" spans="1:21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  <c r="S2857" t="str">
        <f>IF(Table1[[#This Row],[Age]]&lt;=25,"Young",IF(Table1[[#This Row],[Age]]&lt;=50,"Adult","Senior"))</f>
        <v>Adult</v>
      </c>
      <c r="T2857" s="1">
        <f>Table1[[#This Row],[Purchase Amount (USD)]]</f>
        <v>95</v>
      </c>
      <c r="U2857">
        <f>IF(Table1[[#This Row],[Subscription Status]]="Yes",1,IF(Table1[[#This Row],[Subscription Status]]="No",0))</f>
        <v>0</v>
      </c>
    </row>
    <row r="2858" spans="1:21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  <c r="S2858" t="str">
        <f>IF(Table1[[#This Row],[Age]]&lt;=25,"Young",IF(Table1[[#This Row],[Age]]&lt;=50,"Adult","Senior"))</f>
        <v>Senior</v>
      </c>
      <c r="T2858" s="1">
        <f>Table1[[#This Row],[Purchase Amount (USD)]]</f>
        <v>48</v>
      </c>
      <c r="U2858">
        <f>IF(Table1[[#This Row],[Subscription Status]]="Yes",1,IF(Table1[[#This Row],[Subscription Status]]="No",0))</f>
        <v>0</v>
      </c>
    </row>
    <row r="2859" spans="1:21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  <c r="S2859" t="str">
        <f>IF(Table1[[#This Row],[Age]]&lt;=25,"Young",IF(Table1[[#This Row],[Age]]&lt;=50,"Adult","Senior"))</f>
        <v>Adult</v>
      </c>
      <c r="T2859" s="1">
        <f>Table1[[#This Row],[Purchase Amount (USD)]]</f>
        <v>93</v>
      </c>
      <c r="U2859">
        <f>IF(Table1[[#This Row],[Subscription Status]]="Yes",1,IF(Table1[[#This Row],[Subscription Status]]="No",0))</f>
        <v>0</v>
      </c>
    </row>
    <row r="2860" spans="1:21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  <c r="S2860" t="str">
        <f>IF(Table1[[#This Row],[Age]]&lt;=25,"Young",IF(Table1[[#This Row],[Age]]&lt;=50,"Adult","Senior"))</f>
        <v>Adult</v>
      </c>
      <c r="T2860" s="1">
        <f>Table1[[#This Row],[Purchase Amount (USD)]]</f>
        <v>87</v>
      </c>
      <c r="U2860">
        <f>IF(Table1[[#This Row],[Subscription Status]]="Yes",1,IF(Table1[[#This Row],[Subscription Status]]="No",0))</f>
        <v>0</v>
      </c>
    </row>
    <row r="2861" spans="1:21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  <c r="S2861" t="str">
        <f>IF(Table1[[#This Row],[Age]]&lt;=25,"Young",IF(Table1[[#This Row],[Age]]&lt;=50,"Adult","Senior"))</f>
        <v>Adult</v>
      </c>
      <c r="T2861" s="1">
        <f>Table1[[#This Row],[Purchase Amount (USD)]]</f>
        <v>32</v>
      </c>
      <c r="U2861">
        <f>IF(Table1[[#This Row],[Subscription Status]]="Yes",1,IF(Table1[[#This Row],[Subscription Status]]="No",0))</f>
        <v>0</v>
      </c>
    </row>
    <row r="2862" spans="1:21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  <c r="S2862" t="str">
        <f>IF(Table1[[#This Row],[Age]]&lt;=25,"Young",IF(Table1[[#This Row],[Age]]&lt;=50,"Adult","Senior"))</f>
        <v>Adult</v>
      </c>
      <c r="T2862" s="1">
        <f>Table1[[#This Row],[Purchase Amount (USD)]]</f>
        <v>38</v>
      </c>
      <c r="U2862">
        <f>IF(Table1[[#This Row],[Subscription Status]]="Yes",1,IF(Table1[[#This Row],[Subscription Status]]="No",0))</f>
        <v>0</v>
      </c>
    </row>
    <row r="2863" spans="1:21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  <c r="S2863" t="str">
        <f>IF(Table1[[#This Row],[Age]]&lt;=25,"Young",IF(Table1[[#This Row],[Age]]&lt;=50,"Adult","Senior"))</f>
        <v>Senior</v>
      </c>
      <c r="T2863" s="1">
        <f>Table1[[#This Row],[Purchase Amount (USD)]]</f>
        <v>54</v>
      </c>
      <c r="U2863">
        <f>IF(Table1[[#This Row],[Subscription Status]]="Yes",1,IF(Table1[[#This Row],[Subscription Status]]="No",0))</f>
        <v>0</v>
      </c>
    </row>
    <row r="2864" spans="1:21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  <c r="S2864" t="str">
        <f>IF(Table1[[#This Row],[Age]]&lt;=25,"Young",IF(Table1[[#This Row],[Age]]&lt;=50,"Adult","Senior"))</f>
        <v>Senior</v>
      </c>
      <c r="T2864" s="1">
        <f>Table1[[#This Row],[Purchase Amount (USD)]]</f>
        <v>75</v>
      </c>
      <c r="U2864">
        <f>IF(Table1[[#This Row],[Subscription Status]]="Yes",1,IF(Table1[[#This Row],[Subscription Status]]="No",0))</f>
        <v>0</v>
      </c>
    </row>
    <row r="2865" spans="1:21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  <c r="S2865" t="str">
        <f>IF(Table1[[#This Row],[Age]]&lt;=25,"Young",IF(Table1[[#This Row],[Age]]&lt;=50,"Adult","Senior"))</f>
        <v>Adult</v>
      </c>
      <c r="T2865" s="1">
        <f>Table1[[#This Row],[Purchase Amount (USD)]]</f>
        <v>56</v>
      </c>
      <c r="U2865">
        <f>IF(Table1[[#This Row],[Subscription Status]]="Yes",1,IF(Table1[[#This Row],[Subscription Status]]="No",0))</f>
        <v>0</v>
      </c>
    </row>
    <row r="2866" spans="1:21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  <c r="S2866" t="str">
        <f>IF(Table1[[#This Row],[Age]]&lt;=25,"Young",IF(Table1[[#This Row],[Age]]&lt;=50,"Adult","Senior"))</f>
        <v>Senior</v>
      </c>
      <c r="T2866" s="1">
        <f>Table1[[#This Row],[Purchase Amount (USD)]]</f>
        <v>43</v>
      </c>
      <c r="U2866">
        <f>IF(Table1[[#This Row],[Subscription Status]]="Yes",1,IF(Table1[[#This Row],[Subscription Status]]="No",0))</f>
        <v>0</v>
      </c>
    </row>
    <row r="2867" spans="1:21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  <c r="S2867" t="str">
        <f>IF(Table1[[#This Row],[Age]]&lt;=25,"Young",IF(Table1[[#This Row],[Age]]&lt;=50,"Adult","Senior"))</f>
        <v>Adult</v>
      </c>
      <c r="T2867" s="1">
        <f>Table1[[#This Row],[Purchase Amount (USD)]]</f>
        <v>97</v>
      </c>
      <c r="U2867">
        <f>IF(Table1[[#This Row],[Subscription Status]]="Yes",1,IF(Table1[[#This Row],[Subscription Status]]="No",0))</f>
        <v>0</v>
      </c>
    </row>
    <row r="2868" spans="1:21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  <c r="S2868" t="str">
        <f>IF(Table1[[#This Row],[Age]]&lt;=25,"Young",IF(Table1[[#This Row],[Age]]&lt;=50,"Adult","Senior"))</f>
        <v>Senior</v>
      </c>
      <c r="T2868" s="1">
        <f>Table1[[#This Row],[Purchase Amount (USD)]]</f>
        <v>75</v>
      </c>
      <c r="U2868">
        <f>IF(Table1[[#This Row],[Subscription Status]]="Yes",1,IF(Table1[[#This Row],[Subscription Status]]="No",0))</f>
        <v>0</v>
      </c>
    </row>
    <row r="2869" spans="1:21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  <c r="S2869" t="str">
        <f>IF(Table1[[#This Row],[Age]]&lt;=25,"Young",IF(Table1[[#This Row],[Age]]&lt;=50,"Adult","Senior"))</f>
        <v>Young</v>
      </c>
      <c r="T2869" s="1">
        <f>Table1[[#This Row],[Purchase Amount (USD)]]</f>
        <v>55</v>
      </c>
      <c r="U2869">
        <f>IF(Table1[[#This Row],[Subscription Status]]="Yes",1,IF(Table1[[#This Row],[Subscription Status]]="No",0))</f>
        <v>0</v>
      </c>
    </row>
    <row r="2870" spans="1:21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  <c r="S2870" t="str">
        <f>IF(Table1[[#This Row],[Age]]&lt;=25,"Young",IF(Table1[[#This Row],[Age]]&lt;=50,"Adult","Senior"))</f>
        <v>Adult</v>
      </c>
      <c r="T2870" s="1">
        <f>Table1[[#This Row],[Purchase Amount (USD)]]</f>
        <v>49</v>
      </c>
      <c r="U2870">
        <f>IF(Table1[[#This Row],[Subscription Status]]="Yes",1,IF(Table1[[#This Row],[Subscription Status]]="No",0))</f>
        <v>0</v>
      </c>
    </row>
    <row r="2871" spans="1:21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  <c r="S2871" t="str">
        <f>IF(Table1[[#This Row],[Age]]&lt;=25,"Young",IF(Table1[[#This Row],[Age]]&lt;=50,"Adult","Senior"))</f>
        <v>Senior</v>
      </c>
      <c r="T2871" s="1">
        <f>Table1[[#This Row],[Purchase Amount (USD)]]</f>
        <v>58</v>
      </c>
      <c r="U2871">
        <f>IF(Table1[[#This Row],[Subscription Status]]="Yes",1,IF(Table1[[#This Row],[Subscription Status]]="No",0))</f>
        <v>0</v>
      </c>
    </row>
    <row r="2872" spans="1:21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  <c r="S2872" t="str">
        <f>IF(Table1[[#This Row],[Age]]&lt;=25,"Young",IF(Table1[[#This Row],[Age]]&lt;=50,"Adult","Senior"))</f>
        <v>Adult</v>
      </c>
      <c r="T2872" s="1">
        <f>Table1[[#This Row],[Purchase Amount (USD)]]</f>
        <v>34</v>
      </c>
      <c r="U2872">
        <f>IF(Table1[[#This Row],[Subscription Status]]="Yes",1,IF(Table1[[#This Row],[Subscription Status]]="No",0))</f>
        <v>0</v>
      </c>
    </row>
    <row r="2873" spans="1:21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  <c r="S2873" t="str">
        <f>IF(Table1[[#This Row],[Age]]&lt;=25,"Young",IF(Table1[[#This Row],[Age]]&lt;=50,"Adult","Senior"))</f>
        <v>Adult</v>
      </c>
      <c r="T2873" s="1">
        <f>Table1[[#This Row],[Purchase Amount (USD)]]</f>
        <v>43</v>
      </c>
      <c r="U2873">
        <f>IF(Table1[[#This Row],[Subscription Status]]="Yes",1,IF(Table1[[#This Row],[Subscription Status]]="No",0))</f>
        <v>0</v>
      </c>
    </row>
    <row r="2874" spans="1:21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  <c r="S2874" t="str">
        <f>IF(Table1[[#This Row],[Age]]&lt;=25,"Young",IF(Table1[[#This Row],[Age]]&lt;=50,"Adult","Senior"))</f>
        <v>Senior</v>
      </c>
      <c r="T2874" s="1">
        <f>Table1[[#This Row],[Purchase Amount (USD)]]</f>
        <v>48</v>
      </c>
      <c r="U2874">
        <f>IF(Table1[[#This Row],[Subscription Status]]="Yes",1,IF(Table1[[#This Row],[Subscription Status]]="No",0))</f>
        <v>0</v>
      </c>
    </row>
    <row r="2875" spans="1:21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  <c r="S2875" t="str">
        <f>IF(Table1[[#This Row],[Age]]&lt;=25,"Young",IF(Table1[[#This Row],[Age]]&lt;=50,"Adult","Senior"))</f>
        <v>Adult</v>
      </c>
      <c r="T2875" s="1">
        <f>Table1[[#This Row],[Purchase Amount (USD)]]</f>
        <v>40</v>
      </c>
      <c r="U2875">
        <f>IF(Table1[[#This Row],[Subscription Status]]="Yes",1,IF(Table1[[#This Row],[Subscription Status]]="No",0))</f>
        <v>0</v>
      </c>
    </row>
    <row r="2876" spans="1:21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  <c r="S2876" t="str">
        <f>IF(Table1[[#This Row],[Age]]&lt;=25,"Young",IF(Table1[[#This Row],[Age]]&lt;=50,"Adult","Senior"))</f>
        <v>Adult</v>
      </c>
      <c r="T2876" s="1">
        <f>Table1[[#This Row],[Purchase Amount (USD)]]</f>
        <v>29</v>
      </c>
      <c r="U2876">
        <f>IF(Table1[[#This Row],[Subscription Status]]="Yes",1,IF(Table1[[#This Row],[Subscription Status]]="No",0))</f>
        <v>0</v>
      </c>
    </row>
    <row r="2877" spans="1:21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  <c r="S2877" t="str">
        <f>IF(Table1[[#This Row],[Age]]&lt;=25,"Young",IF(Table1[[#This Row],[Age]]&lt;=50,"Adult","Senior"))</f>
        <v>Young</v>
      </c>
      <c r="T2877" s="1">
        <f>Table1[[#This Row],[Purchase Amount (USD)]]</f>
        <v>81</v>
      </c>
      <c r="U2877">
        <f>IF(Table1[[#This Row],[Subscription Status]]="Yes",1,IF(Table1[[#This Row],[Subscription Status]]="No",0))</f>
        <v>0</v>
      </c>
    </row>
    <row r="2878" spans="1:21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  <c r="S2878" t="str">
        <f>IF(Table1[[#This Row],[Age]]&lt;=25,"Young",IF(Table1[[#This Row],[Age]]&lt;=50,"Adult","Senior"))</f>
        <v>Senior</v>
      </c>
      <c r="T2878" s="1">
        <f>Table1[[#This Row],[Purchase Amount (USD)]]</f>
        <v>84</v>
      </c>
      <c r="U2878">
        <f>IF(Table1[[#This Row],[Subscription Status]]="Yes",1,IF(Table1[[#This Row],[Subscription Status]]="No",0))</f>
        <v>0</v>
      </c>
    </row>
    <row r="2879" spans="1:21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  <c r="S2879" t="str">
        <f>IF(Table1[[#This Row],[Age]]&lt;=25,"Young",IF(Table1[[#This Row],[Age]]&lt;=50,"Adult","Senior"))</f>
        <v>Adult</v>
      </c>
      <c r="T2879" s="1">
        <f>Table1[[#This Row],[Purchase Amount (USD)]]</f>
        <v>46</v>
      </c>
      <c r="U2879">
        <f>IF(Table1[[#This Row],[Subscription Status]]="Yes",1,IF(Table1[[#This Row],[Subscription Status]]="No",0))</f>
        <v>0</v>
      </c>
    </row>
    <row r="2880" spans="1:21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  <c r="S2880" t="str">
        <f>IF(Table1[[#This Row],[Age]]&lt;=25,"Young",IF(Table1[[#This Row],[Age]]&lt;=50,"Adult","Senior"))</f>
        <v>Senior</v>
      </c>
      <c r="T2880" s="1">
        <f>Table1[[#This Row],[Purchase Amount (USD)]]</f>
        <v>86</v>
      </c>
      <c r="U2880">
        <f>IF(Table1[[#This Row],[Subscription Status]]="Yes",1,IF(Table1[[#This Row],[Subscription Status]]="No",0))</f>
        <v>0</v>
      </c>
    </row>
    <row r="2881" spans="1:21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  <c r="S2881" t="str">
        <f>IF(Table1[[#This Row],[Age]]&lt;=25,"Young",IF(Table1[[#This Row],[Age]]&lt;=50,"Adult","Senior"))</f>
        <v>Senior</v>
      </c>
      <c r="T2881" s="1">
        <f>Table1[[#This Row],[Purchase Amount (USD)]]</f>
        <v>57</v>
      </c>
      <c r="U2881">
        <f>IF(Table1[[#This Row],[Subscription Status]]="Yes",1,IF(Table1[[#This Row],[Subscription Status]]="No",0))</f>
        <v>0</v>
      </c>
    </row>
    <row r="2882" spans="1:21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  <c r="S2882" t="str">
        <f>IF(Table1[[#This Row],[Age]]&lt;=25,"Young",IF(Table1[[#This Row],[Age]]&lt;=50,"Adult","Senior"))</f>
        <v>Young</v>
      </c>
      <c r="T2882" s="1">
        <f>Table1[[#This Row],[Purchase Amount (USD)]]</f>
        <v>61</v>
      </c>
      <c r="U2882">
        <f>IF(Table1[[#This Row],[Subscription Status]]="Yes",1,IF(Table1[[#This Row],[Subscription Status]]="No",0))</f>
        <v>0</v>
      </c>
    </row>
    <row r="2883" spans="1:21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  <c r="S2883" t="str">
        <f>IF(Table1[[#This Row],[Age]]&lt;=25,"Young",IF(Table1[[#This Row],[Age]]&lt;=50,"Adult","Senior"))</f>
        <v>Adult</v>
      </c>
      <c r="T2883" s="1">
        <f>Table1[[#This Row],[Purchase Amount (USD)]]</f>
        <v>90</v>
      </c>
      <c r="U2883">
        <f>IF(Table1[[#This Row],[Subscription Status]]="Yes",1,IF(Table1[[#This Row],[Subscription Status]]="No",0))</f>
        <v>0</v>
      </c>
    </row>
    <row r="2884" spans="1:21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  <c r="S2884" t="str">
        <f>IF(Table1[[#This Row],[Age]]&lt;=25,"Young",IF(Table1[[#This Row],[Age]]&lt;=50,"Adult","Senior"))</f>
        <v>Senior</v>
      </c>
      <c r="T2884" s="1">
        <f>Table1[[#This Row],[Purchase Amount (USD)]]</f>
        <v>51</v>
      </c>
      <c r="U2884">
        <f>IF(Table1[[#This Row],[Subscription Status]]="Yes",1,IF(Table1[[#This Row],[Subscription Status]]="No",0))</f>
        <v>0</v>
      </c>
    </row>
    <row r="2885" spans="1:21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  <c r="S2885" t="str">
        <f>IF(Table1[[#This Row],[Age]]&lt;=25,"Young",IF(Table1[[#This Row],[Age]]&lt;=50,"Adult","Senior"))</f>
        <v>Young</v>
      </c>
      <c r="T2885" s="1">
        <f>Table1[[#This Row],[Purchase Amount (USD)]]</f>
        <v>48</v>
      </c>
      <c r="U2885">
        <f>IF(Table1[[#This Row],[Subscription Status]]="Yes",1,IF(Table1[[#This Row],[Subscription Status]]="No",0))</f>
        <v>0</v>
      </c>
    </row>
    <row r="2886" spans="1:21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  <c r="S2886" t="str">
        <f>IF(Table1[[#This Row],[Age]]&lt;=25,"Young",IF(Table1[[#This Row],[Age]]&lt;=50,"Adult","Senior"))</f>
        <v>Senior</v>
      </c>
      <c r="T2886" s="1">
        <f>Table1[[#This Row],[Purchase Amount (USD)]]</f>
        <v>50</v>
      </c>
      <c r="U2886">
        <f>IF(Table1[[#This Row],[Subscription Status]]="Yes",1,IF(Table1[[#This Row],[Subscription Status]]="No",0))</f>
        <v>0</v>
      </c>
    </row>
    <row r="2887" spans="1:21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  <c r="S2887" t="str">
        <f>IF(Table1[[#This Row],[Age]]&lt;=25,"Young",IF(Table1[[#This Row],[Age]]&lt;=50,"Adult","Senior"))</f>
        <v>Adult</v>
      </c>
      <c r="T2887" s="1">
        <f>Table1[[#This Row],[Purchase Amount (USD)]]</f>
        <v>82</v>
      </c>
      <c r="U2887">
        <f>IF(Table1[[#This Row],[Subscription Status]]="Yes",1,IF(Table1[[#This Row],[Subscription Status]]="No",0))</f>
        <v>0</v>
      </c>
    </row>
    <row r="2888" spans="1:21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  <c r="S2888" t="str">
        <f>IF(Table1[[#This Row],[Age]]&lt;=25,"Young",IF(Table1[[#This Row],[Age]]&lt;=50,"Adult","Senior"))</f>
        <v>Adult</v>
      </c>
      <c r="T2888" s="1">
        <f>Table1[[#This Row],[Purchase Amount (USD)]]</f>
        <v>33</v>
      </c>
      <c r="U2888">
        <f>IF(Table1[[#This Row],[Subscription Status]]="Yes",1,IF(Table1[[#This Row],[Subscription Status]]="No",0))</f>
        <v>0</v>
      </c>
    </row>
    <row r="2889" spans="1:21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  <c r="S2889" t="str">
        <f>IF(Table1[[#This Row],[Age]]&lt;=25,"Young",IF(Table1[[#This Row],[Age]]&lt;=50,"Adult","Senior"))</f>
        <v>Young</v>
      </c>
      <c r="T2889" s="1">
        <f>Table1[[#This Row],[Purchase Amount (USD)]]</f>
        <v>28</v>
      </c>
      <c r="U2889">
        <f>IF(Table1[[#This Row],[Subscription Status]]="Yes",1,IF(Table1[[#This Row],[Subscription Status]]="No",0))</f>
        <v>0</v>
      </c>
    </row>
    <row r="2890" spans="1:21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  <c r="S2890" t="str">
        <f>IF(Table1[[#This Row],[Age]]&lt;=25,"Young",IF(Table1[[#This Row],[Age]]&lt;=50,"Adult","Senior"))</f>
        <v>Senior</v>
      </c>
      <c r="T2890" s="1">
        <f>Table1[[#This Row],[Purchase Amount (USD)]]</f>
        <v>42</v>
      </c>
      <c r="U2890">
        <f>IF(Table1[[#This Row],[Subscription Status]]="Yes",1,IF(Table1[[#This Row],[Subscription Status]]="No",0))</f>
        <v>0</v>
      </c>
    </row>
    <row r="2891" spans="1:21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  <c r="S2891" t="str">
        <f>IF(Table1[[#This Row],[Age]]&lt;=25,"Young",IF(Table1[[#This Row],[Age]]&lt;=50,"Adult","Senior"))</f>
        <v>Senior</v>
      </c>
      <c r="T2891" s="1">
        <f>Table1[[#This Row],[Purchase Amount (USD)]]</f>
        <v>43</v>
      </c>
      <c r="U2891">
        <f>IF(Table1[[#This Row],[Subscription Status]]="Yes",1,IF(Table1[[#This Row],[Subscription Status]]="No",0))</f>
        <v>0</v>
      </c>
    </row>
    <row r="2892" spans="1:21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  <c r="S2892" t="str">
        <f>IF(Table1[[#This Row],[Age]]&lt;=25,"Young",IF(Table1[[#This Row],[Age]]&lt;=50,"Adult","Senior"))</f>
        <v>Adult</v>
      </c>
      <c r="T2892" s="1">
        <f>Table1[[#This Row],[Purchase Amount (USD)]]</f>
        <v>55</v>
      </c>
      <c r="U2892">
        <f>IF(Table1[[#This Row],[Subscription Status]]="Yes",1,IF(Table1[[#This Row],[Subscription Status]]="No",0))</f>
        <v>0</v>
      </c>
    </row>
    <row r="2893" spans="1:21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  <c r="S2893" t="str">
        <f>IF(Table1[[#This Row],[Age]]&lt;=25,"Young",IF(Table1[[#This Row],[Age]]&lt;=50,"Adult","Senior"))</f>
        <v>Adult</v>
      </c>
      <c r="T2893" s="1">
        <f>Table1[[#This Row],[Purchase Amount (USD)]]</f>
        <v>73</v>
      </c>
      <c r="U2893">
        <f>IF(Table1[[#This Row],[Subscription Status]]="Yes",1,IF(Table1[[#This Row],[Subscription Status]]="No",0))</f>
        <v>0</v>
      </c>
    </row>
    <row r="2894" spans="1:21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  <c r="S2894" t="str">
        <f>IF(Table1[[#This Row],[Age]]&lt;=25,"Young",IF(Table1[[#This Row],[Age]]&lt;=50,"Adult","Senior"))</f>
        <v>Young</v>
      </c>
      <c r="T2894" s="1">
        <f>Table1[[#This Row],[Purchase Amount (USD)]]</f>
        <v>39</v>
      </c>
      <c r="U2894">
        <f>IF(Table1[[#This Row],[Subscription Status]]="Yes",1,IF(Table1[[#This Row],[Subscription Status]]="No",0))</f>
        <v>0</v>
      </c>
    </row>
    <row r="2895" spans="1:21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  <c r="S2895" t="str">
        <f>IF(Table1[[#This Row],[Age]]&lt;=25,"Young",IF(Table1[[#This Row],[Age]]&lt;=50,"Adult","Senior"))</f>
        <v>Senior</v>
      </c>
      <c r="T2895" s="1">
        <f>Table1[[#This Row],[Purchase Amount (USD)]]</f>
        <v>20</v>
      </c>
      <c r="U2895">
        <f>IF(Table1[[#This Row],[Subscription Status]]="Yes",1,IF(Table1[[#This Row],[Subscription Status]]="No",0))</f>
        <v>0</v>
      </c>
    </row>
    <row r="2896" spans="1:21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  <c r="S2896" t="str">
        <f>IF(Table1[[#This Row],[Age]]&lt;=25,"Young",IF(Table1[[#This Row],[Age]]&lt;=50,"Adult","Senior"))</f>
        <v>Adult</v>
      </c>
      <c r="T2896" s="1">
        <f>Table1[[#This Row],[Purchase Amount (USD)]]</f>
        <v>32</v>
      </c>
      <c r="U2896">
        <f>IF(Table1[[#This Row],[Subscription Status]]="Yes",1,IF(Table1[[#This Row],[Subscription Status]]="No",0))</f>
        <v>0</v>
      </c>
    </row>
    <row r="2897" spans="1:21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  <c r="S2897" t="str">
        <f>IF(Table1[[#This Row],[Age]]&lt;=25,"Young",IF(Table1[[#This Row],[Age]]&lt;=50,"Adult","Senior"))</f>
        <v>Senior</v>
      </c>
      <c r="T2897" s="1">
        <f>Table1[[#This Row],[Purchase Amount (USD)]]</f>
        <v>86</v>
      </c>
      <c r="U2897">
        <f>IF(Table1[[#This Row],[Subscription Status]]="Yes",1,IF(Table1[[#This Row],[Subscription Status]]="No",0))</f>
        <v>0</v>
      </c>
    </row>
    <row r="2898" spans="1:21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  <c r="S2898" t="str">
        <f>IF(Table1[[#This Row],[Age]]&lt;=25,"Young",IF(Table1[[#This Row],[Age]]&lt;=50,"Adult","Senior"))</f>
        <v>Adult</v>
      </c>
      <c r="T2898" s="1">
        <f>Table1[[#This Row],[Purchase Amount (USD)]]</f>
        <v>91</v>
      </c>
      <c r="U2898">
        <f>IF(Table1[[#This Row],[Subscription Status]]="Yes",1,IF(Table1[[#This Row],[Subscription Status]]="No",0))</f>
        <v>0</v>
      </c>
    </row>
    <row r="2899" spans="1:21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  <c r="S2899" t="str">
        <f>IF(Table1[[#This Row],[Age]]&lt;=25,"Young",IF(Table1[[#This Row],[Age]]&lt;=50,"Adult","Senior"))</f>
        <v>Adult</v>
      </c>
      <c r="T2899" s="1">
        <f>Table1[[#This Row],[Purchase Amount (USD)]]</f>
        <v>59</v>
      </c>
      <c r="U2899">
        <f>IF(Table1[[#This Row],[Subscription Status]]="Yes",1,IF(Table1[[#This Row],[Subscription Status]]="No",0))</f>
        <v>0</v>
      </c>
    </row>
    <row r="2900" spans="1:21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  <c r="S2900" t="str">
        <f>IF(Table1[[#This Row],[Age]]&lt;=25,"Young",IF(Table1[[#This Row],[Age]]&lt;=50,"Adult","Senior"))</f>
        <v>Young</v>
      </c>
      <c r="T2900" s="1">
        <f>Table1[[#This Row],[Purchase Amount (USD)]]</f>
        <v>33</v>
      </c>
      <c r="U2900">
        <f>IF(Table1[[#This Row],[Subscription Status]]="Yes",1,IF(Table1[[#This Row],[Subscription Status]]="No",0))</f>
        <v>0</v>
      </c>
    </row>
    <row r="2901" spans="1:21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  <c r="S2901" t="str">
        <f>IF(Table1[[#This Row],[Age]]&lt;=25,"Young",IF(Table1[[#This Row],[Age]]&lt;=50,"Adult","Senior"))</f>
        <v>Adult</v>
      </c>
      <c r="T2901" s="1">
        <f>Table1[[#This Row],[Purchase Amount (USD)]]</f>
        <v>64</v>
      </c>
      <c r="U2901">
        <f>IF(Table1[[#This Row],[Subscription Status]]="Yes",1,IF(Table1[[#This Row],[Subscription Status]]="No",0))</f>
        <v>0</v>
      </c>
    </row>
    <row r="2902" spans="1:21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  <c r="S2902" t="str">
        <f>IF(Table1[[#This Row],[Age]]&lt;=25,"Young",IF(Table1[[#This Row],[Age]]&lt;=50,"Adult","Senior"))</f>
        <v>Adult</v>
      </c>
      <c r="T2902" s="1">
        <f>Table1[[#This Row],[Purchase Amount (USD)]]</f>
        <v>67</v>
      </c>
      <c r="U2902">
        <f>IF(Table1[[#This Row],[Subscription Status]]="Yes",1,IF(Table1[[#This Row],[Subscription Status]]="No",0))</f>
        <v>0</v>
      </c>
    </row>
    <row r="2903" spans="1:21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  <c r="S2903" t="str">
        <f>IF(Table1[[#This Row],[Age]]&lt;=25,"Young",IF(Table1[[#This Row],[Age]]&lt;=50,"Adult","Senior"))</f>
        <v>Adult</v>
      </c>
      <c r="T2903" s="1">
        <f>Table1[[#This Row],[Purchase Amount (USD)]]</f>
        <v>43</v>
      </c>
      <c r="U2903">
        <f>IF(Table1[[#This Row],[Subscription Status]]="Yes",1,IF(Table1[[#This Row],[Subscription Status]]="No",0))</f>
        <v>0</v>
      </c>
    </row>
    <row r="2904" spans="1:21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  <c r="S2904" t="str">
        <f>IF(Table1[[#This Row],[Age]]&lt;=25,"Young",IF(Table1[[#This Row],[Age]]&lt;=50,"Adult","Senior"))</f>
        <v>Adult</v>
      </c>
      <c r="T2904" s="1">
        <f>Table1[[#This Row],[Purchase Amount (USD)]]</f>
        <v>32</v>
      </c>
      <c r="U2904">
        <f>IF(Table1[[#This Row],[Subscription Status]]="Yes",1,IF(Table1[[#This Row],[Subscription Status]]="No",0))</f>
        <v>0</v>
      </c>
    </row>
    <row r="2905" spans="1:21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  <c r="S2905" t="str">
        <f>IF(Table1[[#This Row],[Age]]&lt;=25,"Young",IF(Table1[[#This Row],[Age]]&lt;=50,"Adult","Senior"))</f>
        <v>Adult</v>
      </c>
      <c r="T2905" s="1">
        <f>Table1[[#This Row],[Purchase Amount (USD)]]</f>
        <v>39</v>
      </c>
      <c r="U2905">
        <f>IF(Table1[[#This Row],[Subscription Status]]="Yes",1,IF(Table1[[#This Row],[Subscription Status]]="No",0))</f>
        <v>0</v>
      </c>
    </row>
    <row r="2906" spans="1:21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  <c r="S2906" t="str">
        <f>IF(Table1[[#This Row],[Age]]&lt;=25,"Young",IF(Table1[[#This Row],[Age]]&lt;=50,"Adult","Senior"))</f>
        <v>Adult</v>
      </c>
      <c r="T2906" s="1">
        <f>Table1[[#This Row],[Purchase Amount (USD)]]</f>
        <v>41</v>
      </c>
      <c r="U2906">
        <f>IF(Table1[[#This Row],[Subscription Status]]="Yes",1,IF(Table1[[#This Row],[Subscription Status]]="No",0))</f>
        <v>0</v>
      </c>
    </row>
    <row r="2907" spans="1:21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  <c r="S2907" t="str">
        <f>IF(Table1[[#This Row],[Age]]&lt;=25,"Young",IF(Table1[[#This Row],[Age]]&lt;=50,"Adult","Senior"))</f>
        <v>Senior</v>
      </c>
      <c r="T2907" s="1">
        <f>Table1[[#This Row],[Purchase Amount (USD)]]</f>
        <v>53</v>
      </c>
      <c r="U2907">
        <f>IF(Table1[[#This Row],[Subscription Status]]="Yes",1,IF(Table1[[#This Row],[Subscription Status]]="No",0))</f>
        <v>0</v>
      </c>
    </row>
    <row r="2908" spans="1:21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  <c r="S2908" t="str">
        <f>IF(Table1[[#This Row],[Age]]&lt;=25,"Young",IF(Table1[[#This Row],[Age]]&lt;=50,"Adult","Senior"))</f>
        <v>Senior</v>
      </c>
      <c r="T2908" s="1">
        <f>Table1[[#This Row],[Purchase Amount (USD)]]</f>
        <v>27</v>
      </c>
      <c r="U2908">
        <f>IF(Table1[[#This Row],[Subscription Status]]="Yes",1,IF(Table1[[#This Row],[Subscription Status]]="No",0))</f>
        <v>0</v>
      </c>
    </row>
    <row r="2909" spans="1:21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  <c r="S2909" t="str">
        <f>IF(Table1[[#This Row],[Age]]&lt;=25,"Young",IF(Table1[[#This Row],[Age]]&lt;=50,"Adult","Senior"))</f>
        <v>Young</v>
      </c>
      <c r="T2909" s="1">
        <f>Table1[[#This Row],[Purchase Amount (USD)]]</f>
        <v>82</v>
      </c>
      <c r="U2909">
        <f>IF(Table1[[#This Row],[Subscription Status]]="Yes",1,IF(Table1[[#This Row],[Subscription Status]]="No",0))</f>
        <v>0</v>
      </c>
    </row>
    <row r="2910" spans="1:21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  <c r="S2910" t="str">
        <f>IF(Table1[[#This Row],[Age]]&lt;=25,"Young",IF(Table1[[#This Row],[Age]]&lt;=50,"Adult","Senior"))</f>
        <v>Adult</v>
      </c>
      <c r="T2910" s="1">
        <f>Table1[[#This Row],[Purchase Amount (USD)]]</f>
        <v>87</v>
      </c>
      <c r="U2910">
        <f>IF(Table1[[#This Row],[Subscription Status]]="Yes",1,IF(Table1[[#This Row],[Subscription Status]]="No",0))</f>
        <v>0</v>
      </c>
    </row>
    <row r="2911" spans="1:21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  <c r="S2911" t="str">
        <f>IF(Table1[[#This Row],[Age]]&lt;=25,"Young",IF(Table1[[#This Row],[Age]]&lt;=50,"Adult","Senior"))</f>
        <v>Adult</v>
      </c>
      <c r="T2911" s="1">
        <f>Table1[[#This Row],[Purchase Amount (USD)]]</f>
        <v>78</v>
      </c>
      <c r="U2911">
        <f>IF(Table1[[#This Row],[Subscription Status]]="Yes",1,IF(Table1[[#This Row],[Subscription Status]]="No",0))</f>
        <v>0</v>
      </c>
    </row>
    <row r="2912" spans="1:21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  <c r="S2912" t="str">
        <f>IF(Table1[[#This Row],[Age]]&lt;=25,"Young",IF(Table1[[#This Row],[Age]]&lt;=50,"Adult","Senior"))</f>
        <v>Adult</v>
      </c>
      <c r="T2912" s="1">
        <f>Table1[[#This Row],[Purchase Amount (USD)]]</f>
        <v>32</v>
      </c>
      <c r="U2912">
        <f>IF(Table1[[#This Row],[Subscription Status]]="Yes",1,IF(Table1[[#This Row],[Subscription Status]]="No",0))</f>
        <v>0</v>
      </c>
    </row>
    <row r="2913" spans="1:21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  <c r="S2913" t="str">
        <f>IF(Table1[[#This Row],[Age]]&lt;=25,"Young",IF(Table1[[#This Row],[Age]]&lt;=50,"Adult","Senior"))</f>
        <v>Adult</v>
      </c>
      <c r="T2913" s="1">
        <f>Table1[[#This Row],[Purchase Amount (USD)]]</f>
        <v>38</v>
      </c>
      <c r="U2913">
        <f>IF(Table1[[#This Row],[Subscription Status]]="Yes",1,IF(Table1[[#This Row],[Subscription Status]]="No",0))</f>
        <v>0</v>
      </c>
    </row>
    <row r="2914" spans="1:21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  <c r="S2914" t="str">
        <f>IF(Table1[[#This Row],[Age]]&lt;=25,"Young",IF(Table1[[#This Row],[Age]]&lt;=50,"Adult","Senior"))</f>
        <v>Adult</v>
      </c>
      <c r="T2914" s="1">
        <f>Table1[[#This Row],[Purchase Amount (USD)]]</f>
        <v>37</v>
      </c>
      <c r="U2914">
        <f>IF(Table1[[#This Row],[Subscription Status]]="Yes",1,IF(Table1[[#This Row],[Subscription Status]]="No",0))</f>
        <v>0</v>
      </c>
    </row>
    <row r="2915" spans="1:21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  <c r="S2915" t="str">
        <f>IF(Table1[[#This Row],[Age]]&lt;=25,"Young",IF(Table1[[#This Row],[Age]]&lt;=50,"Adult","Senior"))</f>
        <v>Adult</v>
      </c>
      <c r="T2915" s="1">
        <f>Table1[[#This Row],[Purchase Amount (USD)]]</f>
        <v>83</v>
      </c>
      <c r="U2915">
        <f>IF(Table1[[#This Row],[Subscription Status]]="Yes",1,IF(Table1[[#This Row],[Subscription Status]]="No",0))</f>
        <v>0</v>
      </c>
    </row>
    <row r="2916" spans="1:21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  <c r="S2916" t="str">
        <f>IF(Table1[[#This Row],[Age]]&lt;=25,"Young",IF(Table1[[#This Row],[Age]]&lt;=50,"Adult","Senior"))</f>
        <v>Adult</v>
      </c>
      <c r="T2916" s="1">
        <f>Table1[[#This Row],[Purchase Amount (USD)]]</f>
        <v>72</v>
      </c>
      <c r="U2916">
        <f>IF(Table1[[#This Row],[Subscription Status]]="Yes",1,IF(Table1[[#This Row],[Subscription Status]]="No",0))</f>
        <v>0</v>
      </c>
    </row>
    <row r="2917" spans="1:21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  <c r="S2917" t="str">
        <f>IF(Table1[[#This Row],[Age]]&lt;=25,"Young",IF(Table1[[#This Row],[Age]]&lt;=50,"Adult","Senior"))</f>
        <v>Adult</v>
      </c>
      <c r="T2917" s="1">
        <f>Table1[[#This Row],[Purchase Amount (USD)]]</f>
        <v>30</v>
      </c>
      <c r="U2917">
        <f>IF(Table1[[#This Row],[Subscription Status]]="Yes",1,IF(Table1[[#This Row],[Subscription Status]]="No",0))</f>
        <v>0</v>
      </c>
    </row>
    <row r="2918" spans="1:21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  <c r="S2918" t="str">
        <f>IF(Table1[[#This Row],[Age]]&lt;=25,"Young",IF(Table1[[#This Row],[Age]]&lt;=50,"Adult","Senior"))</f>
        <v>Senior</v>
      </c>
      <c r="T2918" s="1">
        <f>Table1[[#This Row],[Purchase Amount (USD)]]</f>
        <v>66</v>
      </c>
      <c r="U2918">
        <f>IF(Table1[[#This Row],[Subscription Status]]="Yes",1,IF(Table1[[#This Row],[Subscription Status]]="No",0))</f>
        <v>0</v>
      </c>
    </row>
    <row r="2919" spans="1:21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  <c r="S2919" t="str">
        <f>IF(Table1[[#This Row],[Age]]&lt;=25,"Young",IF(Table1[[#This Row],[Age]]&lt;=50,"Adult","Senior"))</f>
        <v>Senior</v>
      </c>
      <c r="T2919" s="1">
        <f>Table1[[#This Row],[Purchase Amount (USD)]]</f>
        <v>45</v>
      </c>
      <c r="U2919">
        <f>IF(Table1[[#This Row],[Subscription Status]]="Yes",1,IF(Table1[[#This Row],[Subscription Status]]="No",0))</f>
        <v>0</v>
      </c>
    </row>
    <row r="2920" spans="1:21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  <c r="S2920" t="str">
        <f>IF(Table1[[#This Row],[Age]]&lt;=25,"Young",IF(Table1[[#This Row],[Age]]&lt;=50,"Adult","Senior"))</f>
        <v>Young</v>
      </c>
      <c r="T2920" s="1">
        <f>Table1[[#This Row],[Purchase Amount (USD)]]</f>
        <v>73</v>
      </c>
      <c r="U2920">
        <f>IF(Table1[[#This Row],[Subscription Status]]="Yes",1,IF(Table1[[#This Row],[Subscription Status]]="No",0))</f>
        <v>0</v>
      </c>
    </row>
    <row r="2921" spans="1:21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  <c r="S2921" t="str">
        <f>IF(Table1[[#This Row],[Age]]&lt;=25,"Young",IF(Table1[[#This Row],[Age]]&lt;=50,"Adult","Senior"))</f>
        <v>Senior</v>
      </c>
      <c r="T2921" s="1">
        <f>Table1[[#This Row],[Purchase Amount (USD)]]</f>
        <v>67</v>
      </c>
      <c r="U2921">
        <f>IF(Table1[[#This Row],[Subscription Status]]="Yes",1,IF(Table1[[#This Row],[Subscription Status]]="No",0))</f>
        <v>0</v>
      </c>
    </row>
    <row r="2922" spans="1:21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  <c r="S2922" t="str">
        <f>IF(Table1[[#This Row],[Age]]&lt;=25,"Young",IF(Table1[[#This Row],[Age]]&lt;=50,"Adult","Senior"))</f>
        <v>Adult</v>
      </c>
      <c r="T2922" s="1">
        <f>Table1[[#This Row],[Purchase Amount (USD)]]</f>
        <v>72</v>
      </c>
      <c r="U2922">
        <f>IF(Table1[[#This Row],[Subscription Status]]="Yes",1,IF(Table1[[#This Row],[Subscription Status]]="No",0))</f>
        <v>0</v>
      </c>
    </row>
    <row r="2923" spans="1:21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  <c r="S2923" t="str">
        <f>IF(Table1[[#This Row],[Age]]&lt;=25,"Young",IF(Table1[[#This Row],[Age]]&lt;=50,"Adult","Senior"))</f>
        <v>Young</v>
      </c>
      <c r="T2923" s="1">
        <f>Table1[[#This Row],[Purchase Amount (USD)]]</f>
        <v>24</v>
      </c>
      <c r="U2923">
        <f>IF(Table1[[#This Row],[Subscription Status]]="Yes",1,IF(Table1[[#This Row],[Subscription Status]]="No",0))</f>
        <v>0</v>
      </c>
    </row>
    <row r="2924" spans="1:21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  <c r="S2924" t="str">
        <f>IF(Table1[[#This Row],[Age]]&lt;=25,"Young",IF(Table1[[#This Row],[Age]]&lt;=50,"Adult","Senior"))</f>
        <v>Adult</v>
      </c>
      <c r="T2924" s="1">
        <f>Table1[[#This Row],[Purchase Amount (USD)]]</f>
        <v>68</v>
      </c>
      <c r="U2924">
        <f>IF(Table1[[#This Row],[Subscription Status]]="Yes",1,IF(Table1[[#This Row],[Subscription Status]]="No",0))</f>
        <v>0</v>
      </c>
    </row>
    <row r="2925" spans="1:21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  <c r="S2925" t="str">
        <f>IF(Table1[[#This Row],[Age]]&lt;=25,"Young",IF(Table1[[#This Row],[Age]]&lt;=50,"Adult","Senior"))</f>
        <v>Adult</v>
      </c>
      <c r="T2925" s="1">
        <f>Table1[[#This Row],[Purchase Amount (USD)]]</f>
        <v>70</v>
      </c>
      <c r="U2925">
        <f>IF(Table1[[#This Row],[Subscription Status]]="Yes",1,IF(Table1[[#This Row],[Subscription Status]]="No",0))</f>
        <v>0</v>
      </c>
    </row>
    <row r="2926" spans="1:21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  <c r="S2926" t="str">
        <f>IF(Table1[[#This Row],[Age]]&lt;=25,"Young",IF(Table1[[#This Row],[Age]]&lt;=50,"Adult","Senior"))</f>
        <v>Adult</v>
      </c>
      <c r="T2926" s="1">
        <f>Table1[[#This Row],[Purchase Amount (USD)]]</f>
        <v>64</v>
      </c>
      <c r="U2926">
        <f>IF(Table1[[#This Row],[Subscription Status]]="Yes",1,IF(Table1[[#This Row],[Subscription Status]]="No",0))</f>
        <v>0</v>
      </c>
    </row>
    <row r="2927" spans="1:21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  <c r="S2927" t="str">
        <f>IF(Table1[[#This Row],[Age]]&lt;=25,"Young",IF(Table1[[#This Row],[Age]]&lt;=50,"Adult","Senior"))</f>
        <v>Senior</v>
      </c>
      <c r="T2927" s="1">
        <f>Table1[[#This Row],[Purchase Amount (USD)]]</f>
        <v>91</v>
      </c>
      <c r="U2927">
        <f>IF(Table1[[#This Row],[Subscription Status]]="Yes",1,IF(Table1[[#This Row],[Subscription Status]]="No",0))</f>
        <v>0</v>
      </c>
    </row>
    <row r="2928" spans="1:21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  <c r="S2928" t="str">
        <f>IF(Table1[[#This Row],[Age]]&lt;=25,"Young",IF(Table1[[#This Row],[Age]]&lt;=50,"Adult","Senior"))</f>
        <v>Senior</v>
      </c>
      <c r="T2928" s="1">
        <f>Table1[[#This Row],[Purchase Amount (USD)]]</f>
        <v>82</v>
      </c>
      <c r="U2928">
        <f>IF(Table1[[#This Row],[Subscription Status]]="Yes",1,IF(Table1[[#This Row],[Subscription Status]]="No",0))</f>
        <v>0</v>
      </c>
    </row>
    <row r="2929" spans="1:21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  <c r="S2929" t="str">
        <f>IF(Table1[[#This Row],[Age]]&lt;=25,"Young",IF(Table1[[#This Row],[Age]]&lt;=50,"Adult","Senior"))</f>
        <v>Adult</v>
      </c>
      <c r="T2929" s="1">
        <f>Table1[[#This Row],[Purchase Amount (USD)]]</f>
        <v>24</v>
      </c>
      <c r="U2929">
        <f>IF(Table1[[#This Row],[Subscription Status]]="Yes",1,IF(Table1[[#This Row],[Subscription Status]]="No",0))</f>
        <v>0</v>
      </c>
    </row>
    <row r="2930" spans="1:21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  <c r="S2930" t="str">
        <f>IF(Table1[[#This Row],[Age]]&lt;=25,"Young",IF(Table1[[#This Row],[Age]]&lt;=50,"Adult","Senior"))</f>
        <v>Adult</v>
      </c>
      <c r="T2930" s="1">
        <f>Table1[[#This Row],[Purchase Amount (USD)]]</f>
        <v>80</v>
      </c>
      <c r="U2930">
        <f>IF(Table1[[#This Row],[Subscription Status]]="Yes",1,IF(Table1[[#This Row],[Subscription Status]]="No",0))</f>
        <v>0</v>
      </c>
    </row>
    <row r="2931" spans="1:21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  <c r="S2931" t="str">
        <f>IF(Table1[[#This Row],[Age]]&lt;=25,"Young",IF(Table1[[#This Row],[Age]]&lt;=50,"Adult","Senior"))</f>
        <v>Adult</v>
      </c>
      <c r="T2931" s="1">
        <f>Table1[[#This Row],[Purchase Amount (USD)]]</f>
        <v>53</v>
      </c>
      <c r="U2931">
        <f>IF(Table1[[#This Row],[Subscription Status]]="Yes",1,IF(Table1[[#This Row],[Subscription Status]]="No",0))</f>
        <v>0</v>
      </c>
    </row>
    <row r="2932" spans="1:21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  <c r="S2932" t="str">
        <f>IF(Table1[[#This Row],[Age]]&lt;=25,"Young",IF(Table1[[#This Row],[Age]]&lt;=50,"Adult","Senior"))</f>
        <v>Adult</v>
      </c>
      <c r="T2932" s="1">
        <f>Table1[[#This Row],[Purchase Amount (USD)]]</f>
        <v>50</v>
      </c>
      <c r="U2932">
        <f>IF(Table1[[#This Row],[Subscription Status]]="Yes",1,IF(Table1[[#This Row],[Subscription Status]]="No",0))</f>
        <v>0</v>
      </c>
    </row>
    <row r="2933" spans="1:21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  <c r="S2933" t="str">
        <f>IF(Table1[[#This Row],[Age]]&lt;=25,"Young",IF(Table1[[#This Row],[Age]]&lt;=50,"Adult","Senior"))</f>
        <v>Adult</v>
      </c>
      <c r="T2933" s="1">
        <f>Table1[[#This Row],[Purchase Amount (USD)]]</f>
        <v>31</v>
      </c>
      <c r="U2933">
        <f>IF(Table1[[#This Row],[Subscription Status]]="Yes",1,IF(Table1[[#This Row],[Subscription Status]]="No",0))</f>
        <v>0</v>
      </c>
    </row>
    <row r="2934" spans="1:21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  <c r="S2934" t="str">
        <f>IF(Table1[[#This Row],[Age]]&lt;=25,"Young",IF(Table1[[#This Row],[Age]]&lt;=50,"Adult","Senior"))</f>
        <v>Senior</v>
      </c>
      <c r="T2934" s="1">
        <f>Table1[[#This Row],[Purchase Amount (USD)]]</f>
        <v>88</v>
      </c>
      <c r="U2934">
        <f>IF(Table1[[#This Row],[Subscription Status]]="Yes",1,IF(Table1[[#This Row],[Subscription Status]]="No",0))</f>
        <v>0</v>
      </c>
    </row>
    <row r="2935" spans="1:21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  <c r="S2935" t="str">
        <f>IF(Table1[[#This Row],[Age]]&lt;=25,"Young",IF(Table1[[#This Row],[Age]]&lt;=50,"Adult","Senior"))</f>
        <v>Adult</v>
      </c>
      <c r="T2935" s="1">
        <f>Table1[[#This Row],[Purchase Amount (USD)]]</f>
        <v>52</v>
      </c>
      <c r="U2935">
        <f>IF(Table1[[#This Row],[Subscription Status]]="Yes",1,IF(Table1[[#This Row],[Subscription Status]]="No",0))</f>
        <v>0</v>
      </c>
    </row>
    <row r="2936" spans="1:21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  <c r="S2936" t="str">
        <f>IF(Table1[[#This Row],[Age]]&lt;=25,"Young",IF(Table1[[#This Row],[Age]]&lt;=50,"Adult","Senior"))</f>
        <v>Adult</v>
      </c>
      <c r="T2936" s="1">
        <f>Table1[[#This Row],[Purchase Amount (USD)]]</f>
        <v>22</v>
      </c>
      <c r="U2936">
        <f>IF(Table1[[#This Row],[Subscription Status]]="Yes",1,IF(Table1[[#This Row],[Subscription Status]]="No",0))</f>
        <v>0</v>
      </c>
    </row>
    <row r="2937" spans="1:21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  <c r="S2937" t="str">
        <f>IF(Table1[[#This Row],[Age]]&lt;=25,"Young",IF(Table1[[#This Row],[Age]]&lt;=50,"Adult","Senior"))</f>
        <v>Senior</v>
      </c>
      <c r="T2937" s="1">
        <f>Table1[[#This Row],[Purchase Amount (USD)]]</f>
        <v>27</v>
      </c>
      <c r="U2937">
        <f>IF(Table1[[#This Row],[Subscription Status]]="Yes",1,IF(Table1[[#This Row],[Subscription Status]]="No",0))</f>
        <v>0</v>
      </c>
    </row>
    <row r="2938" spans="1:21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  <c r="S2938" t="str">
        <f>IF(Table1[[#This Row],[Age]]&lt;=25,"Young",IF(Table1[[#This Row],[Age]]&lt;=50,"Adult","Senior"))</f>
        <v>Adult</v>
      </c>
      <c r="T2938" s="1">
        <f>Table1[[#This Row],[Purchase Amount (USD)]]</f>
        <v>34</v>
      </c>
      <c r="U2938">
        <f>IF(Table1[[#This Row],[Subscription Status]]="Yes",1,IF(Table1[[#This Row],[Subscription Status]]="No",0))</f>
        <v>0</v>
      </c>
    </row>
    <row r="2939" spans="1:21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  <c r="S2939" t="str">
        <f>IF(Table1[[#This Row],[Age]]&lt;=25,"Young",IF(Table1[[#This Row],[Age]]&lt;=50,"Adult","Senior"))</f>
        <v>Adult</v>
      </c>
      <c r="T2939" s="1">
        <f>Table1[[#This Row],[Purchase Amount (USD)]]</f>
        <v>39</v>
      </c>
      <c r="U2939">
        <f>IF(Table1[[#This Row],[Subscription Status]]="Yes",1,IF(Table1[[#This Row],[Subscription Status]]="No",0))</f>
        <v>0</v>
      </c>
    </row>
    <row r="2940" spans="1:21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  <c r="S2940" t="str">
        <f>IF(Table1[[#This Row],[Age]]&lt;=25,"Young",IF(Table1[[#This Row],[Age]]&lt;=50,"Adult","Senior"))</f>
        <v>Adult</v>
      </c>
      <c r="T2940" s="1">
        <f>Table1[[#This Row],[Purchase Amount (USD)]]</f>
        <v>53</v>
      </c>
      <c r="U2940">
        <f>IF(Table1[[#This Row],[Subscription Status]]="Yes",1,IF(Table1[[#This Row],[Subscription Status]]="No",0))</f>
        <v>0</v>
      </c>
    </row>
    <row r="2941" spans="1:21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  <c r="S2941" t="str">
        <f>IF(Table1[[#This Row],[Age]]&lt;=25,"Young",IF(Table1[[#This Row],[Age]]&lt;=50,"Adult","Senior"))</f>
        <v>Adult</v>
      </c>
      <c r="T2941" s="1">
        <f>Table1[[#This Row],[Purchase Amount (USD)]]</f>
        <v>46</v>
      </c>
      <c r="U2941">
        <f>IF(Table1[[#This Row],[Subscription Status]]="Yes",1,IF(Table1[[#This Row],[Subscription Status]]="No",0))</f>
        <v>0</v>
      </c>
    </row>
    <row r="2942" spans="1:21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  <c r="S2942" t="str">
        <f>IF(Table1[[#This Row],[Age]]&lt;=25,"Young",IF(Table1[[#This Row],[Age]]&lt;=50,"Adult","Senior"))</f>
        <v>Senior</v>
      </c>
      <c r="T2942" s="1">
        <f>Table1[[#This Row],[Purchase Amount (USD)]]</f>
        <v>85</v>
      </c>
      <c r="U2942">
        <f>IF(Table1[[#This Row],[Subscription Status]]="Yes",1,IF(Table1[[#This Row],[Subscription Status]]="No",0))</f>
        <v>0</v>
      </c>
    </row>
    <row r="2943" spans="1:21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  <c r="S2943" t="str">
        <f>IF(Table1[[#This Row],[Age]]&lt;=25,"Young",IF(Table1[[#This Row],[Age]]&lt;=50,"Adult","Senior"))</f>
        <v>Adult</v>
      </c>
      <c r="T2943" s="1">
        <f>Table1[[#This Row],[Purchase Amount (USD)]]</f>
        <v>86</v>
      </c>
      <c r="U2943">
        <f>IF(Table1[[#This Row],[Subscription Status]]="Yes",1,IF(Table1[[#This Row],[Subscription Status]]="No",0))</f>
        <v>0</v>
      </c>
    </row>
    <row r="2944" spans="1:21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  <c r="S2944" t="str">
        <f>IF(Table1[[#This Row],[Age]]&lt;=25,"Young",IF(Table1[[#This Row],[Age]]&lt;=50,"Adult","Senior"))</f>
        <v>Senior</v>
      </c>
      <c r="T2944" s="1">
        <f>Table1[[#This Row],[Purchase Amount (USD)]]</f>
        <v>63</v>
      </c>
      <c r="U2944">
        <f>IF(Table1[[#This Row],[Subscription Status]]="Yes",1,IF(Table1[[#This Row],[Subscription Status]]="No",0))</f>
        <v>0</v>
      </c>
    </row>
    <row r="2945" spans="1:21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  <c r="S2945" t="str">
        <f>IF(Table1[[#This Row],[Age]]&lt;=25,"Young",IF(Table1[[#This Row],[Age]]&lt;=50,"Adult","Senior"))</f>
        <v>Adult</v>
      </c>
      <c r="T2945" s="1">
        <f>Table1[[#This Row],[Purchase Amount (USD)]]</f>
        <v>44</v>
      </c>
      <c r="U2945">
        <f>IF(Table1[[#This Row],[Subscription Status]]="Yes",1,IF(Table1[[#This Row],[Subscription Status]]="No",0))</f>
        <v>0</v>
      </c>
    </row>
    <row r="2946" spans="1:21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  <c r="S2946" t="str">
        <f>IF(Table1[[#This Row],[Age]]&lt;=25,"Young",IF(Table1[[#This Row],[Age]]&lt;=50,"Adult","Senior"))</f>
        <v>Adult</v>
      </c>
      <c r="T2946" s="1">
        <f>Table1[[#This Row],[Purchase Amount (USD)]]</f>
        <v>95</v>
      </c>
      <c r="U2946">
        <f>IF(Table1[[#This Row],[Subscription Status]]="Yes",1,IF(Table1[[#This Row],[Subscription Status]]="No",0))</f>
        <v>0</v>
      </c>
    </row>
    <row r="2947" spans="1:21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  <c r="S2947" t="str">
        <f>IF(Table1[[#This Row],[Age]]&lt;=25,"Young",IF(Table1[[#This Row],[Age]]&lt;=50,"Adult","Senior"))</f>
        <v>Adult</v>
      </c>
      <c r="T2947" s="1">
        <f>Table1[[#This Row],[Purchase Amount (USD)]]</f>
        <v>49</v>
      </c>
      <c r="U2947">
        <f>IF(Table1[[#This Row],[Subscription Status]]="Yes",1,IF(Table1[[#This Row],[Subscription Status]]="No",0))</f>
        <v>0</v>
      </c>
    </row>
    <row r="2948" spans="1:21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  <c r="S2948" t="str">
        <f>IF(Table1[[#This Row],[Age]]&lt;=25,"Young",IF(Table1[[#This Row],[Age]]&lt;=50,"Adult","Senior"))</f>
        <v>Adult</v>
      </c>
      <c r="T2948" s="1">
        <f>Table1[[#This Row],[Purchase Amount (USD)]]</f>
        <v>77</v>
      </c>
      <c r="U2948">
        <f>IF(Table1[[#This Row],[Subscription Status]]="Yes",1,IF(Table1[[#This Row],[Subscription Status]]="No",0))</f>
        <v>0</v>
      </c>
    </row>
    <row r="2949" spans="1:21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  <c r="S2949" t="str">
        <f>IF(Table1[[#This Row],[Age]]&lt;=25,"Young",IF(Table1[[#This Row],[Age]]&lt;=50,"Adult","Senior"))</f>
        <v>Senior</v>
      </c>
      <c r="T2949" s="1">
        <f>Table1[[#This Row],[Purchase Amount (USD)]]</f>
        <v>63</v>
      </c>
      <c r="U2949">
        <f>IF(Table1[[#This Row],[Subscription Status]]="Yes",1,IF(Table1[[#This Row],[Subscription Status]]="No",0))</f>
        <v>0</v>
      </c>
    </row>
    <row r="2950" spans="1:21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  <c r="S2950" t="str">
        <f>IF(Table1[[#This Row],[Age]]&lt;=25,"Young",IF(Table1[[#This Row],[Age]]&lt;=50,"Adult","Senior"))</f>
        <v>Senior</v>
      </c>
      <c r="T2950" s="1">
        <f>Table1[[#This Row],[Purchase Amount (USD)]]</f>
        <v>83</v>
      </c>
      <c r="U2950">
        <f>IF(Table1[[#This Row],[Subscription Status]]="Yes",1,IF(Table1[[#This Row],[Subscription Status]]="No",0))</f>
        <v>0</v>
      </c>
    </row>
    <row r="2951" spans="1:21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  <c r="S2951" t="str">
        <f>IF(Table1[[#This Row],[Age]]&lt;=25,"Young",IF(Table1[[#This Row],[Age]]&lt;=50,"Adult","Senior"))</f>
        <v>Young</v>
      </c>
      <c r="T2951" s="1">
        <f>Table1[[#This Row],[Purchase Amount (USD)]]</f>
        <v>93</v>
      </c>
      <c r="U2951">
        <f>IF(Table1[[#This Row],[Subscription Status]]="Yes",1,IF(Table1[[#This Row],[Subscription Status]]="No",0))</f>
        <v>0</v>
      </c>
    </row>
    <row r="2952" spans="1:21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  <c r="S2952" t="str">
        <f>IF(Table1[[#This Row],[Age]]&lt;=25,"Young",IF(Table1[[#This Row],[Age]]&lt;=50,"Adult","Senior"))</f>
        <v>Young</v>
      </c>
      <c r="T2952" s="1">
        <f>Table1[[#This Row],[Purchase Amount (USD)]]</f>
        <v>91</v>
      </c>
      <c r="U2952">
        <f>IF(Table1[[#This Row],[Subscription Status]]="Yes",1,IF(Table1[[#This Row],[Subscription Status]]="No",0))</f>
        <v>0</v>
      </c>
    </row>
    <row r="2953" spans="1:21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  <c r="S2953" t="str">
        <f>IF(Table1[[#This Row],[Age]]&lt;=25,"Young",IF(Table1[[#This Row],[Age]]&lt;=50,"Adult","Senior"))</f>
        <v>Adult</v>
      </c>
      <c r="T2953" s="1">
        <f>Table1[[#This Row],[Purchase Amount (USD)]]</f>
        <v>99</v>
      </c>
      <c r="U2953">
        <f>IF(Table1[[#This Row],[Subscription Status]]="Yes",1,IF(Table1[[#This Row],[Subscription Status]]="No",0))</f>
        <v>0</v>
      </c>
    </row>
    <row r="2954" spans="1:21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  <c r="S2954" t="str">
        <f>IF(Table1[[#This Row],[Age]]&lt;=25,"Young",IF(Table1[[#This Row],[Age]]&lt;=50,"Adult","Senior"))</f>
        <v>Adult</v>
      </c>
      <c r="T2954" s="1">
        <f>Table1[[#This Row],[Purchase Amount (USD)]]</f>
        <v>24</v>
      </c>
      <c r="U2954">
        <f>IF(Table1[[#This Row],[Subscription Status]]="Yes",1,IF(Table1[[#This Row],[Subscription Status]]="No",0))</f>
        <v>0</v>
      </c>
    </row>
    <row r="2955" spans="1:21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  <c r="S2955" t="str">
        <f>IF(Table1[[#This Row],[Age]]&lt;=25,"Young",IF(Table1[[#This Row],[Age]]&lt;=50,"Adult","Senior"))</f>
        <v>Adult</v>
      </c>
      <c r="T2955" s="1">
        <f>Table1[[#This Row],[Purchase Amount (USD)]]</f>
        <v>82</v>
      </c>
      <c r="U2955">
        <f>IF(Table1[[#This Row],[Subscription Status]]="Yes",1,IF(Table1[[#This Row],[Subscription Status]]="No",0))</f>
        <v>0</v>
      </c>
    </row>
    <row r="2956" spans="1:21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  <c r="S2956" t="str">
        <f>IF(Table1[[#This Row],[Age]]&lt;=25,"Young",IF(Table1[[#This Row],[Age]]&lt;=50,"Adult","Senior"))</f>
        <v>Adult</v>
      </c>
      <c r="T2956" s="1">
        <f>Table1[[#This Row],[Purchase Amount (USD)]]</f>
        <v>28</v>
      </c>
      <c r="U2956">
        <f>IF(Table1[[#This Row],[Subscription Status]]="Yes",1,IF(Table1[[#This Row],[Subscription Status]]="No",0))</f>
        <v>0</v>
      </c>
    </row>
    <row r="2957" spans="1:21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  <c r="S2957" t="str">
        <f>IF(Table1[[#This Row],[Age]]&lt;=25,"Young",IF(Table1[[#This Row],[Age]]&lt;=50,"Adult","Senior"))</f>
        <v>Adult</v>
      </c>
      <c r="T2957" s="1">
        <f>Table1[[#This Row],[Purchase Amount (USD)]]</f>
        <v>67</v>
      </c>
      <c r="U2957">
        <f>IF(Table1[[#This Row],[Subscription Status]]="Yes",1,IF(Table1[[#This Row],[Subscription Status]]="No",0))</f>
        <v>0</v>
      </c>
    </row>
    <row r="2958" spans="1:21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  <c r="S2958" t="str">
        <f>IF(Table1[[#This Row],[Age]]&lt;=25,"Young",IF(Table1[[#This Row],[Age]]&lt;=50,"Adult","Senior"))</f>
        <v>Senior</v>
      </c>
      <c r="T2958" s="1">
        <f>Table1[[#This Row],[Purchase Amount (USD)]]</f>
        <v>88</v>
      </c>
      <c r="U2958">
        <f>IF(Table1[[#This Row],[Subscription Status]]="Yes",1,IF(Table1[[#This Row],[Subscription Status]]="No",0))</f>
        <v>0</v>
      </c>
    </row>
    <row r="2959" spans="1:21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  <c r="S2959" t="str">
        <f>IF(Table1[[#This Row],[Age]]&lt;=25,"Young",IF(Table1[[#This Row],[Age]]&lt;=50,"Adult","Senior"))</f>
        <v>Senior</v>
      </c>
      <c r="T2959" s="1">
        <f>Table1[[#This Row],[Purchase Amount (USD)]]</f>
        <v>70</v>
      </c>
      <c r="U2959">
        <f>IF(Table1[[#This Row],[Subscription Status]]="Yes",1,IF(Table1[[#This Row],[Subscription Status]]="No",0))</f>
        <v>0</v>
      </c>
    </row>
    <row r="2960" spans="1:21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  <c r="S2960" t="str">
        <f>IF(Table1[[#This Row],[Age]]&lt;=25,"Young",IF(Table1[[#This Row],[Age]]&lt;=50,"Adult","Senior"))</f>
        <v>Senior</v>
      </c>
      <c r="T2960" s="1">
        <f>Table1[[#This Row],[Purchase Amount (USD)]]</f>
        <v>100</v>
      </c>
      <c r="U2960">
        <f>IF(Table1[[#This Row],[Subscription Status]]="Yes",1,IF(Table1[[#This Row],[Subscription Status]]="No",0))</f>
        <v>0</v>
      </c>
    </row>
    <row r="2961" spans="1:21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  <c r="S2961" t="str">
        <f>IF(Table1[[#This Row],[Age]]&lt;=25,"Young",IF(Table1[[#This Row],[Age]]&lt;=50,"Adult","Senior"))</f>
        <v>Adult</v>
      </c>
      <c r="T2961" s="1">
        <f>Table1[[#This Row],[Purchase Amount (USD)]]</f>
        <v>28</v>
      </c>
      <c r="U2961">
        <f>IF(Table1[[#This Row],[Subscription Status]]="Yes",1,IF(Table1[[#This Row],[Subscription Status]]="No",0))</f>
        <v>0</v>
      </c>
    </row>
    <row r="2962" spans="1:21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  <c r="S2962" t="str">
        <f>IF(Table1[[#This Row],[Age]]&lt;=25,"Young",IF(Table1[[#This Row],[Age]]&lt;=50,"Adult","Senior"))</f>
        <v>Senior</v>
      </c>
      <c r="T2962" s="1">
        <f>Table1[[#This Row],[Purchase Amount (USD)]]</f>
        <v>48</v>
      </c>
      <c r="U2962">
        <f>IF(Table1[[#This Row],[Subscription Status]]="Yes",1,IF(Table1[[#This Row],[Subscription Status]]="No",0))</f>
        <v>0</v>
      </c>
    </row>
    <row r="2963" spans="1:21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  <c r="S2963" t="str">
        <f>IF(Table1[[#This Row],[Age]]&lt;=25,"Young",IF(Table1[[#This Row],[Age]]&lt;=50,"Adult","Senior"))</f>
        <v>Adult</v>
      </c>
      <c r="T2963" s="1">
        <f>Table1[[#This Row],[Purchase Amount (USD)]]</f>
        <v>43</v>
      </c>
      <c r="U2963">
        <f>IF(Table1[[#This Row],[Subscription Status]]="Yes",1,IF(Table1[[#This Row],[Subscription Status]]="No",0))</f>
        <v>0</v>
      </c>
    </row>
    <row r="2964" spans="1:21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  <c r="S2964" t="str">
        <f>IF(Table1[[#This Row],[Age]]&lt;=25,"Young",IF(Table1[[#This Row],[Age]]&lt;=50,"Adult","Senior"))</f>
        <v>Senior</v>
      </c>
      <c r="T2964" s="1">
        <f>Table1[[#This Row],[Purchase Amount (USD)]]</f>
        <v>40</v>
      </c>
      <c r="U2964">
        <f>IF(Table1[[#This Row],[Subscription Status]]="Yes",1,IF(Table1[[#This Row],[Subscription Status]]="No",0))</f>
        <v>0</v>
      </c>
    </row>
    <row r="2965" spans="1:21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  <c r="S2965" t="str">
        <f>IF(Table1[[#This Row],[Age]]&lt;=25,"Young",IF(Table1[[#This Row],[Age]]&lt;=50,"Adult","Senior"))</f>
        <v>Senior</v>
      </c>
      <c r="T2965" s="1">
        <f>Table1[[#This Row],[Purchase Amount (USD)]]</f>
        <v>97</v>
      </c>
      <c r="U2965">
        <f>IF(Table1[[#This Row],[Subscription Status]]="Yes",1,IF(Table1[[#This Row],[Subscription Status]]="No",0))</f>
        <v>0</v>
      </c>
    </row>
    <row r="2966" spans="1:21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  <c r="S2966" t="str">
        <f>IF(Table1[[#This Row],[Age]]&lt;=25,"Young",IF(Table1[[#This Row],[Age]]&lt;=50,"Adult","Senior"))</f>
        <v>Adult</v>
      </c>
      <c r="T2966" s="1">
        <f>Table1[[#This Row],[Purchase Amount (USD)]]</f>
        <v>25</v>
      </c>
      <c r="U2966">
        <f>IF(Table1[[#This Row],[Subscription Status]]="Yes",1,IF(Table1[[#This Row],[Subscription Status]]="No",0))</f>
        <v>0</v>
      </c>
    </row>
    <row r="2967" spans="1:21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  <c r="S2967" t="str">
        <f>IF(Table1[[#This Row],[Age]]&lt;=25,"Young",IF(Table1[[#This Row],[Age]]&lt;=50,"Adult","Senior"))</f>
        <v>Adult</v>
      </c>
      <c r="T2967" s="1">
        <f>Table1[[#This Row],[Purchase Amount (USD)]]</f>
        <v>45</v>
      </c>
      <c r="U2967">
        <f>IF(Table1[[#This Row],[Subscription Status]]="Yes",1,IF(Table1[[#This Row],[Subscription Status]]="No",0))</f>
        <v>0</v>
      </c>
    </row>
    <row r="2968" spans="1:21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  <c r="S2968" t="str">
        <f>IF(Table1[[#This Row],[Age]]&lt;=25,"Young",IF(Table1[[#This Row],[Age]]&lt;=50,"Adult","Senior"))</f>
        <v>Senior</v>
      </c>
      <c r="T2968" s="1">
        <f>Table1[[#This Row],[Purchase Amount (USD)]]</f>
        <v>49</v>
      </c>
      <c r="U2968">
        <f>IF(Table1[[#This Row],[Subscription Status]]="Yes",1,IF(Table1[[#This Row],[Subscription Status]]="No",0))</f>
        <v>0</v>
      </c>
    </row>
    <row r="2969" spans="1:21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  <c r="S2969" t="str">
        <f>IF(Table1[[#This Row],[Age]]&lt;=25,"Young",IF(Table1[[#This Row],[Age]]&lt;=50,"Adult","Senior"))</f>
        <v>Adult</v>
      </c>
      <c r="T2969" s="1">
        <f>Table1[[#This Row],[Purchase Amount (USD)]]</f>
        <v>36</v>
      </c>
      <c r="U2969">
        <f>IF(Table1[[#This Row],[Subscription Status]]="Yes",1,IF(Table1[[#This Row],[Subscription Status]]="No",0))</f>
        <v>0</v>
      </c>
    </row>
    <row r="2970" spans="1:21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  <c r="S2970" t="str">
        <f>IF(Table1[[#This Row],[Age]]&lt;=25,"Young",IF(Table1[[#This Row],[Age]]&lt;=50,"Adult","Senior"))</f>
        <v>Adult</v>
      </c>
      <c r="T2970" s="1">
        <f>Table1[[#This Row],[Purchase Amount (USD)]]</f>
        <v>48</v>
      </c>
      <c r="U2970">
        <f>IF(Table1[[#This Row],[Subscription Status]]="Yes",1,IF(Table1[[#This Row],[Subscription Status]]="No",0))</f>
        <v>0</v>
      </c>
    </row>
    <row r="2971" spans="1:21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  <c r="S2971" t="str">
        <f>IF(Table1[[#This Row],[Age]]&lt;=25,"Young",IF(Table1[[#This Row],[Age]]&lt;=50,"Adult","Senior"))</f>
        <v>Adult</v>
      </c>
      <c r="T2971" s="1">
        <f>Table1[[#This Row],[Purchase Amount (USD)]]</f>
        <v>62</v>
      </c>
      <c r="U2971">
        <f>IF(Table1[[#This Row],[Subscription Status]]="Yes",1,IF(Table1[[#This Row],[Subscription Status]]="No",0))</f>
        <v>0</v>
      </c>
    </row>
    <row r="2972" spans="1:21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  <c r="S2972" t="str">
        <f>IF(Table1[[#This Row],[Age]]&lt;=25,"Young",IF(Table1[[#This Row],[Age]]&lt;=50,"Adult","Senior"))</f>
        <v>Young</v>
      </c>
      <c r="T2972" s="1">
        <f>Table1[[#This Row],[Purchase Amount (USD)]]</f>
        <v>74</v>
      </c>
      <c r="U2972">
        <f>IF(Table1[[#This Row],[Subscription Status]]="Yes",1,IF(Table1[[#This Row],[Subscription Status]]="No",0))</f>
        <v>0</v>
      </c>
    </row>
    <row r="2973" spans="1:21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  <c r="S2973" t="str">
        <f>IF(Table1[[#This Row],[Age]]&lt;=25,"Young",IF(Table1[[#This Row],[Age]]&lt;=50,"Adult","Senior"))</f>
        <v>Adult</v>
      </c>
      <c r="T2973" s="1">
        <f>Table1[[#This Row],[Purchase Amount (USD)]]</f>
        <v>100</v>
      </c>
      <c r="U2973">
        <f>IF(Table1[[#This Row],[Subscription Status]]="Yes",1,IF(Table1[[#This Row],[Subscription Status]]="No",0))</f>
        <v>0</v>
      </c>
    </row>
    <row r="2974" spans="1:21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  <c r="S2974" t="str">
        <f>IF(Table1[[#This Row],[Age]]&lt;=25,"Young",IF(Table1[[#This Row],[Age]]&lt;=50,"Adult","Senior"))</f>
        <v>Adult</v>
      </c>
      <c r="T2974" s="1">
        <f>Table1[[#This Row],[Purchase Amount (USD)]]</f>
        <v>39</v>
      </c>
      <c r="U2974">
        <f>IF(Table1[[#This Row],[Subscription Status]]="Yes",1,IF(Table1[[#This Row],[Subscription Status]]="No",0))</f>
        <v>0</v>
      </c>
    </row>
    <row r="2975" spans="1:21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  <c r="S2975" t="str">
        <f>IF(Table1[[#This Row],[Age]]&lt;=25,"Young",IF(Table1[[#This Row],[Age]]&lt;=50,"Adult","Senior"))</f>
        <v>Young</v>
      </c>
      <c r="T2975" s="1">
        <f>Table1[[#This Row],[Purchase Amount (USD)]]</f>
        <v>65</v>
      </c>
      <c r="U2975">
        <f>IF(Table1[[#This Row],[Subscription Status]]="Yes",1,IF(Table1[[#This Row],[Subscription Status]]="No",0))</f>
        <v>0</v>
      </c>
    </row>
    <row r="2976" spans="1:21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  <c r="S2976" t="str">
        <f>IF(Table1[[#This Row],[Age]]&lt;=25,"Young",IF(Table1[[#This Row],[Age]]&lt;=50,"Adult","Senior"))</f>
        <v>Senior</v>
      </c>
      <c r="T2976" s="1">
        <f>Table1[[#This Row],[Purchase Amount (USD)]]</f>
        <v>99</v>
      </c>
      <c r="U2976">
        <f>IF(Table1[[#This Row],[Subscription Status]]="Yes",1,IF(Table1[[#This Row],[Subscription Status]]="No",0))</f>
        <v>0</v>
      </c>
    </row>
    <row r="2977" spans="1:21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  <c r="S2977" t="str">
        <f>IF(Table1[[#This Row],[Age]]&lt;=25,"Young",IF(Table1[[#This Row],[Age]]&lt;=50,"Adult","Senior"))</f>
        <v>Senior</v>
      </c>
      <c r="T2977" s="1">
        <f>Table1[[#This Row],[Purchase Amount (USD)]]</f>
        <v>68</v>
      </c>
      <c r="U2977">
        <f>IF(Table1[[#This Row],[Subscription Status]]="Yes",1,IF(Table1[[#This Row],[Subscription Status]]="No",0))</f>
        <v>0</v>
      </c>
    </row>
    <row r="2978" spans="1:21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  <c r="S2978" t="str">
        <f>IF(Table1[[#This Row],[Age]]&lt;=25,"Young",IF(Table1[[#This Row],[Age]]&lt;=50,"Adult","Senior"))</f>
        <v>Adult</v>
      </c>
      <c r="T2978" s="1">
        <f>Table1[[#This Row],[Purchase Amount (USD)]]</f>
        <v>97</v>
      </c>
      <c r="U2978">
        <f>IF(Table1[[#This Row],[Subscription Status]]="Yes",1,IF(Table1[[#This Row],[Subscription Status]]="No",0))</f>
        <v>0</v>
      </c>
    </row>
    <row r="2979" spans="1:21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  <c r="S2979" t="str">
        <f>IF(Table1[[#This Row],[Age]]&lt;=25,"Young",IF(Table1[[#This Row],[Age]]&lt;=50,"Adult","Senior"))</f>
        <v>Adult</v>
      </c>
      <c r="T2979" s="1">
        <f>Table1[[#This Row],[Purchase Amount (USD)]]</f>
        <v>47</v>
      </c>
      <c r="U2979">
        <f>IF(Table1[[#This Row],[Subscription Status]]="Yes",1,IF(Table1[[#This Row],[Subscription Status]]="No",0))</f>
        <v>0</v>
      </c>
    </row>
    <row r="2980" spans="1:21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  <c r="S2980" t="str">
        <f>IF(Table1[[#This Row],[Age]]&lt;=25,"Young",IF(Table1[[#This Row],[Age]]&lt;=50,"Adult","Senior"))</f>
        <v>Senior</v>
      </c>
      <c r="T2980" s="1">
        <f>Table1[[#This Row],[Purchase Amount (USD)]]</f>
        <v>56</v>
      </c>
      <c r="U2980">
        <f>IF(Table1[[#This Row],[Subscription Status]]="Yes",1,IF(Table1[[#This Row],[Subscription Status]]="No",0))</f>
        <v>0</v>
      </c>
    </row>
    <row r="2981" spans="1:21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  <c r="S2981" t="str">
        <f>IF(Table1[[#This Row],[Age]]&lt;=25,"Young",IF(Table1[[#This Row],[Age]]&lt;=50,"Adult","Senior"))</f>
        <v>Adult</v>
      </c>
      <c r="T2981" s="1">
        <f>Table1[[#This Row],[Purchase Amount (USD)]]</f>
        <v>91</v>
      </c>
      <c r="U2981">
        <f>IF(Table1[[#This Row],[Subscription Status]]="Yes",1,IF(Table1[[#This Row],[Subscription Status]]="No",0))</f>
        <v>0</v>
      </c>
    </row>
    <row r="2982" spans="1:21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  <c r="S2982" t="str">
        <f>IF(Table1[[#This Row],[Age]]&lt;=25,"Young",IF(Table1[[#This Row],[Age]]&lt;=50,"Adult","Senior"))</f>
        <v>Senior</v>
      </c>
      <c r="T2982" s="1">
        <f>Table1[[#This Row],[Purchase Amount (USD)]]</f>
        <v>93</v>
      </c>
      <c r="U2982">
        <f>IF(Table1[[#This Row],[Subscription Status]]="Yes",1,IF(Table1[[#This Row],[Subscription Status]]="No",0))</f>
        <v>0</v>
      </c>
    </row>
    <row r="2983" spans="1:21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  <c r="S2983" t="str">
        <f>IF(Table1[[#This Row],[Age]]&lt;=25,"Young",IF(Table1[[#This Row],[Age]]&lt;=50,"Adult","Senior"))</f>
        <v>Young</v>
      </c>
      <c r="T2983" s="1">
        <f>Table1[[#This Row],[Purchase Amount (USD)]]</f>
        <v>36</v>
      </c>
      <c r="U2983">
        <f>IF(Table1[[#This Row],[Subscription Status]]="Yes",1,IF(Table1[[#This Row],[Subscription Status]]="No",0))</f>
        <v>0</v>
      </c>
    </row>
    <row r="2984" spans="1:21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  <c r="S2984" t="str">
        <f>IF(Table1[[#This Row],[Age]]&lt;=25,"Young",IF(Table1[[#This Row],[Age]]&lt;=50,"Adult","Senior"))</f>
        <v>Adult</v>
      </c>
      <c r="T2984" s="1">
        <f>Table1[[#This Row],[Purchase Amount (USD)]]</f>
        <v>45</v>
      </c>
      <c r="U2984">
        <f>IF(Table1[[#This Row],[Subscription Status]]="Yes",1,IF(Table1[[#This Row],[Subscription Status]]="No",0))</f>
        <v>0</v>
      </c>
    </row>
    <row r="2985" spans="1:21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  <c r="S2985" t="str">
        <f>IF(Table1[[#This Row],[Age]]&lt;=25,"Young",IF(Table1[[#This Row],[Age]]&lt;=50,"Adult","Senior"))</f>
        <v>Senior</v>
      </c>
      <c r="T2985" s="1">
        <f>Table1[[#This Row],[Purchase Amount (USD)]]</f>
        <v>44</v>
      </c>
      <c r="U2985">
        <f>IF(Table1[[#This Row],[Subscription Status]]="Yes",1,IF(Table1[[#This Row],[Subscription Status]]="No",0))</f>
        <v>0</v>
      </c>
    </row>
    <row r="2986" spans="1:21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  <c r="S2986" t="str">
        <f>IF(Table1[[#This Row],[Age]]&lt;=25,"Young",IF(Table1[[#This Row],[Age]]&lt;=50,"Adult","Senior"))</f>
        <v>Adult</v>
      </c>
      <c r="T2986" s="1">
        <f>Table1[[#This Row],[Purchase Amount (USD)]]</f>
        <v>32</v>
      </c>
      <c r="U2986">
        <f>IF(Table1[[#This Row],[Subscription Status]]="Yes",1,IF(Table1[[#This Row],[Subscription Status]]="No",0))</f>
        <v>0</v>
      </c>
    </row>
    <row r="2987" spans="1:21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  <c r="S2987" t="str">
        <f>IF(Table1[[#This Row],[Age]]&lt;=25,"Young",IF(Table1[[#This Row],[Age]]&lt;=50,"Adult","Senior"))</f>
        <v>Adult</v>
      </c>
      <c r="T2987" s="1">
        <f>Table1[[#This Row],[Purchase Amount (USD)]]</f>
        <v>36</v>
      </c>
      <c r="U2987">
        <f>IF(Table1[[#This Row],[Subscription Status]]="Yes",1,IF(Table1[[#This Row],[Subscription Status]]="No",0))</f>
        <v>0</v>
      </c>
    </row>
    <row r="2988" spans="1:21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  <c r="S2988" t="str">
        <f>IF(Table1[[#This Row],[Age]]&lt;=25,"Young",IF(Table1[[#This Row],[Age]]&lt;=50,"Adult","Senior"))</f>
        <v>Senior</v>
      </c>
      <c r="T2988" s="1">
        <f>Table1[[#This Row],[Purchase Amount (USD)]]</f>
        <v>85</v>
      </c>
      <c r="U2988">
        <f>IF(Table1[[#This Row],[Subscription Status]]="Yes",1,IF(Table1[[#This Row],[Subscription Status]]="No",0))</f>
        <v>0</v>
      </c>
    </row>
    <row r="2989" spans="1:21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  <c r="S2989" t="str">
        <f>IF(Table1[[#This Row],[Age]]&lt;=25,"Young",IF(Table1[[#This Row],[Age]]&lt;=50,"Adult","Senior"))</f>
        <v>Senior</v>
      </c>
      <c r="T2989" s="1">
        <f>Table1[[#This Row],[Purchase Amount (USD)]]</f>
        <v>36</v>
      </c>
      <c r="U2989">
        <f>IF(Table1[[#This Row],[Subscription Status]]="Yes",1,IF(Table1[[#This Row],[Subscription Status]]="No",0))</f>
        <v>0</v>
      </c>
    </row>
    <row r="2990" spans="1:21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  <c r="S2990" t="str">
        <f>IF(Table1[[#This Row],[Age]]&lt;=25,"Young",IF(Table1[[#This Row],[Age]]&lt;=50,"Adult","Senior"))</f>
        <v>Senior</v>
      </c>
      <c r="T2990" s="1">
        <f>Table1[[#This Row],[Purchase Amount (USD)]]</f>
        <v>55</v>
      </c>
      <c r="U2990">
        <f>IF(Table1[[#This Row],[Subscription Status]]="Yes",1,IF(Table1[[#This Row],[Subscription Status]]="No",0))</f>
        <v>0</v>
      </c>
    </row>
    <row r="2991" spans="1:21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  <c r="S2991" t="str">
        <f>IF(Table1[[#This Row],[Age]]&lt;=25,"Young",IF(Table1[[#This Row],[Age]]&lt;=50,"Adult","Senior"))</f>
        <v>Adult</v>
      </c>
      <c r="T2991" s="1">
        <f>Table1[[#This Row],[Purchase Amount (USD)]]</f>
        <v>20</v>
      </c>
      <c r="U2991">
        <f>IF(Table1[[#This Row],[Subscription Status]]="Yes",1,IF(Table1[[#This Row],[Subscription Status]]="No",0))</f>
        <v>0</v>
      </c>
    </row>
    <row r="2992" spans="1:21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  <c r="S2992" t="str">
        <f>IF(Table1[[#This Row],[Age]]&lt;=25,"Young",IF(Table1[[#This Row],[Age]]&lt;=50,"Adult","Senior"))</f>
        <v>Senior</v>
      </c>
      <c r="T2992" s="1">
        <f>Table1[[#This Row],[Purchase Amount (USD)]]</f>
        <v>91</v>
      </c>
      <c r="U2992">
        <f>IF(Table1[[#This Row],[Subscription Status]]="Yes",1,IF(Table1[[#This Row],[Subscription Status]]="No",0))</f>
        <v>0</v>
      </c>
    </row>
    <row r="2993" spans="1:21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  <c r="S2993" t="str">
        <f>IF(Table1[[#This Row],[Age]]&lt;=25,"Young",IF(Table1[[#This Row],[Age]]&lt;=50,"Adult","Senior"))</f>
        <v>Senior</v>
      </c>
      <c r="T2993" s="1">
        <f>Table1[[#This Row],[Purchase Amount (USD)]]</f>
        <v>71</v>
      </c>
      <c r="U2993">
        <f>IF(Table1[[#This Row],[Subscription Status]]="Yes",1,IF(Table1[[#This Row],[Subscription Status]]="No",0))</f>
        <v>0</v>
      </c>
    </row>
    <row r="2994" spans="1:21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  <c r="S2994" t="str">
        <f>IF(Table1[[#This Row],[Age]]&lt;=25,"Young",IF(Table1[[#This Row],[Age]]&lt;=50,"Adult","Senior"))</f>
        <v>Adult</v>
      </c>
      <c r="T2994" s="1">
        <f>Table1[[#This Row],[Purchase Amount (USD)]]</f>
        <v>64</v>
      </c>
      <c r="U2994">
        <f>IF(Table1[[#This Row],[Subscription Status]]="Yes",1,IF(Table1[[#This Row],[Subscription Status]]="No",0))</f>
        <v>0</v>
      </c>
    </row>
    <row r="2995" spans="1:21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  <c r="S2995" t="str">
        <f>IF(Table1[[#This Row],[Age]]&lt;=25,"Young",IF(Table1[[#This Row],[Age]]&lt;=50,"Adult","Senior"))</f>
        <v>Adult</v>
      </c>
      <c r="T2995" s="1">
        <f>Table1[[#This Row],[Purchase Amount (USD)]]</f>
        <v>21</v>
      </c>
      <c r="U2995">
        <f>IF(Table1[[#This Row],[Subscription Status]]="Yes",1,IF(Table1[[#This Row],[Subscription Status]]="No",0))</f>
        <v>0</v>
      </c>
    </row>
    <row r="2996" spans="1:21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  <c r="S2996" t="str">
        <f>IF(Table1[[#This Row],[Age]]&lt;=25,"Young",IF(Table1[[#This Row],[Age]]&lt;=50,"Adult","Senior"))</f>
        <v>Senior</v>
      </c>
      <c r="T2996" s="1">
        <f>Table1[[#This Row],[Purchase Amount (USD)]]</f>
        <v>100</v>
      </c>
      <c r="U2996">
        <f>IF(Table1[[#This Row],[Subscription Status]]="Yes",1,IF(Table1[[#This Row],[Subscription Status]]="No",0))</f>
        <v>0</v>
      </c>
    </row>
    <row r="2997" spans="1:21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  <c r="S2997" t="str">
        <f>IF(Table1[[#This Row],[Age]]&lt;=25,"Young",IF(Table1[[#This Row],[Age]]&lt;=50,"Adult","Senior"))</f>
        <v>Adult</v>
      </c>
      <c r="T2997" s="1">
        <f>Table1[[#This Row],[Purchase Amount (USD)]]</f>
        <v>96</v>
      </c>
      <c r="U2997">
        <f>IF(Table1[[#This Row],[Subscription Status]]="Yes",1,IF(Table1[[#This Row],[Subscription Status]]="No",0))</f>
        <v>0</v>
      </c>
    </row>
    <row r="2998" spans="1:21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  <c r="S2998" t="str">
        <f>IF(Table1[[#This Row],[Age]]&lt;=25,"Young",IF(Table1[[#This Row],[Age]]&lt;=50,"Adult","Senior"))</f>
        <v>Senior</v>
      </c>
      <c r="T2998" s="1">
        <f>Table1[[#This Row],[Purchase Amount (USD)]]</f>
        <v>91</v>
      </c>
      <c r="U2998">
        <f>IF(Table1[[#This Row],[Subscription Status]]="Yes",1,IF(Table1[[#This Row],[Subscription Status]]="No",0))</f>
        <v>0</v>
      </c>
    </row>
    <row r="2999" spans="1:21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  <c r="S2999" t="str">
        <f>IF(Table1[[#This Row],[Age]]&lt;=25,"Young",IF(Table1[[#This Row],[Age]]&lt;=50,"Adult","Senior"))</f>
        <v>Adult</v>
      </c>
      <c r="T2999" s="1">
        <f>Table1[[#This Row],[Purchase Amount (USD)]]</f>
        <v>40</v>
      </c>
      <c r="U2999">
        <f>IF(Table1[[#This Row],[Subscription Status]]="Yes",1,IF(Table1[[#This Row],[Subscription Status]]="No",0))</f>
        <v>0</v>
      </c>
    </row>
    <row r="3000" spans="1:21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  <c r="S3000" t="str">
        <f>IF(Table1[[#This Row],[Age]]&lt;=25,"Young",IF(Table1[[#This Row],[Age]]&lt;=50,"Adult","Senior"))</f>
        <v>Adult</v>
      </c>
      <c r="T3000" s="1">
        <f>Table1[[#This Row],[Purchase Amount (USD)]]</f>
        <v>53</v>
      </c>
      <c r="U3000">
        <f>IF(Table1[[#This Row],[Subscription Status]]="Yes",1,IF(Table1[[#This Row],[Subscription Status]]="No",0))</f>
        <v>0</v>
      </c>
    </row>
    <row r="3001" spans="1:21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  <c r="S3001" t="str">
        <f>IF(Table1[[#This Row],[Age]]&lt;=25,"Young",IF(Table1[[#This Row],[Age]]&lt;=50,"Adult","Senior"))</f>
        <v>Adult</v>
      </c>
      <c r="T3001" s="1">
        <f>Table1[[#This Row],[Purchase Amount (USD)]]</f>
        <v>48</v>
      </c>
      <c r="U3001">
        <f>IF(Table1[[#This Row],[Subscription Status]]="Yes",1,IF(Table1[[#This Row],[Subscription Status]]="No",0))</f>
        <v>0</v>
      </c>
    </row>
    <row r="3002" spans="1:21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  <c r="S3002" t="str">
        <f>IF(Table1[[#This Row],[Age]]&lt;=25,"Young",IF(Table1[[#This Row],[Age]]&lt;=50,"Adult","Senior"))</f>
        <v>Senior</v>
      </c>
      <c r="T3002" s="1">
        <f>Table1[[#This Row],[Purchase Amount (USD)]]</f>
        <v>70</v>
      </c>
      <c r="U3002">
        <f>IF(Table1[[#This Row],[Subscription Status]]="Yes",1,IF(Table1[[#This Row],[Subscription Status]]="No",0))</f>
        <v>0</v>
      </c>
    </row>
    <row r="3003" spans="1:21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  <c r="S3003" t="str">
        <f>IF(Table1[[#This Row],[Age]]&lt;=25,"Young",IF(Table1[[#This Row],[Age]]&lt;=50,"Adult","Senior"))</f>
        <v>Adult</v>
      </c>
      <c r="T3003" s="1">
        <f>Table1[[#This Row],[Purchase Amount (USD)]]</f>
        <v>29</v>
      </c>
      <c r="U3003">
        <f>IF(Table1[[#This Row],[Subscription Status]]="Yes",1,IF(Table1[[#This Row],[Subscription Status]]="No",0))</f>
        <v>0</v>
      </c>
    </row>
    <row r="3004" spans="1:21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  <c r="S3004" t="str">
        <f>IF(Table1[[#This Row],[Age]]&lt;=25,"Young",IF(Table1[[#This Row],[Age]]&lt;=50,"Adult","Senior"))</f>
        <v>Senior</v>
      </c>
      <c r="T3004" s="1">
        <f>Table1[[#This Row],[Purchase Amount (USD)]]</f>
        <v>29</v>
      </c>
      <c r="U3004">
        <f>IF(Table1[[#This Row],[Subscription Status]]="Yes",1,IF(Table1[[#This Row],[Subscription Status]]="No",0))</f>
        <v>0</v>
      </c>
    </row>
    <row r="3005" spans="1:21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  <c r="S3005" t="str">
        <f>IF(Table1[[#This Row],[Age]]&lt;=25,"Young",IF(Table1[[#This Row],[Age]]&lt;=50,"Adult","Senior"))</f>
        <v>Senior</v>
      </c>
      <c r="T3005" s="1">
        <f>Table1[[#This Row],[Purchase Amount (USD)]]</f>
        <v>53</v>
      </c>
      <c r="U3005">
        <f>IF(Table1[[#This Row],[Subscription Status]]="Yes",1,IF(Table1[[#This Row],[Subscription Status]]="No",0))</f>
        <v>0</v>
      </c>
    </row>
    <row r="3006" spans="1:21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  <c r="S3006" t="str">
        <f>IF(Table1[[#This Row],[Age]]&lt;=25,"Young",IF(Table1[[#This Row],[Age]]&lt;=50,"Adult","Senior"))</f>
        <v>Adult</v>
      </c>
      <c r="T3006" s="1">
        <f>Table1[[#This Row],[Purchase Amount (USD)]]</f>
        <v>79</v>
      </c>
      <c r="U3006">
        <f>IF(Table1[[#This Row],[Subscription Status]]="Yes",1,IF(Table1[[#This Row],[Subscription Status]]="No",0))</f>
        <v>0</v>
      </c>
    </row>
    <row r="3007" spans="1:21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  <c r="S3007" t="str">
        <f>IF(Table1[[#This Row],[Age]]&lt;=25,"Young",IF(Table1[[#This Row],[Age]]&lt;=50,"Adult","Senior"))</f>
        <v>Young</v>
      </c>
      <c r="T3007" s="1">
        <f>Table1[[#This Row],[Purchase Amount (USD)]]</f>
        <v>65</v>
      </c>
      <c r="U3007">
        <f>IF(Table1[[#This Row],[Subscription Status]]="Yes",1,IF(Table1[[#This Row],[Subscription Status]]="No",0))</f>
        <v>0</v>
      </c>
    </row>
    <row r="3008" spans="1:21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  <c r="S3008" t="str">
        <f>IF(Table1[[#This Row],[Age]]&lt;=25,"Young",IF(Table1[[#This Row],[Age]]&lt;=50,"Adult","Senior"))</f>
        <v>Adult</v>
      </c>
      <c r="T3008" s="1">
        <f>Table1[[#This Row],[Purchase Amount (USD)]]</f>
        <v>99</v>
      </c>
      <c r="U3008">
        <f>IF(Table1[[#This Row],[Subscription Status]]="Yes",1,IF(Table1[[#This Row],[Subscription Status]]="No",0))</f>
        <v>0</v>
      </c>
    </row>
    <row r="3009" spans="1:21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  <c r="S3009" t="str">
        <f>IF(Table1[[#This Row],[Age]]&lt;=25,"Young",IF(Table1[[#This Row],[Age]]&lt;=50,"Adult","Senior"))</f>
        <v>Young</v>
      </c>
      <c r="T3009" s="1">
        <f>Table1[[#This Row],[Purchase Amount (USD)]]</f>
        <v>60</v>
      </c>
      <c r="U3009">
        <f>IF(Table1[[#This Row],[Subscription Status]]="Yes",1,IF(Table1[[#This Row],[Subscription Status]]="No",0))</f>
        <v>0</v>
      </c>
    </row>
    <row r="3010" spans="1:21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  <c r="S3010" t="str">
        <f>IF(Table1[[#This Row],[Age]]&lt;=25,"Young",IF(Table1[[#This Row],[Age]]&lt;=50,"Adult","Senior"))</f>
        <v>Adult</v>
      </c>
      <c r="T3010" s="1">
        <f>Table1[[#This Row],[Purchase Amount (USD)]]</f>
        <v>86</v>
      </c>
      <c r="U3010">
        <f>IF(Table1[[#This Row],[Subscription Status]]="Yes",1,IF(Table1[[#This Row],[Subscription Status]]="No",0))</f>
        <v>0</v>
      </c>
    </row>
    <row r="3011" spans="1:21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  <c r="S3011" t="str">
        <f>IF(Table1[[#This Row],[Age]]&lt;=25,"Young",IF(Table1[[#This Row],[Age]]&lt;=50,"Adult","Senior"))</f>
        <v>Senior</v>
      </c>
      <c r="T3011" s="1">
        <f>Table1[[#This Row],[Purchase Amount (USD)]]</f>
        <v>73</v>
      </c>
      <c r="U3011">
        <f>IF(Table1[[#This Row],[Subscription Status]]="Yes",1,IF(Table1[[#This Row],[Subscription Status]]="No",0))</f>
        <v>0</v>
      </c>
    </row>
    <row r="3012" spans="1:21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  <c r="S3012" t="str">
        <f>IF(Table1[[#This Row],[Age]]&lt;=25,"Young",IF(Table1[[#This Row],[Age]]&lt;=50,"Adult","Senior"))</f>
        <v>Senior</v>
      </c>
      <c r="T3012" s="1">
        <f>Table1[[#This Row],[Purchase Amount (USD)]]</f>
        <v>45</v>
      </c>
      <c r="U3012">
        <f>IF(Table1[[#This Row],[Subscription Status]]="Yes",1,IF(Table1[[#This Row],[Subscription Status]]="No",0))</f>
        <v>0</v>
      </c>
    </row>
    <row r="3013" spans="1:21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  <c r="S3013" t="str">
        <f>IF(Table1[[#This Row],[Age]]&lt;=25,"Young",IF(Table1[[#This Row],[Age]]&lt;=50,"Adult","Senior"))</f>
        <v>Young</v>
      </c>
      <c r="T3013" s="1">
        <f>Table1[[#This Row],[Purchase Amount (USD)]]</f>
        <v>70</v>
      </c>
      <c r="U3013">
        <f>IF(Table1[[#This Row],[Subscription Status]]="Yes",1,IF(Table1[[#This Row],[Subscription Status]]="No",0))</f>
        <v>0</v>
      </c>
    </row>
    <row r="3014" spans="1:21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  <c r="S3014" t="str">
        <f>IF(Table1[[#This Row],[Age]]&lt;=25,"Young",IF(Table1[[#This Row],[Age]]&lt;=50,"Adult","Senior"))</f>
        <v>Adult</v>
      </c>
      <c r="T3014" s="1">
        <f>Table1[[#This Row],[Purchase Amount (USD)]]</f>
        <v>65</v>
      </c>
      <c r="U3014">
        <f>IF(Table1[[#This Row],[Subscription Status]]="Yes",1,IF(Table1[[#This Row],[Subscription Status]]="No",0))</f>
        <v>0</v>
      </c>
    </row>
    <row r="3015" spans="1:21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  <c r="S3015" t="str">
        <f>IF(Table1[[#This Row],[Age]]&lt;=25,"Young",IF(Table1[[#This Row],[Age]]&lt;=50,"Adult","Senior"))</f>
        <v>Adult</v>
      </c>
      <c r="T3015" s="1">
        <f>Table1[[#This Row],[Purchase Amount (USD)]]</f>
        <v>55</v>
      </c>
      <c r="U3015">
        <f>IF(Table1[[#This Row],[Subscription Status]]="Yes",1,IF(Table1[[#This Row],[Subscription Status]]="No",0))</f>
        <v>0</v>
      </c>
    </row>
    <row r="3016" spans="1:21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  <c r="S3016" t="str">
        <f>IF(Table1[[#This Row],[Age]]&lt;=25,"Young",IF(Table1[[#This Row],[Age]]&lt;=50,"Adult","Senior"))</f>
        <v>Young</v>
      </c>
      <c r="T3016" s="1">
        <f>Table1[[#This Row],[Purchase Amount (USD)]]</f>
        <v>65</v>
      </c>
      <c r="U3016">
        <f>IF(Table1[[#This Row],[Subscription Status]]="Yes",1,IF(Table1[[#This Row],[Subscription Status]]="No",0))</f>
        <v>0</v>
      </c>
    </row>
    <row r="3017" spans="1:21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  <c r="S3017" t="str">
        <f>IF(Table1[[#This Row],[Age]]&lt;=25,"Young",IF(Table1[[#This Row],[Age]]&lt;=50,"Adult","Senior"))</f>
        <v>Adult</v>
      </c>
      <c r="T3017" s="1">
        <f>Table1[[#This Row],[Purchase Amount (USD)]]</f>
        <v>21</v>
      </c>
      <c r="U3017">
        <f>IF(Table1[[#This Row],[Subscription Status]]="Yes",1,IF(Table1[[#This Row],[Subscription Status]]="No",0))</f>
        <v>0</v>
      </c>
    </row>
    <row r="3018" spans="1:21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  <c r="S3018" t="str">
        <f>IF(Table1[[#This Row],[Age]]&lt;=25,"Young",IF(Table1[[#This Row],[Age]]&lt;=50,"Adult","Senior"))</f>
        <v>Adult</v>
      </c>
      <c r="T3018" s="1">
        <f>Table1[[#This Row],[Purchase Amount (USD)]]</f>
        <v>26</v>
      </c>
      <c r="U3018">
        <f>IF(Table1[[#This Row],[Subscription Status]]="Yes",1,IF(Table1[[#This Row],[Subscription Status]]="No",0))</f>
        <v>0</v>
      </c>
    </row>
    <row r="3019" spans="1:21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  <c r="S3019" t="str">
        <f>IF(Table1[[#This Row],[Age]]&lt;=25,"Young",IF(Table1[[#This Row],[Age]]&lt;=50,"Adult","Senior"))</f>
        <v>Senior</v>
      </c>
      <c r="T3019" s="1">
        <f>Table1[[#This Row],[Purchase Amount (USD)]]</f>
        <v>71</v>
      </c>
      <c r="U3019">
        <f>IF(Table1[[#This Row],[Subscription Status]]="Yes",1,IF(Table1[[#This Row],[Subscription Status]]="No",0))</f>
        <v>0</v>
      </c>
    </row>
    <row r="3020" spans="1:21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  <c r="S3020" t="str">
        <f>IF(Table1[[#This Row],[Age]]&lt;=25,"Young",IF(Table1[[#This Row],[Age]]&lt;=50,"Adult","Senior"))</f>
        <v>Adult</v>
      </c>
      <c r="T3020" s="1">
        <f>Table1[[#This Row],[Purchase Amount (USD)]]</f>
        <v>41</v>
      </c>
      <c r="U3020">
        <f>IF(Table1[[#This Row],[Subscription Status]]="Yes",1,IF(Table1[[#This Row],[Subscription Status]]="No",0))</f>
        <v>0</v>
      </c>
    </row>
    <row r="3021" spans="1:21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  <c r="S3021" t="str">
        <f>IF(Table1[[#This Row],[Age]]&lt;=25,"Young",IF(Table1[[#This Row],[Age]]&lt;=50,"Adult","Senior"))</f>
        <v>Young</v>
      </c>
      <c r="T3021" s="1">
        <f>Table1[[#This Row],[Purchase Amount (USD)]]</f>
        <v>44</v>
      </c>
      <c r="U3021">
        <f>IF(Table1[[#This Row],[Subscription Status]]="Yes",1,IF(Table1[[#This Row],[Subscription Status]]="No",0))</f>
        <v>0</v>
      </c>
    </row>
    <row r="3022" spans="1:21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  <c r="S3022" t="str">
        <f>IF(Table1[[#This Row],[Age]]&lt;=25,"Young",IF(Table1[[#This Row],[Age]]&lt;=50,"Adult","Senior"))</f>
        <v>Young</v>
      </c>
      <c r="T3022" s="1">
        <f>Table1[[#This Row],[Purchase Amount (USD)]]</f>
        <v>81</v>
      </c>
      <c r="U3022">
        <f>IF(Table1[[#This Row],[Subscription Status]]="Yes",1,IF(Table1[[#This Row],[Subscription Status]]="No",0))</f>
        <v>0</v>
      </c>
    </row>
    <row r="3023" spans="1:21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  <c r="S3023" t="str">
        <f>IF(Table1[[#This Row],[Age]]&lt;=25,"Young",IF(Table1[[#This Row],[Age]]&lt;=50,"Adult","Senior"))</f>
        <v>Senior</v>
      </c>
      <c r="T3023" s="1">
        <f>Table1[[#This Row],[Purchase Amount (USD)]]</f>
        <v>77</v>
      </c>
      <c r="U3023">
        <f>IF(Table1[[#This Row],[Subscription Status]]="Yes",1,IF(Table1[[#This Row],[Subscription Status]]="No",0))</f>
        <v>0</v>
      </c>
    </row>
    <row r="3024" spans="1:21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  <c r="S3024" t="str">
        <f>IF(Table1[[#This Row],[Age]]&lt;=25,"Young",IF(Table1[[#This Row],[Age]]&lt;=50,"Adult","Senior"))</f>
        <v>Senior</v>
      </c>
      <c r="T3024" s="1">
        <f>Table1[[#This Row],[Purchase Amount (USD)]]</f>
        <v>26</v>
      </c>
      <c r="U3024">
        <f>IF(Table1[[#This Row],[Subscription Status]]="Yes",1,IF(Table1[[#This Row],[Subscription Status]]="No",0))</f>
        <v>0</v>
      </c>
    </row>
    <row r="3025" spans="1:21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  <c r="S3025" t="str">
        <f>IF(Table1[[#This Row],[Age]]&lt;=25,"Young",IF(Table1[[#This Row],[Age]]&lt;=50,"Adult","Senior"))</f>
        <v>Adult</v>
      </c>
      <c r="T3025" s="1">
        <f>Table1[[#This Row],[Purchase Amount (USD)]]</f>
        <v>31</v>
      </c>
      <c r="U3025">
        <f>IF(Table1[[#This Row],[Subscription Status]]="Yes",1,IF(Table1[[#This Row],[Subscription Status]]="No",0))</f>
        <v>0</v>
      </c>
    </row>
    <row r="3026" spans="1:21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  <c r="S3026" t="str">
        <f>IF(Table1[[#This Row],[Age]]&lt;=25,"Young",IF(Table1[[#This Row],[Age]]&lt;=50,"Adult","Senior"))</f>
        <v>Senior</v>
      </c>
      <c r="T3026" s="1">
        <f>Table1[[#This Row],[Purchase Amount (USD)]]</f>
        <v>82</v>
      </c>
      <c r="U3026">
        <f>IF(Table1[[#This Row],[Subscription Status]]="Yes",1,IF(Table1[[#This Row],[Subscription Status]]="No",0))</f>
        <v>0</v>
      </c>
    </row>
    <row r="3027" spans="1:21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  <c r="S3027" t="str">
        <f>IF(Table1[[#This Row],[Age]]&lt;=25,"Young",IF(Table1[[#This Row],[Age]]&lt;=50,"Adult","Senior"))</f>
        <v>Adult</v>
      </c>
      <c r="T3027" s="1">
        <f>Table1[[#This Row],[Purchase Amount (USD)]]</f>
        <v>60</v>
      </c>
      <c r="U3027">
        <f>IF(Table1[[#This Row],[Subscription Status]]="Yes",1,IF(Table1[[#This Row],[Subscription Status]]="No",0))</f>
        <v>0</v>
      </c>
    </row>
    <row r="3028" spans="1:21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  <c r="S3028" t="str">
        <f>IF(Table1[[#This Row],[Age]]&lt;=25,"Young",IF(Table1[[#This Row],[Age]]&lt;=50,"Adult","Senior"))</f>
        <v>Senior</v>
      </c>
      <c r="T3028" s="1">
        <f>Table1[[#This Row],[Purchase Amount (USD)]]</f>
        <v>70</v>
      </c>
      <c r="U3028">
        <f>IF(Table1[[#This Row],[Subscription Status]]="Yes",1,IF(Table1[[#This Row],[Subscription Status]]="No",0))</f>
        <v>0</v>
      </c>
    </row>
    <row r="3029" spans="1:21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  <c r="S3029" t="str">
        <f>IF(Table1[[#This Row],[Age]]&lt;=25,"Young",IF(Table1[[#This Row],[Age]]&lt;=50,"Adult","Senior"))</f>
        <v>Senior</v>
      </c>
      <c r="T3029" s="1">
        <f>Table1[[#This Row],[Purchase Amount (USD)]]</f>
        <v>26</v>
      </c>
      <c r="U3029">
        <f>IF(Table1[[#This Row],[Subscription Status]]="Yes",1,IF(Table1[[#This Row],[Subscription Status]]="No",0))</f>
        <v>0</v>
      </c>
    </row>
    <row r="3030" spans="1:21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  <c r="S3030" t="str">
        <f>IF(Table1[[#This Row],[Age]]&lt;=25,"Young",IF(Table1[[#This Row],[Age]]&lt;=50,"Adult","Senior"))</f>
        <v>Senior</v>
      </c>
      <c r="T3030" s="1">
        <f>Table1[[#This Row],[Purchase Amount (USD)]]</f>
        <v>100</v>
      </c>
      <c r="U3030">
        <f>IF(Table1[[#This Row],[Subscription Status]]="Yes",1,IF(Table1[[#This Row],[Subscription Status]]="No",0))</f>
        <v>0</v>
      </c>
    </row>
    <row r="3031" spans="1:21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  <c r="S3031" t="str">
        <f>IF(Table1[[#This Row],[Age]]&lt;=25,"Young",IF(Table1[[#This Row],[Age]]&lt;=50,"Adult","Senior"))</f>
        <v>Senior</v>
      </c>
      <c r="T3031" s="1">
        <f>Table1[[#This Row],[Purchase Amount (USD)]]</f>
        <v>82</v>
      </c>
      <c r="U3031">
        <f>IF(Table1[[#This Row],[Subscription Status]]="Yes",1,IF(Table1[[#This Row],[Subscription Status]]="No",0))</f>
        <v>0</v>
      </c>
    </row>
    <row r="3032" spans="1:21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  <c r="S3032" t="str">
        <f>IF(Table1[[#This Row],[Age]]&lt;=25,"Young",IF(Table1[[#This Row],[Age]]&lt;=50,"Adult","Senior"))</f>
        <v>Adult</v>
      </c>
      <c r="T3032" s="1">
        <f>Table1[[#This Row],[Purchase Amount (USD)]]</f>
        <v>24</v>
      </c>
      <c r="U3032">
        <f>IF(Table1[[#This Row],[Subscription Status]]="Yes",1,IF(Table1[[#This Row],[Subscription Status]]="No",0))</f>
        <v>0</v>
      </c>
    </row>
    <row r="3033" spans="1:21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  <c r="S3033" t="str">
        <f>IF(Table1[[#This Row],[Age]]&lt;=25,"Young",IF(Table1[[#This Row],[Age]]&lt;=50,"Adult","Senior"))</f>
        <v>Senior</v>
      </c>
      <c r="T3033" s="1">
        <f>Table1[[#This Row],[Purchase Amount (USD)]]</f>
        <v>74</v>
      </c>
      <c r="U3033">
        <f>IF(Table1[[#This Row],[Subscription Status]]="Yes",1,IF(Table1[[#This Row],[Subscription Status]]="No",0))</f>
        <v>0</v>
      </c>
    </row>
    <row r="3034" spans="1:21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  <c r="S3034" t="str">
        <f>IF(Table1[[#This Row],[Age]]&lt;=25,"Young",IF(Table1[[#This Row],[Age]]&lt;=50,"Adult","Senior"))</f>
        <v>Adult</v>
      </c>
      <c r="T3034" s="1">
        <f>Table1[[#This Row],[Purchase Amount (USD)]]</f>
        <v>58</v>
      </c>
      <c r="U3034">
        <f>IF(Table1[[#This Row],[Subscription Status]]="Yes",1,IF(Table1[[#This Row],[Subscription Status]]="No",0))</f>
        <v>0</v>
      </c>
    </row>
    <row r="3035" spans="1:21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  <c r="S3035" t="str">
        <f>IF(Table1[[#This Row],[Age]]&lt;=25,"Young",IF(Table1[[#This Row],[Age]]&lt;=50,"Adult","Senior"))</f>
        <v>Young</v>
      </c>
      <c r="T3035" s="1">
        <f>Table1[[#This Row],[Purchase Amount (USD)]]</f>
        <v>56</v>
      </c>
      <c r="U3035">
        <f>IF(Table1[[#This Row],[Subscription Status]]="Yes",1,IF(Table1[[#This Row],[Subscription Status]]="No",0))</f>
        <v>0</v>
      </c>
    </row>
    <row r="3036" spans="1:21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  <c r="S3036" t="str">
        <f>IF(Table1[[#This Row],[Age]]&lt;=25,"Young",IF(Table1[[#This Row],[Age]]&lt;=50,"Adult","Senior"))</f>
        <v>Senior</v>
      </c>
      <c r="T3036" s="1">
        <f>Table1[[#This Row],[Purchase Amount (USD)]]</f>
        <v>37</v>
      </c>
      <c r="U3036">
        <f>IF(Table1[[#This Row],[Subscription Status]]="Yes",1,IF(Table1[[#This Row],[Subscription Status]]="No",0))</f>
        <v>0</v>
      </c>
    </row>
    <row r="3037" spans="1:21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  <c r="S3037" t="str">
        <f>IF(Table1[[#This Row],[Age]]&lt;=25,"Young",IF(Table1[[#This Row],[Age]]&lt;=50,"Adult","Senior"))</f>
        <v>Senior</v>
      </c>
      <c r="T3037" s="1">
        <f>Table1[[#This Row],[Purchase Amount (USD)]]</f>
        <v>64</v>
      </c>
      <c r="U3037">
        <f>IF(Table1[[#This Row],[Subscription Status]]="Yes",1,IF(Table1[[#This Row],[Subscription Status]]="No",0))</f>
        <v>0</v>
      </c>
    </row>
    <row r="3038" spans="1:21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  <c r="S3038" t="str">
        <f>IF(Table1[[#This Row],[Age]]&lt;=25,"Young",IF(Table1[[#This Row],[Age]]&lt;=50,"Adult","Senior"))</f>
        <v>Adult</v>
      </c>
      <c r="T3038" s="1">
        <f>Table1[[#This Row],[Purchase Amount (USD)]]</f>
        <v>58</v>
      </c>
      <c r="U3038">
        <f>IF(Table1[[#This Row],[Subscription Status]]="Yes",1,IF(Table1[[#This Row],[Subscription Status]]="No",0))</f>
        <v>0</v>
      </c>
    </row>
    <row r="3039" spans="1:21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  <c r="S3039" t="str">
        <f>IF(Table1[[#This Row],[Age]]&lt;=25,"Young",IF(Table1[[#This Row],[Age]]&lt;=50,"Adult","Senior"))</f>
        <v>Senior</v>
      </c>
      <c r="T3039" s="1">
        <f>Table1[[#This Row],[Purchase Amount (USD)]]</f>
        <v>44</v>
      </c>
      <c r="U3039">
        <f>IF(Table1[[#This Row],[Subscription Status]]="Yes",1,IF(Table1[[#This Row],[Subscription Status]]="No",0))</f>
        <v>0</v>
      </c>
    </row>
    <row r="3040" spans="1:21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  <c r="S3040" t="str">
        <f>IF(Table1[[#This Row],[Age]]&lt;=25,"Young",IF(Table1[[#This Row],[Age]]&lt;=50,"Adult","Senior"))</f>
        <v>Senior</v>
      </c>
      <c r="T3040" s="1">
        <f>Table1[[#This Row],[Purchase Amount (USD)]]</f>
        <v>39</v>
      </c>
      <c r="U3040">
        <f>IF(Table1[[#This Row],[Subscription Status]]="Yes",1,IF(Table1[[#This Row],[Subscription Status]]="No",0))</f>
        <v>0</v>
      </c>
    </row>
    <row r="3041" spans="1:21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  <c r="S3041" t="str">
        <f>IF(Table1[[#This Row],[Age]]&lt;=25,"Young",IF(Table1[[#This Row],[Age]]&lt;=50,"Adult","Senior"))</f>
        <v>Senior</v>
      </c>
      <c r="T3041" s="1">
        <f>Table1[[#This Row],[Purchase Amount (USD)]]</f>
        <v>48</v>
      </c>
      <c r="U3041">
        <f>IF(Table1[[#This Row],[Subscription Status]]="Yes",1,IF(Table1[[#This Row],[Subscription Status]]="No",0))</f>
        <v>0</v>
      </c>
    </row>
    <row r="3042" spans="1:21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  <c r="S3042" t="str">
        <f>IF(Table1[[#This Row],[Age]]&lt;=25,"Young",IF(Table1[[#This Row],[Age]]&lt;=50,"Adult","Senior"))</f>
        <v>Young</v>
      </c>
      <c r="T3042" s="1">
        <f>Table1[[#This Row],[Purchase Amount (USD)]]</f>
        <v>32</v>
      </c>
      <c r="U3042">
        <f>IF(Table1[[#This Row],[Subscription Status]]="Yes",1,IF(Table1[[#This Row],[Subscription Status]]="No",0))</f>
        <v>0</v>
      </c>
    </row>
    <row r="3043" spans="1:21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  <c r="S3043" t="str">
        <f>IF(Table1[[#This Row],[Age]]&lt;=25,"Young",IF(Table1[[#This Row],[Age]]&lt;=50,"Adult","Senior"))</f>
        <v>Adult</v>
      </c>
      <c r="T3043" s="1">
        <f>Table1[[#This Row],[Purchase Amount (USD)]]</f>
        <v>79</v>
      </c>
      <c r="U3043">
        <f>IF(Table1[[#This Row],[Subscription Status]]="Yes",1,IF(Table1[[#This Row],[Subscription Status]]="No",0))</f>
        <v>0</v>
      </c>
    </row>
    <row r="3044" spans="1:21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  <c r="S3044" t="str">
        <f>IF(Table1[[#This Row],[Age]]&lt;=25,"Young",IF(Table1[[#This Row],[Age]]&lt;=50,"Adult","Senior"))</f>
        <v>Senior</v>
      </c>
      <c r="T3044" s="1">
        <f>Table1[[#This Row],[Purchase Amount (USD)]]</f>
        <v>27</v>
      </c>
      <c r="U3044">
        <f>IF(Table1[[#This Row],[Subscription Status]]="Yes",1,IF(Table1[[#This Row],[Subscription Status]]="No",0))</f>
        <v>0</v>
      </c>
    </row>
    <row r="3045" spans="1:21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  <c r="S3045" t="str">
        <f>IF(Table1[[#This Row],[Age]]&lt;=25,"Young",IF(Table1[[#This Row],[Age]]&lt;=50,"Adult","Senior"))</f>
        <v>Adult</v>
      </c>
      <c r="T3045" s="1">
        <f>Table1[[#This Row],[Purchase Amount (USD)]]</f>
        <v>98</v>
      </c>
      <c r="U3045">
        <f>IF(Table1[[#This Row],[Subscription Status]]="Yes",1,IF(Table1[[#This Row],[Subscription Status]]="No",0))</f>
        <v>0</v>
      </c>
    </row>
    <row r="3046" spans="1:21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  <c r="S3046" t="str">
        <f>IF(Table1[[#This Row],[Age]]&lt;=25,"Young",IF(Table1[[#This Row],[Age]]&lt;=50,"Adult","Senior"))</f>
        <v>Young</v>
      </c>
      <c r="T3046" s="1">
        <f>Table1[[#This Row],[Purchase Amount (USD)]]</f>
        <v>67</v>
      </c>
      <c r="U3046">
        <f>IF(Table1[[#This Row],[Subscription Status]]="Yes",1,IF(Table1[[#This Row],[Subscription Status]]="No",0))</f>
        <v>0</v>
      </c>
    </row>
    <row r="3047" spans="1:21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  <c r="S3047" t="str">
        <f>IF(Table1[[#This Row],[Age]]&lt;=25,"Young",IF(Table1[[#This Row],[Age]]&lt;=50,"Adult","Senior"))</f>
        <v>Adult</v>
      </c>
      <c r="T3047" s="1">
        <f>Table1[[#This Row],[Purchase Amount (USD)]]</f>
        <v>37</v>
      </c>
      <c r="U3047">
        <f>IF(Table1[[#This Row],[Subscription Status]]="Yes",1,IF(Table1[[#This Row],[Subscription Status]]="No",0))</f>
        <v>0</v>
      </c>
    </row>
    <row r="3048" spans="1:21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  <c r="S3048" t="str">
        <f>IF(Table1[[#This Row],[Age]]&lt;=25,"Young",IF(Table1[[#This Row],[Age]]&lt;=50,"Adult","Senior"))</f>
        <v>Senior</v>
      </c>
      <c r="T3048" s="1">
        <f>Table1[[#This Row],[Purchase Amount (USD)]]</f>
        <v>49</v>
      </c>
      <c r="U3048">
        <f>IF(Table1[[#This Row],[Subscription Status]]="Yes",1,IF(Table1[[#This Row],[Subscription Status]]="No",0))</f>
        <v>0</v>
      </c>
    </row>
    <row r="3049" spans="1:21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  <c r="S3049" t="str">
        <f>IF(Table1[[#This Row],[Age]]&lt;=25,"Young",IF(Table1[[#This Row],[Age]]&lt;=50,"Adult","Senior"))</f>
        <v>Young</v>
      </c>
      <c r="T3049" s="1">
        <f>Table1[[#This Row],[Purchase Amount (USD)]]</f>
        <v>74</v>
      </c>
      <c r="U3049">
        <f>IF(Table1[[#This Row],[Subscription Status]]="Yes",1,IF(Table1[[#This Row],[Subscription Status]]="No",0))</f>
        <v>0</v>
      </c>
    </row>
    <row r="3050" spans="1:21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  <c r="S3050" t="str">
        <f>IF(Table1[[#This Row],[Age]]&lt;=25,"Young",IF(Table1[[#This Row],[Age]]&lt;=50,"Adult","Senior"))</f>
        <v>Senior</v>
      </c>
      <c r="T3050" s="1">
        <f>Table1[[#This Row],[Purchase Amount (USD)]]</f>
        <v>93</v>
      </c>
      <c r="U3050">
        <f>IF(Table1[[#This Row],[Subscription Status]]="Yes",1,IF(Table1[[#This Row],[Subscription Status]]="No",0))</f>
        <v>0</v>
      </c>
    </row>
    <row r="3051" spans="1:21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  <c r="S3051" t="str">
        <f>IF(Table1[[#This Row],[Age]]&lt;=25,"Young",IF(Table1[[#This Row],[Age]]&lt;=50,"Adult","Senior"))</f>
        <v>Adult</v>
      </c>
      <c r="T3051" s="1">
        <f>Table1[[#This Row],[Purchase Amount (USD)]]</f>
        <v>60</v>
      </c>
      <c r="U3051">
        <f>IF(Table1[[#This Row],[Subscription Status]]="Yes",1,IF(Table1[[#This Row],[Subscription Status]]="No",0))</f>
        <v>0</v>
      </c>
    </row>
    <row r="3052" spans="1:21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  <c r="S3052" t="str">
        <f>IF(Table1[[#This Row],[Age]]&lt;=25,"Young",IF(Table1[[#This Row],[Age]]&lt;=50,"Adult","Senior"))</f>
        <v>Adult</v>
      </c>
      <c r="T3052" s="1">
        <f>Table1[[#This Row],[Purchase Amount (USD)]]</f>
        <v>76</v>
      </c>
      <c r="U3052">
        <f>IF(Table1[[#This Row],[Subscription Status]]="Yes",1,IF(Table1[[#This Row],[Subscription Status]]="No",0))</f>
        <v>0</v>
      </c>
    </row>
    <row r="3053" spans="1:21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  <c r="S3053" t="str">
        <f>IF(Table1[[#This Row],[Age]]&lt;=25,"Young",IF(Table1[[#This Row],[Age]]&lt;=50,"Adult","Senior"))</f>
        <v>Adult</v>
      </c>
      <c r="T3053" s="1">
        <f>Table1[[#This Row],[Purchase Amount (USD)]]</f>
        <v>64</v>
      </c>
      <c r="U3053">
        <f>IF(Table1[[#This Row],[Subscription Status]]="Yes",1,IF(Table1[[#This Row],[Subscription Status]]="No",0))</f>
        <v>0</v>
      </c>
    </row>
    <row r="3054" spans="1:21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  <c r="S3054" t="str">
        <f>IF(Table1[[#This Row],[Age]]&lt;=25,"Young",IF(Table1[[#This Row],[Age]]&lt;=50,"Adult","Senior"))</f>
        <v>Adult</v>
      </c>
      <c r="T3054" s="1">
        <f>Table1[[#This Row],[Purchase Amount (USD)]]</f>
        <v>38</v>
      </c>
      <c r="U3054">
        <f>IF(Table1[[#This Row],[Subscription Status]]="Yes",1,IF(Table1[[#This Row],[Subscription Status]]="No",0))</f>
        <v>0</v>
      </c>
    </row>
    <row r="3055" spans="1:21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  <c r="S3055" t="str">
        <f>IF(Table1[[#This Row],[Age]]&lt;=25,"Young",IF(Table1[[#This Row],[Age]]&lt;=50,"Adult","Senior"))</f>
        <v>Adult</v>
      </c>
      <c r="T3055" s="1">
        <f>Table1[[#This Row],[Purchase Amount (USD)]]</f>
        <v>91</v>
      </c>
      <c r="U3055">
        <f>IF(Table1[[#This Row],[Subscription Status]]="Yes",1,IF(Table1[[#This Row],[Subscription Status]]="No",0))</f>
        <v>0</v>
      </c>
    </row>
    <row r="3056" spans="1:21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  <c r="S3056" t="str">
        <f>IF(Table1[[#This Row],[Age]]&lt;=25,"Young",IF(Table1[[#This Row],[Age]]&lt;=50,"Adult","Senior"))</f>
        <v>Adult</v>
      </c>
      <c r="T3056" s="1">
        <f>Table1[[#This Row],[Purchase Amount (USD)]]</f>
        <v>70</v>
      </c>
      <c r="U3056">
        <f>IF(Table1[[#This Row],[Subscription Status]]="Yes",1,IF(Table1[[#This Row],[Subscription Status]]="No",0))</f>
        <v>0</v>
      </c>
    </row>
    <row r="3057" spans="1:21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  <c r="S3057" t="str">
        <f>IF(Table1[[#This Row],[Age]]&lt;=25,"Young",IF(Table1[[#This Row],[Age]]&lt;=50,"Adult","Senior"))</f>
        <v>Adult</v>
      </c>
      <c r="T3057" s="1">
        <f>Table1[[#This Row],[Purchase Amount (USD)]]</f>
        <v>22</v>
      </c>
      <c r="U3057">
        <f>IF(Table1[[#This Row],[Subscription Status]]="Yes",1,IF(Table1[[#This Row],[Subscription Status]]="No",0))</f>
        <v>0</v>
      </c>
    </row>
    <row r="3058" spans="1:21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  <c r="S3058" t="str">
        <f>IF(Table1[[#This Row],[Age]]&lt;=25,"Young",IF(Table1[[#This Row],[Age]]&lt;=50,"Adult","Senior"))</f>
        <v>Senior</v>
      </c>
      <c r="T3058" s="1">
        <f>Table1[[#This Row],[Purchase Amount (USD)]]</f>
        <v>59</v>
      </c>
      <c r="U3058">
        <f>IF(Table1[[#This Row],[Subscription Status]]="Yes",1,IF(Table1[[#This Row],[Subscription Status]]="No",0))</f>
        <v>0</v>
      </c>
    </row>
    <row r="3059" spans="1:21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  <c r="S3059" t="str">
        <f>IF(Table1[[#This Row],[Age]]&lt;=25,"Young",IF(Table1[[#This Row],[Age]]&lt;=50,"Adult","Senior"))</f>
        <v>Senior</v>
      </c>
      <c r="T3059" s="1">
        <f>Table1[[#This Row],[Purchase Amount (USD)]]</f>
        <v>22</v>
      </c>
      <c r="U3059">
        <f>IF(Table1[[#This Row],[Subscription Status]]="Yes",1,IF(Table1[[#This Row],[Subscription Status]]="No",0))</f>
        <v>0</v>
      </c>
    </row>
    <row r="3060" spans="1:21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  <c r="S3060" t="str">
        <f>IF(Table1[[#This Row],[Age]]&lt;=25,"Young",IF(Table1[[#This Row],[Age]]&lt;=50,"Adult","Senior"))</f>
        <v>Adult</v>
      </c>
      <c r="T3060" s="1">
        <f>Table1[[#This Row],[Purchase Amount (USD)]]</f>
        <v>74</v>
      </c>
      <c r="U3060">
        <f>IF(Table1[[#This Row],[Subscription Status]]="Yes",1,IF(Table1[[#This Row],[Subscription Status]]="No",0))</f>
        <v>0</v>
      </c>
    </row>
    <row r="3061" spans="1:21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  <c r="S3061" t="str">
        <f>IF(Table1[[#This Row],[Age]]&lt;=25,"Young",IF(Table1[[#This Row],[Age]]&lt;=50,"Adult","Senior"))</f>
        <v>Adult</v>
      </c>
      <c r="T3061" s="1">
        <f>Table1[[#This Row],[Purchase Amount (USD)]]</f>
        <v>71</v>
      </c>
      <c r="U3061">
        <f>IF(Table1[[#This Row],[Subscription Status]]="Yes",1,IF(Table1[[#This Row],[Subscription Status]]="No",0))</f>
        <v>0</v>
      </c>
    </row>
    <row r="3062" spans="1:21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  <c r="S3062" t="str">
        <f>IF(Table1[[#This Row],[Age]]&lt;=25,"Young",IF(Table1[[#This Row],[Age]]&lt;=50,"Adult","Senior"))</f>
        <v>Adult</v>
      </c>
      <c r="T3062" s="1">
        <f>Table1[[#This Row],[Purchase Amount (USD)]]</f>
        <v>80</v>
      </c>
      <c r="U3062">
        <f>IF(Table1[[#This Row],[Subscription Status]]="Yes",1,IF(Table1[[#This Row],[Subscription Status]]="No",0))</f>
        <v>0</v>
      </c>
    </row>
    <row r="3063" spans="1:21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  <c r="S3063" t="str">
        <f>IF(Table1[[#This Row],[Age]]&lt;=25,"Young",IF(Table1[[#This Row],[Age]]&lt;=50,"Adult","Senior"))</f>
        <v>Adult</v>
      </c>
      <c r="T3063" s="1">
        <f>Table1[[#This Row],[Purchase Amount (USD)]]</f>
        <v>59</v>
      </c>
      <c r="U3063">
        <f>IF(Table1[[#This Row],[Subscription Status]]="Yes",1,IF(Table1[[#This Row],[Subscription Status]]="No",0))</f>
        <v>0</v>
      </c>
    </row>
    <row r="3064" spans="1:21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  <c r="S3064" t="str">
        <f>IF(Table1[[#This Row],[Age]]&lt;=25,"Young",IF(Table1[[#This Row],[Age]]&lt;=50,"Adult","Senior"))</f>
        <v>Senior</v>
      </c>
      <c r="T3064" s="1">
        <f>Table1[[#This Row],[Purchase Amount (USD)]]</f>
        <v>96</v>
      </c>
      <c r="U3064">
        <f>IF(Table1[[#This Row],[Subscription Status]]="Yes",1,IF(Table1[[#This Row],[Subscription Status]]="No",0))</f>
        <v>0</v>
      </c>
    </row>
    <row r="3065" spans="1:21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  <c r="S3065" t="str">
        <f>IF(Table1[[#This Row],[Age]]&lt;=25,"Young",IF(Table1[[#This Row],[Age]]&lt;=50,"Adult","Senior"))</f>
        <v>Adult</v>
      </c>
      <c r="T3065" s="1">
        <f>Table1[[#This Row],[Purchase Amount (USD)]]</f>
        <v>43</v>
      </c>
      <c r="U3065">
        <f>IF(Table1[[#This Row],[Subscription Status]]="Yes",1,IF(Table1[[#This Row],[Subscription Status]]="No",0))</f>
        <v>0</v>
      </c>
    </row>
    <row r="3066" spans="1:21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  <c r="S3066" t="str">
        <f>IF(Table1[[#This Row],[Age]]&lt;=25,"Young",IF(Table1[[#This Row],[Age]]&lt;=50,"Adult","Senior"))</f>
        <v>Young</v>
      </c>
      <c r="T3066" s="1">
        <f>Table1[[#This Row],[Purchase Amount (USD)]]</f>
        <v>76</v>
      </c>
      <c r="U3066">
        <f>IF(Table1[[#This Row],[Subscription Status]]="Yes",1,IF(Table1[[#This Row],[Subscription Status]]="No",0))</f>
        <v>0</v>
      </c>
    </row>
    <row r="3067" spans="1:21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  <c r="S3067" t="str">
        <f>IF(Table1[[#This Row],[Age]]&lt;=25,"Young",IF(Table1[[#This Row],[Age]]&lt;=50,"Adult","Senior"))</f>
        <v>Adult</v>
      </c>
      <c r="T3067" s="1">
        <f>Table1[[#This Row],[Purchase Amount (USD)]]</f>
        <v>59</v>
      </c>
      <c r="U3067">
        <f>IF(Table1[[#This Row],[Subscription Status]]="Yes",1,IF(Table1[[#This Row],[Subscription Status]]="No",0))</f>
        <v>0</v>
      </c>
    </row>
    <row r="3068" spans="1:21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  <c r="S3068" t="str">
        <f>IF(Table1[[#This Row],[Age]]&lt;=25,"Young",IF(Table1[[#This Row],[Age]]&lt;=50,"Adult","Senior"))</f>
        <v>Senior</v>
      </c>
      <c r="T3068" s="1">
        <f>Table1[[#This Row],[Purchase Amount (USD)]]</f>
        <v>48</v>
      </c>
      <c r="U3068">
        <f>IF(Table1[[#This Row],[Subscription Status]]="Yes",1,IF(Table1[[#This Row],[Subscription Status]]="No",0))</f>
        <v>0</v>
      </c>
    </row>
    <row r="3069" spans="1:21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  <c r="S3069" t="str">
        <f>IF(Table1[[#This Row],[Age]]&lt;=25,"Young",IF(Table1[[#This Row],[Age]]&lt;=50,"Adult","Senior"))</f>
        <v>Senior</v>
      </c>
      <c r="T3069" s="1">
        <f>Table1[[#This Row],[Purchase Amount (USD)]]</f>
        <v>22</v>
      </c>
      <c r="U3069">
        <f>IF(Table1[[#This Row],[Subscription Status]]="Yes",1,IF(Table1[[#This Row],[Subscription Status]]="No",0))</f>
        <v>0</v>
      </c>
    </row>
    <row r="3070" spans="1:21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  <c r="S3070" t="str">
        <f>IF(Table1[[#This Row],[Age]]&lt;=25,"Young",IF(Table1[[#This Row],[Age]]&lt;=50,"Adult","Senior"))</f>
        <v>Adult</v>
      </c>
      <c r="T3070" s="1">
        <f>Table1[[#This Row],[Purchase Amount (USD)]]</f>
        <v>40</v>
      </c>
      <c r="U3070">
        <f>IF(Table1[[#This Row],[Subscription Status]]="Yes",1,IF(Table1[[#This Row],[Subscription Status]]="No",0))</f>
        <v>0</v>
      </c>
    </row>
    <row r="3071" spans="1:21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  <c r="S3071" t="str">
        <f>IF(Table1[[#This Row],[Age]]&lt;=25,"Young",IF(Table1[[#This Row],[Age]]&lt;=50,"Adult","Senior"))</f>
        <v>Senior</v>
      </c>
      <c r="T3071" s="1">
        <f>Table1[[#This Row],[Purchase Amount (USD)]]</f>
        <v>73</v>
      </c>
      <c r="U3071">
        <f>IF(Table1[[#This Row],[Subscription Status]]="Yes",1,IF(Table1[[#This Row],[Subscription Status]]="No",0))</f>
        <v>0</v>
      </c>
    </row>
    <row r="3072" spans="1:21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  <c r="S3072" t="str">
        <f>IF(Table1[[#This Row],[Age]]&lt;=25,"Young",IF(Table1[[#This Row],[Age]]&lt;=50,"Adult","Senior"))</f>
        <v>Senior</v>
      </c>
      <c r="T3072" s="1">
        <f>Table1[[#This Row],[Purchase Amount (USD)]]</f>
        <v>26</v>
      </c>
      <c r="U3072">
        <f>IF(Table1[[#This Row],[Subscription Status]]="Yes",1,IF(Table1[[#This Row],[Subscription Status]]="No",0))</f>
        <v>0</v>
      </c>
    </row>
    <row r="3073" spans="1:21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  <c r="S3073" t="str">
        <f>IF(Table1[[#This Row],[Age]]&lt;=25,"Young",IF(Table1[[#This Row],[Age]]&lt;=50,"Adult","Senior"))</f>
        <v>Young</v>
      </c>
      <c r="T3073" s="1">
        <f>Table1[[#This Row],[Purchase Amount (USD)]]</f>
        <v>41</v>
      </c>
      <c r="U3073">
        <f>IF(Table1[[#This Row],[Subscription Status]]="Yes",1,IF(Table1[[#This Row],[Subscription Status]]="No",0))</f>
        <v>0</v>
      </c>
    </row>
    <row r="3074" spans="1:21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  <c r="S3074" t="str">
        <f>IF(Table1[[#This Row],[Age]]&lt;=25,"Young",IF(Table1[[#This Row],[Age]]&lt;=50,"Adult","Senior"))</f>
        <v>Adult</v>
      </c>
      <c r="T3074" s="1">
        <f>Table1[[#This Row],[Purchase Amount (USD)]]</f>
        <v>98</v>
      </c>
      <c r="U3074">
        <f>IF(Table1[[#This Row],[Subscription Status]]="Yes",1,IF(Table1[[#This Row],[Subscription Status]]="No",0))</f>
        <v>0</v>
      </c>
    </row>
    <row r="3075" spans="1:21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  <c r="S3075" t="str">
        <f>IF(Table1[[#This Row],[Age]]&lt;=25,"Young",IF(Table1[[#This Row],[Age]]&lt;=50,"Adult","Senior"))</f>
        <v>Senior</v>
      </c>
      <c r="T3075" s="1">
        <f>Table1[[#This Row],[Purchase Amount (USD)]]</f>
        <v>63</v>
      </c>
      <c r="U3075">
        <f>IF(Table1[[#This Row],[Subscription Status]]="Yes",1,IF(Table1[[#This Row],[Subscription Status]]="No",0))</f>
        <v>0</v>
      </c>
    </row>
    <row r="3076" spans="1:21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  <c r="S3076" t="str">
        <f>IF(Table1[[#This Row],[Age]]&lt;=25,"Young",IF(Table1[[#This Row],[Age]]&lt;=50,"Adult","Senior"))</f>
        <v>Adult</v>
      </c>
      <c r="T3076" s="1">
        <f>Table1[[#This Row],[Purchase Amount (USD)]]</f>
        <v>55</v>
      </c>
      <c r="U3076">
        <f>IF(Table1[[#This Row],[Subscription Status]]="Yes",1,IF(Table1[[#This Row],[Subscription Status]]="No",0))</f>
        <v>0</v>
      </c>
    </row>
    <row r="3077" spans="1:21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  <c r="S3077" t="str">
        <f>IF(Table1[[#This Row],[Age]]&lt;=25,"Young",IF(Table1[[#This Row],[Age]]&lt;=50,"Adult","Senior"))</f>
        <v>Senior</v>
      </c>
      <c r="T3077" s="1">
        <f>Table1[[#This Row],[Purchase Amount (USD)]]</f>
        <v>90</v>
      </c>
      <c r="U3077">
        <f>IF(Table1[[#This Row],[Subscription Status]]="Yes",1,IF(Table1[[#This Row],[Subscription Status]]="No",0))</f>
        <v>0</v>
      </c>
    </row>
    <row r="3078" spans="1:21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  <c r="S3078" t="str">
        <f>IF(Table1[[#This Row],[Age]]&lt;=25,"Young",IF(Table1[[#This Row],[Age]]&lt;=50,"Adult","Senior"))</f>
        <v>Senior</v>
      </c>
      <c r="T3078" s="1">
        <f>Table1[[#This Row],[Purchase Amount (USD)]]</f>
        <v>46</v>
      </c>
      <c r="U3078">
        <f>IF(Table1[[#This Row],[Subscription Status]]="Yes",1,IF(Table1[[#This Row],[Subscription Status]]="No",0))</f>
        <v>0</v>
      </c>
    </row>
    <row r="3079" spans="1:21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  <c r="S3079" t="str">
        <f>IF(Table1[[#This Row],[Age]]&lt;=25,"Young",IF(Table1[[#This Row],[Age]]&lt;=50,"Adult","Senior"))</f>
        <v>Senior</v>
      </c>
      <c r="T3079" s="1">
        <f>Table1[[#This Row],[Purchase Amount (USD)]]</f>
        <v>88</v>
      </c>
      <c r="U3079">
        <f>IF(Table1[[#This Row],[Subscription Status]]="Yes",1,IF(Table1[[#This Row],[Subscription Status]]="No",0))</f>
        <v>0</v>
      </c>
    </row>
    <row r="3080" spans="1:21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  <c r="S3080" t="str">
        <f>IF(Table1[[#This Row],[Age]]&lt;=25,"Young",IF(Table1[[#This Row],[Age]]&lt;=50,"Adult","Senior"))</f>
        <v>Adult</v>
      </c>
      <c r="T3080" s="1">
        <f>Table1[[#This Row],[Purchase Amount (USD)]]</f>
        <v>95</v>
      </c>
      <c r="U3080">
        <f>IF(Table1[[#This Row],[Subscription Status]]="Yes",1,IF(Table1[[#This Row],[Subscription Status]]="No",0))</f>
        <v>0</v>
      </c>
    </row>
    <row r="3081" spans="1:21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  <c r="S3081" t="str">
        <f>IF(Table1[[#This Row],[Age]]&lt;=25,"Young",IF(Table1[[#This Row],[Age]]&lt;=50,"Adult","Senior"))</f>
        <v>Adult</v>
      </c>
      <c r="T3081" s="1">
        <f>Table1[[#This Row],[Purchase Amount (USD)]]</f>
        <v>31</v>
      </c>
      <c r="U3081">
        <f>IF(Table1[[#This Row],[Subscription Status]]="Yes",1,IF(Table1[[#This Row],[Subscription Status]]="No",0))</f>
        <v>0</v>
      </c>
    </row>
    <row r="3082" spans="1:21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  <c r="S3082" t="str">
        <f>IF(Table1[[#This Row],[Age]]&lt;=25,"Young",IF(Table1[[#This Row],[Age]]&lt;=50,"Adult","Senior"))</f>
        <v>Senior</v>
      </c>
      <c r="T3082" s="1">
        <f>Table1[[#This Row],[Purchase Amount (USD)]]</f>
        <v>42</v>
      </c>
      <c r="U3082">
        <f>IF(Table1[[#This Row],[Subscription Status]]="Yes",1,IF(Table1[[#This Row],[Subscription Status]]="No",0))</f>
        <v>0</v>
      </c>
    </row>
    <row r="3083" spans="1:21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  <c r="S3083" t="str">
        <f>IF(Table1[[#This Row],[Age]]&lt;=25,"Young",IF(Table1[[#This Row],[Age]]&lt;=50,"Adult","Senior"))</f>
        <v>Senior</v>
      </c>
      <c r="T3083" s="1">
        <f>Table1[[#This Row],[Purchase Amount (USD)]]</f>
        <v>44</v>
      </c>
      <c r="U3083">
        <f>IF(Table1[[#This Row],[Subscription Status]]="Yes",1,IF(Table1[[#This Row],[Subscription Status]]="No",0))</f>
        <v>0</v>
      </c>
    </row>
    <row r="3084" spans="1:21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  <c r="S3084" t="str">
        <f>IF(Table1[[#This Row],[Age]]&lt;=25,"Young",IF(Table1[[#This Row],[Age]]&lt;=50,"Adult","Senior"))</f>
        <v>Senior</v>
      </c>
      <c r="T3084" s="1">
        <f>Table1[[#This Row],[Purchase Amount (USD)]]</f>
        <v>99</v>
      </c>
      <c r="U3084">
        <f>IF(Table1[[#This Row],[Subscription Status]]="Yes",1,IF(Table1[[#This Row],[Subscription Status]]="No",0))</f>
        <v>0</v>
      </c>
    </row>
    <row r="3085" spans="1:21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  <c r="S3085" t="str">
        <f>IF(Table1[[#This Row],[Age]]&lt;=25,"Young",IF(Table1[[#This Row],[Age]]&lt;=50,"Adult","Senior"))</f>
        <v>Young</v>
      </c>
      <c r="T3085" s="1">
        <f>Table1[[#This Row],[Purchase Amount (USD)]]</f>
        <v>20</v>
      </c>
      <c r="U3085">
        <f>IF(Table1[[#This Row],[Subscription Status]]="Yes",1,IF(Table1[[#This Row],[Subscription Status]]="No",0))</f>
        <v>0</v>
      </c>
    </row>
    <row r="3086" spans="1:21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  <c r="S3086" t="str">
        <f>IF(Table1[[#This Row],[Age]]&lt;=25,"Young",IF(Table1[[#This Row],[Age]]&lt;=50,"Adult","Senior"))</f>
        <v>Adult</v>
      </c>
      <c r="T3086" s="1">
        <f>Table1[[#This Row],[Purchase Amount (USD)]]</f>
        <v>37</v>
      </c>
      <c r="U3086">
        <f>IF(Table1[[#This Row],[Subscription Status]]="Yes",1,IF(Table1[[#This Row],[Subscription Status]]="No",0))</f>
        <v>0</v>
      </c>
    </row>
    <row r="3087" spans="1:21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  <c r="S3087" t="str">
        <f>IF(Table1[[#This Row],[Age]]&lt;=25,"Young",IF(Table1[[#This Row],[Age]]&lt;=50,"Adult","Senior"))</f>
        <v>Young</v>
      </c>
      <c r="T3087" s="1">
        <f>Table1[[#This Row],[Purchase Amount (USD)]]</f>
        <v>50</v>
      </c>
      <c r="U3087">
        <f>IF(Table1[[#This Row],[Subscription Status]]="Yes",1,IF(Table1[[#This Row],[Subscription Status]]="No",0))</f>
        <v>0</v>
      </c>
    </row>
    <row r="3088" spans="1:21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  <c r="S3088" t="str">
        <f>IF(Table1[[#This Row],[Age]]&lt;=25,"Young",IF(Table1[[#This Row],[Age]]&lt;=50,"Adult","Senior"))</f>
        <v>Adult</v>
      </c>
      <c r="T3088" s="1">
        <f>Table1[[#This Row],[Purchase Amount (USD)]]</f>
        <v>73</v>
      </c>
      <c r="U3088">
        <f>IF(Table1[[#This Row],[Subscription Status]]="Yes",1,IF(Table1[[#This Row],[Subscription Status]]="No",0))</f>
        <v>0</v>
      </c>
    </row>
    <row r="3089" spans="1:21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  <c r="S3089" t="str">
        <f>IF(Table1[[#This Row],[Age]]&lt;=25,"Young",IF(Table1[[#This Row],[Age]]&lt;=50,"Adult","Senior"))</f>
        <v>Senior</v>
      </c>
      <c r="T3089" s="1">
        <f>Table1[[#This Row],[Purchase Amount (USD)]]</f>
        <v>84</v>
      </c>
      <c r="U3089">
        <f>IF(Table1[[#This Row],[Subscription Status]]="Yes",1,IF(Table1[[#This Row],[Subscription Status]]="No",0))</f>
        <v>0</v>
      </c>
    </row>
    <row r="3090" spans="1:21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  <c r="S3090" t="str">
        <f>IF(Table1[[#This Row],[Age]]&lt;=25,"Young",IF(Table1[[#This Row],[Age]]&lt;=50,"Adult","Senior"))</f>
        <v>Adult</v>
      </c>
      <c r="T3090" s="1">
        <f>Table1[[#This Row],[Purchase Amount (USD)]]</f>
        <v>64</v>
      </c>
      <c r="U3090">
        <f>IF(Table1[[#This Row],[Subscription Status]]="Yes",1,IF(Table1[[#This Row],[Subscription Status]]="No",0))</f>
        <v>0</v>
      </c>
    </row>
    <row r="3091" spans="1:21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  <c r="S3091" t="str">
        <f>IF(Table1[[#This Row],[Age]]&lt;=25,"Young",IF(Table1[[#This Row],[Age]]&lt;=50,"Adult","Senior"))</f>
        <v>Adult</v>
      </c>
      <c r="T3091" s="1">
        <f>Table1[[#This Row],[Purchase Amount (USD)]]</f>
        <v>21</v>
      </c>
      <c r="U3091">
        <f>IF(Table1[[#This Row],[Subscription Status]]="Yes",1,IF(Table1[[#This Row],[Subscription Status]]="No",0))</f>
        <v>0</v>
      </c>
    </row>
    <row r="3092" spans="1:21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  <c r="S3092" t="str">
        <f>IF(Table1[[#This Row],[Age]]&lt;=25,"Young",IF(Table1[[#This Row],[Age]]&lt;=50,"Adult","Senior"))</f>
        <v>Adult</v>
      </c>
      <c r="T3092" s="1">
        <f>Table1[[#This Row],[Purchase Amount (USD)]]</f>
        <v>36</v>
      </c>
      <c r="U3092">
        <f>IF(Table1[[#This Row],[Subscription Status]]="Yes",1,IF(Table1[[#This Row],[Subscription Status]]="No",0))</f>
        <v>0</v>
      </c>
    </row>
    <row r="3093" spans="1:21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  <c r="S3093" t="str">
        <f>IF(Table1[[#This Row],[Age]]&lt;=25,"Young",IF(Table1[[#This Row],[Age]]&lt;=50,"Adult","Senior"))</f>
        <v>Senior</v>
      </c>
      <c r="T3093" s="1">
        <f>Table1[[#This Row],[Purchase Amount (USD)]]</f>
        <v>81</v>
      </c>
      <c r="U3093">
        <f>IF(Table1[[#This Row],[Subscription Status]]="Yes",1,IF(Table1[[#This Row],[Subscription Status]]="No",0))</f>
        <v>0</v>
      </c>
    </row>
    <row r="3094" spans="1:21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  <c r="S3094" t="str">
        <f>IF(Table1[[#This Row],[Age]]&lt;=25,"Young",IF(Table1[[#This Row],[Age]]&lt;=50,"Adult","Senior"))</f>
        <v>Senior</v>
      </c>
      <c r="T3094" s="1">
        <f>Table1[[#This Row],[Purchase Amount (USD)]]</f>
        <v>54</v>
      </c>
      <c r="U3094">
        <f>IF(Table1[[#This Row],[Subscription Status]]="Yes",1,IF(Table1[[#This Row],[Subscription Status]]="No",0))</f>
        <v>0</v>
      </c>
    </row>
    <row r="3095" spans="1:21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  <c r="S3095" t="str">
        <f>IF(Table1[[#This Row],[Age]]&lt;=25,"Young",IF(Table1[[#This Row],[Age]]&lt;=50,"Adult","Senior"))</f>
        <v>Adult</v>
      </c>
      <c r="T3095" s="1">
        <f>Table1[[#This Row],[Purchase Amount (USD)]]</f>
        <v>63</v>
      </c>
      <c r="U3095">
        <f>IF(Table1[[#This Row],[Subscription Status]]="Yes",1,IF(Table1[[#This Row],[Subscription Status]]="No",0))</f>
        <v>0</v>
      </c>
    </row>
    <row r="3096" spans="1:21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  <c r="S3096" t="str">
        <f>IF(Table1[[#This Row],[Age]]&lt;=25,"Young",IF(Table1[[#This Row],[Age]]&lt;=50,"Adult","Senior"))</f>
        <v>Young</v>
      </c>
      <c r="T3096" s="1">
        <f>Table1[[#This Row],[Purchase Amount (USD)]]</f>
        <v>59</v>
      </c>
      <c r="U3096">
        <f>IF(Table1[[#This Row],[Subscription Status]]="Yes",1,IF(Table1[[#This Row],[Subscription Status]]="No",0))</f>
        <v>0</v>
      </c>
    </row>
    <row r="3097" spans="1:21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  <c r="S3097" t="str">
        <f>IF(Table1[[#This Row],[Age]]&lt;=25,"Young",IF(Table1[[#This Row],[Age]]&lt;=50,"Adult","Senior"))</f>
        <v>Senior</v>
      </c>
      <c r="T3097" s="1">
        <f>Table1[[#This Row],[Purchase Amount (USD)]]</f>
        <v>53</v>
      </c>
      <c r="U3097">
        <f>IF(Table1[[#This Row],[Subscription Status]]="Yes",1,IF(Table1[[#This Row],[Subscription Status]]="No",0))</f>
        <v>0</v>
      </c>
    </row>
    <row r="3098" spans="1:21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  <c r="S3098" t="str">
        <f>IF(Table1[[#This Row],[Age]]&lt;=25,"Young",IF(Table1[[#This Row],[Age]]&lt;=50,"Adult","Senior"))</f>
        <v>Senior</v>
      </c>
      <c r="T3098" s="1">
        <f>Table1[[#This Row],[Purchase Amount (USD)]]</f>
        <v>63</v>
      </c>
      <c r="U3098">
        <f>IF(Table1[[#This Row],[Subscription Status]]="Yes",1,IF(Table1[[#This Row],[Subscription Status]]="No",0))</f>
        <v>0</v>
      </c>
    </row>
    <row r="3099" spans="1:21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  <c r="S3099" t="str">
        <f>IF(Table1[[#This Row],[Age]]&lt;=25,"Young",IF(Table1[[#This Row],[Age]]&lt;=50,"Adult","Senior"))</f>
        <v>Adult</v>
      </c>
      <c r="T3099" s="1">
        <f>Table1[[#This Row],[Purchase Amount (USD)]]</f>
        <v>33</v>
      </c>
      <c r="U3099">
        <f>IF(Table1[[#This Row],[Subscription Status]]="Yes",1,IF(Table1[[#This Row],[Subscription Status]]="No",0))</f>
        <v>0</v>
      </c>
    </row>
    <row r="3100" spans="1:21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  <c r="S3100" t="str">
        <f>IF(Table1[[#This Row],[Age]]&lt;=25,"Young",IF(Table1[[#This Row],[Age]]&lt;=50,"Adult","Senior"))</f>
        <v>Senior</v>
      </c>
      <c r="T3100" s="1">
        <f>Table1[[#This Row],[Purchase Amount (USD)]]</f>
        <v>64</v>
      </c>
      <c r="U3100">
        <f>IF(Table1[[#This Row],[Subscription Status]]="Yes",1,IF(Table1[[#This Row],[Subscription Status]]="No",0))</f>
        <v>0</v>
      </c>
    </row>
    <row r="3101" spans="1:21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  <c r="S3101" t="str">
        <f>IF(Table1[[#This Row],[Age]]&lt;=25,"Young",IF(Table1[[#This Row],[Age]]&lt;=50,"Adult","Senior"))</f>
        <v>Adult</v>
      </c>
      <c r="T3101" s="1">
        <f>Table1[[#This Row],[Purchase Amount (USD)]]</f>
        <v>98</v>
      </c>
      <c r="U3101">
        <f>IF(Table1[[#This Row],[Subscription Status]]="Yes",1,IF(Table1[[#This Row],[Subscription Status]]="No",0))</f>
        <v>0</v>
      </c>
    </row>
    <row r="3102" spans="1:21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  <c r="S3102" t="str">
        <f>IF(Table1[[#This Row],[Age]]&lt;=25,"Young",IF(Table1[[#This Row],[Age]]&lt;=50,"Adult","Senior"))</f>
        <v>Adult</v>
      </c>
      <c r="T3102" s="1">
        <f>Table1[[#This Row],[Purchase Amount (USD)]]</f>
        <v>85</v>
      </c>
      <c r="U3102">
        <f>IF(Table1[[#This Row],[Subscription Status]]="Yes",1,IF(Table1[[#This Row],[Subscription Status]]="No",0))</f>
        <v>0</v>
      </c>
    </row>
    <row r="3103" spans="1:21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  <c r="S3103" t="str">
        <f>IF(Table1[[#This Row],[Age]]&lt;=25,"Young",IF(Table1[[#This Row],[Age]]&lt;=50,"Adult","Senior"))</f>
        <v>Adult</v>
      </c>
      <c r="T3103" s="1">
        <f>Table1[[#This Row],[Purchase Amount (USD)]]</f>
        <v>82</v>
      </c>
      <c r="U3103">
        <f>IF(Table1[[#This Row],[Subscription Status]]="Yes",1,IF(Table1[[#This Row],[Subscription Status]]="No",0))</f>
        <v>0</v>
      </c>
    </row>
    <row r="3104" spans="1:21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  <c r="S3104" t="str">
        <f>IF(Table1[[#This Row],[Age]]&lt;=25,"Young",IF(Table1[[#This Row],[Age]]&lt;=50,"Adult","Senior"))</f>
        <v>Senior</v>
      </c>
      <c r="T3104" s="1">
        <f>Table1[[#This Row],[Purchase Amount (USD)]]</f>
        <v>85</v>
      </c>
      <c r="U3104">
        <f>IF(Table1[[#This Row],[Subscription Status]]="Yes",1,IF(Table1[[#This Row],[Subscription Status]]="No",0))</f>
        <v>0</v>
      </c>
    </row>
    <row r="3105" spans="1:21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  <c r="S3105" t="str">
        <f>IF(Table1[[#This Row],[Age]]&lt;=25,"Young",IF(Table1[[#This Row],[Age]]&lt;=50,"Adult","Senior"))</f>
        <v>Adult</v>
      </c>
      <c r="T3105" s="1">
        <f>Table1[[#This Row],[Purchase Amount (USD)]]</f>
        <v>37</v>
      </c>
      <c r="U3105">
        <f>IF(Table1[[#This Row],[Subscription Status]]="Yes",1,IF(Table1[[#This Row],[Subscription Status]]="No",0))</f>
        <v>0</v>
      </c>
    </row>
    <row r="3106" spans="1:21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  <c r="S3106" t="str">
        <f>IF(Table1[[#This Row],[Age]]&lt;=25,"Young",IF(Table1[[#This Row],[Age]]&lt;=50,"Adult","Senior"))</f>
        <v>Adult</v>
      </c>
      <c r="T3106" s="1">
        <f>Table1[[#This Row],[Purchase Amount (USD)]]</f>
        <v>56</v>
      </c>
      <c r="U3106">
        <f>IF(Table1[[#This Row],[Subscription Status]]="Yes",1,IF(Table1[[#This Row],[Subscription Status]]="No",0))</f>
        <v>0</v>
      </c>
    </row>
    <row r="3107" spans="1:21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  <c r="S3107" t="str">
        <f>IF(Table1[[#This Row],[Age]]&lt;=25,"Young",IF(Table1[[#This Row],[Age]]&lt;=50,"Adult","Senior"))</f>
        <v>Adult</v>
      </c>
      <c r="T3107" s="1">
        <f>Table1[[#This Row],[Purchase Amount (USD)]]</f>
        <v>33</v>
      </c>
      <c r="U3107">
        <f>IF(Table1[[#This Row],[Subscription Status]]="Yes",1,IF(Table1[[#This Row],[Subscription Status]]="No",0))</f>
        <v>0</v>
      </c>
    </row>
    <row r="3108" spans="1:21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  <c r="S3108" t="str">
        <f>IF(Table1[[#This Row],[Age]]&lt;=25,"Young",IF(Table1[[#This Row],[Age]]&lt;=50,"Adult","Senior"))</f>
        <v>Senior</v>
      </c>
      <c r="T3108" s="1">
        <f>Table1[[#This Row],[Purchase Amount (USD)]]</f>
        <v>57</v>
      </c>
      <c r="U3108">
        <f>IF(Table1[[#This Row],[Subscription Status]]="Yes",1,IF(Table1[[#This Row],[Subscription Status]]="No",0))</f>
        <v>0</v>
      </c>
    </row>
    <row r="3109" spans="1:21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  <c r="S3109" t="str">
        <f>IF(Table1[[#This Row],[Age]]&lt;=25,"Young",IF(Table1[[#This Row],[Age]]&lt;=50,"Adult","Senior"))</f>
        <v>Senior</v>
      </c>
      <c r="T3109" s="1">
        <f>Table1[[#This Row],[Purchase Amount (USD)]]</f>
        <v>31</v>
      </c>
      <c r="U3109">
        <f>IF(Table1[[#This Row],[Subscription Status]]="Yes",1,IF(Table1[[#This Row],[Subscription Status]]="No",0))</f>
        <v>0</v>
      </c>
    </row>
    <row r="3110" spans="1:21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  <c r="S3110" t="str">
        <f>IF(Table1[[#This Row],[Age]]&lt;=25,"Young",IF(Table1[[#This Row],[Age]]&lt;=50,"Adult","Senior"))</f>
        <v>Adult</v>
      </c>
      <c r="T3110" s="1">
        <f>Table1[[#This Row],[Purchase Amount (USD)]]</f>
        <v>69</v>
      </c>
      <c r="U3110">
        <f>IF(Table1[[#This Row],[Subscription Status]]="Yes",1,IF(Table1[[#This Row],[Subscription Status]]="No",0))</f>
        <v>0</v>
      </c>
    </row>
    <row r="3111" spans="1:21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  <c r="S3111" t="str">
        <f>IF(Table1[[#This Row],[Age]]&lt;=25,"Young",IF(Table1[[#This Row],[Age]]&lt;=50,"Adult","Senior"))</f>
        <v>Senior</v>
      </c>
      <c r="T3111" s="1">
        <f>Table1[[#This Row],[Purchase Amount (USD)]]</f>
        <v>92</v>
      </c>
      <c r="U3111">
        <f>IF(Table1[[#This Row],[Subscription Status]]="Yes",1,IF(Table1[[#This Row],[Subscription Status]]="No",0))</f>
        <v>0</v>
      </c>
    </row>
    <row r="3112" spans="1:21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  <c r="S3112" t="str">
        <f>IF(Table1[[#This Row],[Age]]&lt;=25,"Young",IF(Table1[[#This Row],[Age]]&lt;=50,"Adult","Senior"))</f>
        <v>Young</v>
      </c>
      <c r="T3112" s="1">
        <f>Table1[[#This Row],[Purchase Amount (USD)]]</f>
        <v>46</v>
      </c>
      <c r="U3112">
        <f>IF(Table1[[#This Row],[Subscription Status]]="Yes",1,IF(Table1[[#This Row],[Subscription Status]]="No",0))</f>
        <v>0</v>
      </c>
    </row>
    <row r="3113" spans="1:21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  <c r="S3113" t="str">
        <f>IF(Table1[[#This Row],[Age]]&lt;=25,"Young",IF(Table1[[#This Row],[Age]]&lt;=50,"Adult","Senior"))</f>
        <v>Young</v>
      </c>
      <c r="T3113" s="1">
        <f>Table1[[#This Row],[Purchase Amount (USD)]]</f>
        <v>81</v>
      </c>
      <c r="U3113">
        <f>IF(Table1[[#This Row],[Subscription Status]]="Yes",1,IF(Table1[[#This Row],[Subscription Status]]="No",0))</f>
        <v>0</v>
      </c>
    </row>
    <row r="3114" spans="1:21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  <c r="S3114" t="str">
        <f>IF(Table1[[#This Row],[Age]]&lt;=25,"Young",IF(Table1[[#This Row],[Age]]&lt;=50,"Adult","Senior"))</f>
        <v>Young</v>
      </c>
      <c r="T3114" s="1">
        <f>Table1[[#This Row],[Purchase Amount (USD)]]</f>
        <v>97</v>
      </c>
      <c r="U3114">
        <f>IF(Table1[[#This Row],[Subscription Status]]="Yes",1,IF(Table1[[#This Row],[Subscription Status]]="No",0))</f>
        <v>0</v>
      </c>
    </row>
    <row r="3115" spans="1:21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  <c r="S3115" t="str">
        <f>IF(Table1[[#This Row],[Age]]&lt;=25,"Young",IF(Table1[[#This Row],[Age]]&lt;=50,"Adult","Senior"))</f>
        <v>Adult</v>
      </c>
      <c r="T3115" s="1">
        <f>Table1[[#This Row],[Purchase Amount (USD)]]</f>
        <v>93</v>
      </c>
      <c r="U3115">
        <f>IF(Table1[[#This Row],[Subscription Status]]="Yes",1,IF(Table1[[#This Row],[Subscription Status]]="No",0))</f>
        <v>0</v>
      </c>
    </row>
    <row r="3116" spans="1:21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  <c r="S3116" t="str">
        <f>IF(Table1[[#This Row],[Age]]&lt;=25,"Young",IF(Table1[[#This Row],[Age]]&lt;=50,"Adult","Senior"))</f>
        <v>Young</v>
      </c>
      <c r="T3116" s="1">
        <f>Table1[[#This Row],[Purchase Amount (USD)]]</f>
        <v>56</v>
      </c>
      <c r="U3116">
        <f>IF(Table1[[#This Row],[Subscription Status]]="Yes",1,IF(Table1[[#This Row],[Subscription Status]]="No",0))</f>
        <v>0</v>
      </c>
    </row>
    <row r="3117" spans="1:21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  <c r="S3117" t="str">
        <f>IF(Table1[[#This Row],[Age]]&lt;=25,"Young",IF(Table1[[#This Row],[Age]]&lt;=50,"Adult","Senior"))</f>
        <v>Adult</v>
      </c>
      <c r="T3117" s="1">
        <f>Table1[[#This Row],[Purchase Amount (USD)]]</f>
        <v>53</v>
      </c>
      <c r="U3117">
        <f>IF(Table1[[#This Row],[Subscription Status]]="Yes",1,IF(Table1[[#This Row],[Subscription Status]]="No",0))</f>
        <v>0</v>
      </c>
    </row>
    <row r="3118" spans="1:21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  <c r="S3118" t="str">
        <f>IF(Table1[[#This Row],[Age]]&lt;=25,"Young",IF(Table1[[#This Row],[Age]]&lt;=50,"Adult","Senior"))</f>
        <v>Adult</v>
      </c>
      <c r="T3118" s="1">
        <f>Table1[[#This Row],[Purchase Amount (USD)]]</f>
        <v>66</v>
      </c>
      <c r="U3118">
        <f>IF(Table1[[#This Row],[Subscription Status]]="Yes",1,IF(Table1[[#This Row],[Subscription Status]]="No",0))</f>
        <v>0</v>
      </c>
    </row>
    <row r="3119" spans="1:21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  <c r="S3119" t="str">
        <f>IF(Table1[[#This Row],[Age]]&lt;=25,"Young",IF(Table1[[#This Row],[Age]]&lt;=50,"Adult","Senior"))</f>
        <v>Adult</v>
      </c>
      <c r="T3119" s="1">
        <f>Table1[[#This Row],[Purchase Amount (USD)]]</f>
        <v>50</v>
      </c>
      <c r="U3119">
        <f>IF(Table1[[#This Row],[Subscription Status]]="Yes",1,IF(Table1[[#This Row],[Subscription Status]]="No",0))</f>
        <v>0</v>
      </c>
    </row>
    <row r="3120" spans="1:21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  <c r="S3120" t="str">
        <f>IF(Table1[[#This Row],[Age]]&lt;=25,"Young",IF(Table1[[#This Row],[Age]]&lt;=50,"Adult","Senior"))</f>
        <v>Senior</v>
      </c>
      <c r="T3120" s="1">
        <f>Table1[[#This Row],[Purchase Amount (USD)]]</f>
        <v>97</v>
      </c>
      <c r="U3120">
        <f>IF(Table1[[#This Row],[Subscription Status]]="Yes",1,IF(Table1[[#This Row],[Subscription Status]]="No",0))</f>
        <v>0</v>
      </c>
    </row>
    <row r="3121" spans="1:21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  <c r="S3121" t="str">
        <f>IF(Table1[[#This Row],[Age]]&lt;=25,"Young",IF(Table1[[#This Row],[Age]]&lt;=50,"Adult","Senior"))</f>
        <v>Senior</v>
      </c>
      <c r="T3121" s="1">
        <f>Table1[[#This Row],[Purchase Amount (USD)]]</f>
        <v>79</v>
      </c>
      <c r="U3121">
        <f>IF(Table1[[#This Row],[Subscription Status]]="Yes",1,IF(Table1[[#This Row],[Subscription Status]]="No",0))</f>
        <v>0</v>
      </c>
    </row>
    <row r="3122" spans="1:21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  <c r="S3122" t="str">
        <f>IF(Table1[[#This Row],[Age]]&lt;=25,"Young",IF(Table1[[#This Row],[Age]]&lt;=50,"Adult","Senior"))</f>
        <v>Adult</v>
      </c>
      <c r="T3122" s="1">
        <f>Table1[[#This Row],[Purchase Amount (USD)]]</f>
        <v>76</v>
      </c>
      <c r="U3122">
        <f>IF(Table1[[#This Row],[Subscription Status]]="Yes",1,IF(Table1[[#This Row],[Subscription Status]]="No",0))</f>
        <v>0</v>
      </c>
    </row>
    <row r="3123" spans="1:21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  <c r="S3123" t="str">
        <f>IF(Table1[[#This Row],[Age]]&lt;=25,"Young",IF(Table1[[#This Row],[Age]]&lt;=50,"Adult","Senior"))</f>
        <v>Senior</v>
      </c>
      <c r="T3123" s="1">
        <f>Table1[[#This Row],[Purchase Amount (USD)]]</f>
        <v>38</v>
      </c>
      <c r="U3123">
        <f>IF(Table1[[#This Row],[Subscription Status]]="Yes",1,IF(Table1[[#This Row],[Subscription Status]]="No",0))</f>
        <v>0</v>
      </c>
    </row>
    <row r="3124" spans="1:21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  <c r="S3124" t="str">
        <f>IF(Table1[[#This Row],[Age]]&lt;=25,"Young",IF(Table1[[#This Row],[Age]]&lt;=50,"Adult","Senior"))</f>
        <v>Young</v>
      </c>
      <c r="T3124" s="1">
        <f>Table1[[#This Row],[Purchase Amount (USD)]]</f>
        <v>45</v>
      </c>
      <c r="U3124">
        <f>IF(Table1[[#This Row],[Subscription Status]]="Yes",1,IF(Table1[[#This Row],[Subscription Status]]="No",0))</f>
        <v>0</v>
      </c>
    </row>
    <row r="3125" spans="1:21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  <c r="S3125" t="str">
        <f>IF(Table1[[#This Row],[Age]]&lt;=25,"Young",IF(Table1[[#This Row],[Age]]&lt;=50,"Adult","Senior"))</f>
        <v>Senior</v>
      </c>
      <c r="T3125" s="1">
        <f>Table1[[#This Row],[Purchase Amount (USD)]]</f>
        <v>77</v>
      </c>
      <c r="U3125">
        <f>IF(Table1[[#This Row],[Subscription Status]]="Yes",1,IF(Table1[[#This Row],[Subscription Status]]="No",0))</f>
        <v>0</v>
      </c>
    </row>
    <row r="3126" spans="1:21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  <c r="S3126" t="str">
        <f>IF(Table1[[#This Row],[Age]]&lt;=25,"Young",IF(Table1[[#This Row],[Age]]&lt;=50,"Adult","Senior"))</f>
        <v>Senior</v>
      </c>
      <c r="T3126" s="1">
        <f>Table1[[#This Row],[Purchase Amount (USD)]]</f>
        <v>51</v>
      </c>
      <c r="U3126">
        <f>IF(Table1[[#This Row],[Subscription Status]]="Yes",1,IF(Table1[[#This Row],[Subscription Status]]="No",0))</f>
        <v>0</v>
      </c>
    </row>
    <row r="3127" spans="1:21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  <c r="S3127" t="str">
        <f>IF(Table1[[#This Row],[Age]]&lt;=25,"Young",IF(Table1[[#This Row],[Age]]&lt;=50,"Adult","Senior"))</f>
        <v>Adult</v>
      </c>
      <c r="T3127" s="1">
        <f>Table1[[#This Row],[Purchase Amount (USD)]]</f>
        <v>26</v>
      </c>
      <c r="U3127">
        <f>IF(Table1[[#This Row],[Subscription Status]]="Yes",1,IF(Table1[[#This Row],[Subscription Status]]="No",0))</f>
        <v>0</v>
      </c>
    </row>
    <row r="3128" spans="1:21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  <c r="S3128" t="str">
        <f>IF(Table1[[#This Row],[Age]]&lt;=25,"Young",IF(Table1[[#This Row],[Age]]&lt;=50,"Adult","Senior"))</f>
        <v>Senior</v>
      </c>
      <c r="T3128" s="1">
        <f>Table1[[#This Row],[Purchase Amount (USD)]]</f>
        <v>76</v>
      </c>
      <c r="U3128">
        <f>IF(Table1[[#This Row],[Subscription Status]]="Yes",1,IF(Table1[[#This Row],[Subscription Status]]="No",0))</f>
        <v>0</v>
      </c>
    </row>
    <row r="3129" spans="1:21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  <c r="S3129" t="str">
        <f>IF(Table1[[#This Row],[Age]]&lt;=25,"Young",IF(Table1[[#This Row],[Age]]&lt;=50,"Adult","Senior"))</f>
        <v>Senior</v>
      </c>
      <c r="T3129" s="1">
        <f>Table1[[#This Row],[Purchase Amount (USD)]]</f>
        <v>94</v>
      </c>
      <c r="U3129">
        <f>IF(Table1[[#This Row],[Subscription Status]]="Yes",1,IF(Table1[[#This Row],[Subscription Status]]="No",0))</f>
        <v>0</v>
      </c>
    </row>
    <row r="3130" spans="1:21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  <c r="S3130" t="str">
        <f>IF(Table1[[#This Row],[Age]]&lt;=25,"Young",IF(Table1[[#This Row],[Age]]&lt;=50,"Adult","Senior"))</f>
        <v>Senior</v>
      </c>
      <c r="T3130" s="1">
        <f>Table1[[#This Row],[Purchase Amount (USD)]]</f>
        <v>32</v>
      </c>
      <c r="U3130">
        <f>IF(Table1[[#This Row],[Subscription Status]]="Yes",1,IF(Table1[[#This Row],[Subscription Status]]="No",0))</f>
        <v>0</v>
      </c>
    </row>
    <row r="3131" spans="1:21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  <c r="S3131" t="str">
        <f>IF(Table1[[#This Row],[Age]]&lt;=25,"Young",IF(Table1[[#This Row],[Age]]&lt;=50,"Adult","Senior"))</f>
        <v>Senior</v>
      </c>
      <c r="T3131" s="1">
        <f>Table1[[#This Row],[Purchase Amount (USD)]]</f>
        <v>20</v>
      </c>
      <c r="U3131">
        <f>IF(Table1[[#This Row],[Subscription Status]]="Yes",1,IF(Table1[[#This Row],[Subscription Status]]="No",0))</f>
        <v>0</v>
      </c>
    </row>
    <row r="3132" spans="1:21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  <c r="S3132" t="str">
        <f>IF(Table1[[#This Row],[Age]]&lt;=25,"Young",IF(Table1[[#This Row],[Age]]&lt;=50,"Adult","Senior"))</f>
        <v>Senior</v>
      </c>
      <c r="T3132" s="1">
        <f>Table1[[#This Row],[Purchase Amount (USD)]]</f>
        <v>20</v>
      </c>
      <c r="U3132">
        <f>IF(Table1[[#This Row],[Subscription Status]]="Yes",1,IF(Table1[[#This Row],[Subscription Status]]="No",0))</f>
        <v>0</v>
      </c>
    </row>
    <row r="3133" spans="1:21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  <c r="S3133" t="str">
        <f>IF(Table1[[#This Row],[Age]]&lt;=25,"Young",IF(Table1[[#This Row],[Age]]&lt;=50,"Adult","Senior"))</f>
        <v>Adult</v>
      </c>
      <c r="T3133" s="1">
        <f>Table1[[#This Row],[Purchase Amount (USD)]]</f>
        <v>59</v>
      </c>
      <c r="U3133">
        <f>IF(Table1[[#This Row],[Subscription Status]]="Yes",1,IF(Table1[[#This Row],[Subscription Status]]="No",0))</f>
        <v>0</v>
      </c>
    </row>
    <row r="3134" spans="1:21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  <c r="S3134" t="str">
        <f>IF(Table1[[#This Row],[Age]]&lt;=25,"Young",IF(Table1[[#This Row],[Age]]&lt;=50,"Adult","Senior"))</f>
        <v>Adult</v>
      </c>
      <c r="T3134" s="1">
        <f>Table1[[#This Row],[Purchase Amount (USD)]]</f>
        <v>97</v>
      </c>
      <c r="U3134">
        <f>IF(Table1[[#This Row],[Subscription Status]]="Yes",1,IF(Table1[[#This Row],[Subscription Status]]="No",0))</f>
        <v>0</v>
      </c>
    </row>
    <row r="3135" spans="1:21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  <c r="S3135" t="str">
        <f>IF(Table1[[#This Row],[Age]]&lt;=25,"Young",IF(Table1[[#This Row],[Age]]&lt;=50,"Adult","Senior"))</f>
        <v>Senior</v>
      </c>
      <c r="T3135" s="1">
        <f>Table1[[#This Row],[Purchase Amount (USD)]]</f>
        <v>68</v>
      </c>
      <c r="U3135">
        <f>IF(Table1[[#This Row],[Subscription Status]]="Yes",1,IF(Table1[[#This Row],[Subscription Status]]="No",0))</f>
        <v>0</v>
      </c>
    </row>
    <row r="3136" spans="1:21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  <c r="S3136" t="str">
        <f>IF(Table1[[#This Row],[Age]]&lt;=25,"Young",IF(Table1[[#This Row],[Age]]&lt;=50,"Adult","Senior"))</f>
        <v>Adult</v>
      </c>
      <c r="T3136" s="1">
        <f>Table1[[#This Row],[Purchase Amount (USD)]]</f>
        <v>66</v>
      </c>
      <c r="U3136">
        <f>IF(Table1[[#This Row],[Subscription Status]]="Yes",1,IF(Table1[[#This Row],[Subscription Status]]="No",0))</f>
        <v>0</v>
      </c>
    </row>
    <row r="3137" spans="1:21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  <c r="S3137" t="str">
        <f>IF(Table1[[#This Row],[Age]]&lt;=25,"Young",IF(Table1[[#This Row],[Age]]&lt;=50,"Adult","Senior"))</f>
        <v>Senior</v>
      </c>
      <c r="T3137" s="1">
        <f>Table1[[#This Row],[Purchase Amount (USD)]]</f>
        <v>85</v>
      </c>
      <c r="U3137">
        <f>IF(Table1[[#This Row],[Subscription Status]]="Yes",1,IF(Table1[[#This Row],[Subscription Status]]="No",0))</f>
        <v>0</v>
      </c>
    </row>
    <row r="3138" spans="1:21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  <c r="S3138" t="str">
        <f>IF(Table1[[#This Row],[Age]]&lt;=25,"Young",IF(Table1[[#This Row],[Age]]&lt;=50,"Adult","Senior"))</f>
        <v>Senior</v>
      </c>
      <c r="T3138" s="1">
        <f>Table1[[#This Row],[Purchase Amount (USD)]]</f>
        <v>32</v>
      </c>
      <c r="U3138">
        <f>IF(Table1[[#This Row],[Subscription Status]]="Yes",1,IF(Table1[[#This Row],[Subscription Status]]="No",0))</f>
        <v>0</v>
      </c>
    </row>
    <row r="3139" spans="1:21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  <c r="S3139" t="str">
        <f>IF(Table1[[#This Row],[Age]]&lt;=25,"Young",IF(Table1[[#This Row],[Age]]&lt;=50,"Adult","Senior"))</f>
        <v>Adult</v>
      </c>
      <c r="T3139" s="1">
        <f>Table1[[#This Row],[Purchase Amount (USD)]]</f>
        <v>44</v>
      </c>
      <c r="U3139">
        <f>IF(Table1[[#This Row],[Subscription Status]]="Yes",1,IF(Table1[[#This Row],[Subscription Status]]="No",0))</f>
        <v>0</v>
      </c>
    </row>
    <row r="3140" spans="1:21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  <c r="S3140" t="str">
        <f>IF(Table1[[#This Row],[Age]]&lt;=25,"Young",IF(Table1[[#This Row],[Age]]&lt;=50,"Adult","Senior"))</f>
        <v>Adult</v>
      </c>
      <c r="T3140" s="1">
        <f>Table1[[#This Row],[Purchase Amount (USD)]]</f>
        <v>95</v>
      </c>
      <c r="U3140">
        <f>IF(Table1[[#This Row],[Subscription Status]]="Yes",1,IF(Table1[[#This Row],[Subscription Status]]="No",0))</f>
        <v>0</v>
      </c>
    </row>
    <row r="3141" spans="1:21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  <c r="S3141" t="str">
        <f>IF(Table1[[#This Row],[Age]]&lt;=25,"Young",IF(Table1[[#This Row],[Age]]&lt;=50,"Adult","Senior"))</f>
        <v>Adult</v>
      </c>
      <c r="T3141" s="1">
        <f>Table1[[#This Row],[Purchase Amount (USD)]]</f>
        <v>85</v>
      </c>
      <c r="U3141">
        <f>IF(Table1[[#This Row],[Subscription Status]]="Yes",1,IF(Table1[[#This Row],[Subscription Status]]="No",0))</f>
        <v>0</v>
      </c>
    </row>
    <row r="3142" spans="1:21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  <c r="S3142" t="str">
        <f>IF(Table1[[#This Row],[Age]]&lt;=25,"Young",IF(Table1[[#This Row],[Age]]&lt;=50,"Adult","Senior"))</f>
        <v>Adult</v>
      </c>
      <c r="T3142" s="1">
        <f>Table1[[#This Row],[Purchase Amount (USD)]]</f>
        <v>44</v>
      </c>
      <c r="U3142">
        <f>IF(Table1[[#This Row],[Subscription Status]]="Yes",1,IF(Table1[[#This Row],[Subscription Status]]="No",0))</f>
        <v>0</v>
      </c>
    </row>
    <row r="3143" spans="1:21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  <c r="S3143" t="str">
        <f>IF(Table1[[#This Row],[Age]]&lt;=25,"Young",IF(Table1[[#This Row],[Age]]&lt;=50,"Adult","Senior"))</f>
        <v>Adult</v>
      </c>
      <c r="T3143" s="1">
        <f>Table1[[#This Row],[Purchase Amount (USD)]]</f>
        <v>30</v>
      </c>
      <c r="U3143">
        <f>IF(Table1[[#This Row],[Subscription Status]]="Yes",1,IF(Table1[[#This Row],[Subscription Status]]="No",0))</f>
        <v>0</v>
      </c>
    </row>
    <row r="3144" spans="1:21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  <c r="S3144" t="str">
        <f>IF(Table1[[#This Row],[Age]]&lt;=25,"Young",IF(Table1[[#This Row],[Age]]&lt;=50,"Adult","Senior"))</f>
        <v>Young</v>
      </c>
      <c r="T3144" s="1">
        <f>Table1[[#This Row],[Purchase Amount (USD)]]</f>
        <v>21</v>
      </c>
      <c r="U3144">
        <f>IF(Table1[[#This Row],[Subscription Status]]="Yes",1,IF(Table1[[#This Row],[Subscription Status]]="No",0))</f>
        <v>0</v>
      </c>
    </row>
    <row r="3145" spans="1:21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  <c r="S3145" t="str">
        <f>IF(Table1[[#This Row],[Age]]&lt;=25,"Young",IF(Table1[[#This Row],[Age]]&lt;=50,"Adult","Senior"))</f>
        <v>Senior</v>
      </c>
      <c r="T3145" s="1">
        <f>Table1[[#This Row],[Purchase Amount (USD)]]</f>
        <v>22</v>
      </c>
      <c r="U3145">
        <f>IF(Table1[[#This Row],[Subscription Status]]="Yes",1,IF(Table1[[#This Row],[Subscription Status]]="No",0))</f>
        <v>0</v>
      </c>
    </row>
    <row r="3146" spans="1:21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  <c r="S3146" t="str">
        <f>IF(Table1[[#This Row],[Age]]&lt;=25,"Young",IF(Table1[[#This Row],[Age]]&lt;=50,"Adult","Senior"))</f>
        <v>Young</v>
      </c>
      <c r="T3146" s="1">
        <f>Table1[[#This Row],[Purchase Amount (USD)]]</f>
        <v>70</v>
      </c>
      <c r="U3146">
        <f>IF(Table1[[#This Row],[Subscription Status]]="Yes",1,IF(Table1[[#This Row],[Subscription Status]]="No",0))</f>
        <v>0</v>
      </c>
    </row>
    <row r="3147" spans="1:21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  <c r="S3147" t="str">
        <f>IF(Table1[[#This Row],[Age]]&lt;=25,"Young",IF(Table1[[#This Row],[Age]]&lt;=50,"Adult","Senior"))</f>
        <v>Senior</v>
      </c>
      <c r="T3147" s="1">
        <f>Table1[[#This Row],[Purchase Amount (USD)]]</f>
        <v>29</v>
      </c>
      <c r="U3147">
        <f>IF(Table1[[#This Row],[Subscription Status]]="Yes",1,IF(Table1[[#This Row],[Subscription Status]]="No",0))</f>
        <v>0</v>
      </c>
    </row>
    <row r="3148" spans="1:21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  <c r="S3148" t="str">
        <f>IF(Table1[[#This Row],[Age]]&lt;=25,"Young",IF(Table1[[#This Row],[Age]]&lt;=50,"Adult","Senior"))</f>
        <v>Young</v>
      </c>
      <c r="T3148" s="1">
        <f>Table1[[#This Row],[Purchase Amount (USD)]]</f>
        <v>83</v>
      </c>
      <c r="U3148">
        <f>IF(Table1[[#This Row],[Subscription Status]]="Yes",1,IF(Table1[[#This Row],[Subscription Status]]="No",0))</f>
        <v>0</v>
      </c>
    </row>
    <row r="3149" spans="1:21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  <c r="S3149" t="str">
        <f>IF(Table1[[#This Row],[Age]]&lt;=25,"Young",IF(Table1[[#This Row],[Age]]&lt;=50,"Adult","Senior"))</f>
        <v>Adult</v>
      </c>
      <c r="T3149" s="1">
        <f>Table1[[#This Row],[Purchase Amount (USD)]]</f>
        <v>99</v>
      </c>
      <c r="U3149">
        <f>IF(Table1[[#This Row],[Subscription Status]]="Yes",1,IF(Table1[[#This Row],[Subscription Status]]="No",0))</f>
        <v>0</v>
      </c>
    </row>
    <row r="3150" spans="1:21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  <c r="S3150" t="str">
        <f>IF(Table1[[#This Row],[Age]]&lt;=25,"Young",IF(Table1[[#This Row],[Age]]&lt;=50,"Adult","Senior"))</f>
        <v>Adult</v>
      </c>
      <c r="T3150" s="1">
        <f>Table1[[#This Row],[Purchase Amount (USD)]]</f>
        <v>35</v>
      </c>
      <c r="U3150">
        <f>IF(Table1[[#This Row],[Subscription Status]]="Yes",1,IF(Table1[[#This Row],[Subscription Status]]="No",0))</f>
        <v>0</v>
      </c>
    </row>
    <row r="3151" spans="1:21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  <c r="S3151" t="str">
        <f>IF(Table1[[#This Row],[Age]]&lt;=25,"Young",IF(Table1[[#This Row],[Age]]&lt;=50,"Adult","Senior"))</f>
        <v>Young</v>
      </c>
      <c r="T3151" s="1">
        <f>Table1[[#This Row],[Purchase Amount (USD)]]</f>
        <v>40</v>
      </c>
      <c r="U3151">
        <f>IF(Table1[[#This Row],[Subscription Status]]="Yes",1,IF(Table1[[#This Row],[Subscription Status]]="No",0))</f>
        <v>0</v>
      </c>
    </row>
    <row r="3152" spans="1:21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  <c r="S3152" t="str">
        <f>IF(Table1[[#This Row],[Age]]&lt;=25,"Young",IF(Table1[[#This Row],[Age]]&lt;=50,"Adult","Senior"))</f>
        <v>Senior</v>
      </c>
      <c r="T3152" s="1">
        <f>Table1[[#This Row],[Purchase Amount (USD)]]</f>
        <v>25</v>
      </c>
      <c r="U3152">
        <f>IF(Table1[[#This Row],[Subscription Status]]="Yes",1,IF(Table1[[#This Row],[Subscription Status]]="No",0))</f>
        <v>0</v>
      </c>
    </row>
    <row r="3153" spans="1:21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  <c r="S3153" t="str">
        <f>IF(Table1[[#This Row],[Age]]&lt;=25,"Young",IF(Table1[[#This Row],[Age]]&lt;=50,"Adult","Senior"))</f>
        <v>Senior</v>
      </c>
      <c r="T3153" s="1">
        <f>Table1[[#This Row],[Purchase Amount (USD)]]</f>
        <v>64</v>
      </c>
      <c r="U3153">
        <f>IF(Table1[[#This Row],[Subscription Status]]="Yes",1,IF(Table1[[#This Row],[Subscription Status]]="No",0))</f>
        <v>0</v>
      </c>
    </row>
    <row r="3154" spans="1:21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  <c r="S3154" t="str">
        <f>IF(Table1[[#This Row],[Age]]&lt;=25,"Young",IF(Table1[[#This Row],[Age]]&lt;=50,"Adult","Senior"))</f>
        <v>Adult</v>
      </c>
      <c r="T3154" s="1">
        <f>Table1[[#This Row],[Purchase Amount (USD)]]</f>
        <v>90</v>
      </c>
      <c r="U3154">
        <f>IF(Table1[[#This Row],[Subscription Status]]="Yes",1,IF(Table1[[#This Row],[Subscription Status]]="No",0))</f>
        <v>0</v>
      </c>
    </row>
    <row r="3155" spans="1:21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  <c r="S3155" t="str">
        <f>IF(Table1[[#This Row],[Age]]&lt;=25,"Young",IF(Table1[[#This Row],[Age]]&lt;=50,"Adult","Senior"))</f>
        <v>Senior</v>
      </c>
      <c r="T3155" s="1">
        <f>Table1[[#This Row],[Purchase Amount (USD)]]</f>
        <v>88</v>
      </c>
      <c r="U3155">
        <f>IF(Table1[[#This Row],[Subscription Status]]="Yes",1,IF(Table1[[#This Row],[Subscription Status]]="No",0))</f>
        <v>0</v>
      </c>
    </row>
    <row r="3156" spans="1:21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  <c r="S3156" t="str">
        <f>IF(Table1[[#This Row],[Age]]&lt;=25,"Young",IF(Table1[[#This Row],[Age]]&lt;=50,"Adult","Senior"))</f>
        <v>Adult</v>
      </c>
      <c r="T3156" s="1">
        <f>Table1[[#This Row],[Purchase Amount (USD)]]</f>
        <v>55</v>
      </c>
      <c r="U3156">
        <f>IF(Table1[[#This Row],[Subscription Status]]="Yes",1,IF(Table1[[#This Row],[Subscription Status]]="No",0))</f>
        <v>0</v>
      </c>
    </row>
    <row r="3157" spans="1:21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  <c r="S3157" t="str">
        <f>IF(Table1[[#This Row],[Age]]&lt;=25,"Young",IF(Table1[[#This Row],[Age]]&lt;=50,"Adult","Senior"))</f>
        <v>Young</v>
      </c>
      <c r="T3157" s="1">
        <f>Table1[[#This Row],[Purchase Amount (USD)]]</f>
        <v>90</v>
      </c>
      <c r="U3157">
        <f>IF(Table1[[#This Row],[Subscription Status]]="Yes",1,IF(Table1[[#This Row],[Subscription Status]]="No",0))</f>
        <v>0</v>
      </c>
    </row>
    <row r="3158" spans="1:21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  <c r="S3158" t="str">
        <f>IF(Table1[[#This Row],[Age]]&lt;=25,"Young",IF(Table1[[#This Row],[Age]]&lt;=50,"Adult","Senior"))</f>
        <v>Young</v>
      </c>
      <c r="T3158" s="1">
        <f>Table1[[#This Row],[Purchase Amount (USD)]]</f>
        <v>50</v>
      </c>
      <c r="U3158">
        <f>IF(Table1[[#This Row],[Subscription Status]]="Yes",1,IF(Table1[[#This Row],[Subscription Status]]="No",0))</f>
        <v>0</v>
      </c>
    </row>
    <row r="3159" spans="1:21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  <c r="S3159" t="str">
        <f>IF(Table1[[#This Row],[Age]]&lt;=25,"Young",IF(Table1[[#This Row],[Age]]&lt;=50,"Adult","Senior"))</f>
        <v>Young</v>
      </c>
      <c r="T3159" s="1">
        <f>Table1[[#This Row],[Purchase Amount (USD)]]</f>
        <v>34</v>
      </c>
      <c r="U3159">
        <f>IF(Table1[[#This Row],[Subscription Status]]="Yes",1,IF(Table1[[#This Row],[Subscription Status]]="No",0))</f>
        <v>0</v>
      </c>
    </row>
    <row r="3160" spans="1:21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  <c r="S3160" t="str">
        <f>IF(Table1[[#This Row],[Age]]&lt;=25,"Young",IF(Table1[[#This Row],[Age]]&lt;=50,"Adult","Senior"))</f>
        <v>Adult</v>
      </c>
      <c r="T3160" s="1">
        <f>Table1[[#This Row],[Purchase Amount (USD)]]</f>
        <v>77</v>
      </c>
      <c r="U3160">
        <f>IF(Table1[[#This Row],[Subscription Status]]="Yes",1,IF(Table1[[#This Row],[Subscription Status]]="No",0))</f>
        <v>0</v>
      </c>
    </row>
    <row r="3161" spans="1:21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  <c r="S3161" t="str">
        <f>IF(Table1[[#This Row],[Age]]&lt;=25,"Young",IF(Table1[[#This Row],[Age]]&lt;=50,"Adult","Senior"))</f>
        <v>Senior</v>
      </c>
      <c r="T3161" s="1">
        <f>Table1[[#This Row],[Purchase Amount (USD)]]</f>
        <v>89</v>
      </c>
      <c r="U3161">
        <f>IF(Table1[[#This Row],[Subscription Status]]="Yes",1,IF(Table1[[#This Row],[Subscription Status]]="No",0))</f>
        <v>0</v>
      </c>
    </row>
    <row r="3162" spans="1:21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  <c r="S3162" t="str">
        <f>IF(Table1[[#This Row],[Age]]&lt;=25,"Young",IF(Table1[[#This Row],[Age]]&lt;=50,"Adult","Senior"))</f>
        <v>Adult</v>
      </c>
      <c r="T3162" s="1">
        <f>Table1[[#This Row],[Purchase Amount (USD)]]</f>
        <v>87</v>
      </c>
      <c r="U3162">
        <f>IF(Table1[[#This Row],[Subscription Status]]="Yes",1,IF(Table1[[#This Row],[Subscription Status]]="No",0))</f>
        <v>0</v>
      </c>
    </row>
    <row r="3163" spans="1:21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  <c r="S3163" t="str">
        <f>IF(Table1[[#This Row],[Age]]&lt;=25,"Young",IF(Table1[[#This Row],[Age]]&lt;=50,"Adult","Senior"))</f>
        <v>Senior</v>
      </c>
      <c r="T3163" s="1">
        <f>Table1[[#This Row],[Purchase Amount (USD)]]</f>
        <v>77</v>
      </c>
      <c r="U3163">
        <f>IF(Table1[[#This Row],[Subscription Status]]="Yes",1,IF(Table1[[#This Row],[Subscription Status]]="No",0))</f>
        <v>0</v>
      </c>
    </row>
    <row r="3164" spans="1:21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  <c r="S3164" t="str">
        <f>IF(Table1[[#This Row],[Age]]&lt;=25,"Young",IF(Table1[[#This Row],[Age]]&lt;=50,"Adult","Senior"))</f>
        <v>Senior</v>
      </c>
      <c r="T3164" s="1">
        <f>Table1[[#This Row],[Purchase Amount (USD)]]</f>
        <v>85</v>
      </c>
      <c r="U3164">
        <f>IF(Table1[[#This Row],[Subscription Status]]="Yes",1,IF(Table1[[#This Row],[Subscription Status]]="No",0))</f>
        <v>0</v>
      </c>
    </row>
    <row r="3165" spans="1:21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  <c r="S3165" t="str">
        <f>IF(Table1[[#This Row],[Age]]&lt;=25,"Young",IF(Table1[[#This Row],[Age]]&lt;=50,"Adult","Senior"))</f>
        <v>Adult</v>
      </c>
      <c r="T3165" s="1">
        <f>Table1[[#This Row],[Purchase Amount (USD)]]</f>
        <v>66</v>
      </c>
      <c r="U3165">
        <f>IF(Table1[[#This Row],[Subscription Status]]="Yes",1,IF(Table1[[#This Row],[Subscription Status]]="No",0))</f>
        <v>0</v>
      </c>
    </row>
    <row r="3166" spans="1:21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  <c r="S3166" t="str">
        <f>IF(Table1[[#This Row],[Age]]&lt;=25,"Young",IF(Table1[[#This Row],[Age]]&lt;=50,"Adult","Senior"))</f>
        <v>Adult</v>
      </c>
      <c r="T3166" s="1">
        <f>Table1[[#This Row],[Purchase Amount (USD)]]</f>
        <v>32</v>
      </c>
      <c r="U3166">
        <f>IF(Table1[[#This Row],[Subscription Status]]="Yes",1,IF(Table1[[#This Row],[Subscription Status]]="No",0))</f>
        <v>0</v>
      </c>
    </row>
    <row r="3167" spans="1:21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  <c r="S3167" t="str">
        <f>IF(Table1[[#This Row],[Age]]&lt;=25,"Young",IF(Table1[[#This Row],[Age]]&lt;=50,"Adult","Senior"))</f>
        <v>Adult</v>
      </c>
      <c r="T3167" s="1">
        <f>Table1[[#This Row],[Purchase Amount (USD)]]</f>
        <v>92</v>
      </c>
      <c r="U3167">
        <f>IF(Table1[[#This Row],[Subscription Status]]="Yes",1,IF(Table1[[#This Row],[Subscription Status]]="No",0))</f>
        <v>0</v>
      </c>
    </row>
    <row r="3168" spans="1:21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  <c r="S3168" t="str">
        <f>IF(Table1[[#This Row],[Age]]&lt;=25,"Young",IF(Table1[[#This Row],[Age]]&lt;=50,"Adult","Senior"))</f>
        <v>Young</v>
      </c>
      <c r="T3168" s="1">
        <f>Table1[[#This Row],[Purchase Amount (USD)]]</f>
        <v>80</v>
      </c>
      <c r="U3168">
        <f>IF(Table1[[#This Row],[Subscription Status]]="Yes",1,IF(Table1[[#This Row],[Subscription Status]]="No",0))</f>
        <v>0</v>
      </c>
    </row>
    <row r="3169" spans="1:21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  <c r="S3169" t="str">
        <f>IF(Table1[[#This Row],[Age]]&lt;=25,"Young",IF(Table1[[#This Row],[Age]]&lt;=50,"Adult","Senior"))</f>
        <v>Young</v>
      </c>
      <c r="T3169" s="1">
        <f>Table1[[#This Row],[Purchase Amount (USD)]]</f>
        <v>78</v>
      </c>
      <c r="U3169">
        <f>IF(Table1[[#This Row],[Subscription Status]]="Yes",1,IF(Table1[[#This Row],[Subscription Status]]="No",0))</f>
        <v>0</v>
      </c>
    </row>
    <row r="3170" spans="1:21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  <c r="S3170" t="str">
        <f>IF(Table1[[#This Row],[Age]]&lt;=25,"Young",IF(Table1[[#This Row],[Age]]&lt;=50,"Adult","Senior"))</f>
        <v>Adult</v>
      </c>
      <c r="T3170" s="1">
        <f>Table1[[#This Row],[Purchase Amount (USD)]]</f>
        <v>24</v>
      </c>
      <c r="U3170">
        <f>IF(Table1[[#This Row],[Subscription Status]]="Yes",1,IF(Table1[[#This Row],[Subscription Status]]="No",0))</f>
        <v>0</v>
      </c>
    </row>
    <row r="3171" spans="1:21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  <c r="S3171" t="str">
        <f>IF(Table1[[#This Row],[Age]]&lt;=25,"Young",IF(Table1[[#This Row],[Age]]&lt;=50,"Adult","Senior"))</f>
        <v>Adult</v>
      </c>
      <c r="T3171" s="1">
        <f>Table1[[#This Row],[Purchase Amount (USD)]]</f>
        <v>59</v>
      </c>
      <c r="U3171">
        <f>IF(Table1[[#This Row],[Subscription Status]]="Yes",1,IF(Table1[[#This Row],[Subscription Status]]="No",0))</f>
        <v>0</v>
      </c>
    </row>
    <row r="3172" spans="1:21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  <c r="S3172" t="str">
        <f>IF(Table1[[#This Row],[Age]]&lt;=25,"Young",IF(Table1[[#This Row],[Age]]&lt;=50,"Adult","Senior"))</f>
        <v>Senior</v>
      </c>
      <c r="T3172" s="1">
        <f>Table1[[#This Row],[Purchase Amount (USD)]]</f>
        <v>41</v>
      </c>
      <c r="U3172">
        <f>IF(Table1[[#This Row],[Subscription Status]]="Yes",1,IF(Table1[[#This Row],[Subscription Status]]="No",0))</f>
        <v>0</v>
      </c>
    </row>
    <row r="3173" spans="1:21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  <c r="S3173" t="str">
        <f>IF(Table1[[#This Row],[Age]]&lt;=25,"Young",IF(Table1[[#This Row],[Age]]&lt;=50,"Adult","Senior"))</f>
        <v>Senior</v>
      </c>
      <c r="T3173" s="1">
        <f>Table1[[#This Row],[Purchase Amount (USD)]]</f>
        <v>26</v>
      </c>
      <c r="U3173">
        <f>IF(Table1[[#This Row],[Subscription Status]]="Yes",1,IF(Table1[[#This Row],[Subscription Status]]="No",0))</f>
        <v>0</v>
      </c>
    </row>
    <row r="3174" spans="1:21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  <c r="S3174" t="str">
        <f>IF(Table1[[#This Row],[Age]]&lt;=25,"Young",IF(Table1[[#This Row],[Age]]&lt;=50,"Adult","Senior"))</f>
        <v>Senior</v>
      </c>
      <c r="T3174" s="1">
        <f>Table1[[#This Row],[Purchase Amount (USD)]]</f>
        <v>52</v>
      </c>
      <c r="U3174">
        <f>IF(Table1[[#This Row],[Subscription Status]]="Yes",1,IF(Table1[[#This Row],[Subscription Status]]="No",0))</f>
        <v>0</v>
      </c>
    </row>
    <row r="3175" spans="1:21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  <c r="S3175" t="str">
        <f>IF(Table1[[#This Row],[Age]]&lt;=25,"Young",IF(Table1[[#This Row],[Age]]&lt;=50,"Adult","Senior"))</f>
        <v>Senior</v>
      </c>
      <c r="T3175" s="1">
        <f>Table1[[#This Row],[Purchase Amount (USD)]]</f>
        <v>46</v>
      </c>
      <c r="U3175">
        <f>IF(Table1[[#This Row],[Subscription Status]]="Yes",1,IF(Table1[[#This Row],[Subscription Status]]="No",0))</f>
        <v>0</v>
      </c>
    </row>
    <row r="3176" spans="1:21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  <c r="S3176" t="str">
        <f>IF(Table1[[#This Row],[Age]]&lt;=25,"Young",IF(Table1[[#This Row],[Age]]&lt;=50,"Adult","Senior"))</f>
        <v>Adult</v>
      </c>
      <c r="T3176" s="1">
        <f>Table1[[#This Row],[Purchase Amount (USD)]]</f>
        <v>52</v>
      </c>
      <c r="U3176">
        <f>IF(Table1[[#This Row],[Subscription Status]]="Yes",1,IF(Table1[[#This Row],[Subscription Status]]="No",0))</f>
        <v>0</v>
      </c>
    </row>
    <row r="3177" spans="1:21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  <c r="S3177" t="str">
        <f>IF(Table1[[#This Row],[Age]]&lt;=25,"Young",IF(Table1[[#This Row],[Age]]&lt;=50,"Adult","Senior"))</f>
        <v>Adult</v>
      </c>
      <c r="T3177" s="1">
        <f>Table1[[#This Row],[Purchase Amount (USD)]]</f>
        <v>42</v>
      </c>
      <c r="U3177">
        <f>IF(Table1[[#This Row],[Subscription Status]]="Yes",1,IF(Table1[[#This Row],[Subscription Status]]="No",0))</f>
        <v>0</v>
      </c>
    </row>
    <row r="3178" spans="1:21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  <c r="S3178" t="str">
        <f>IF(Table1[[#This Row],[Age]]&lt;=25,"Young",IF(Table1[[#This Row],[Age]]&lt;=50,"Adult","Senior"))</f>
        <v>Adult</v>
      </c>
      <c r="T3178" s="1">
        <f>Table1[[#This Row],[Purchase Amount (USD)]]</f>
        <v>37</v>
      </c>
      <c r="U3178">
        <f>IF(Table1[[#This Row],[Subscription Status]]="Yes",1,IF(Table1[[#This Row],[Subscription Status]]="No",0))</f>
        <v>0</v>
      </c>
    </row>
    <row r="3179" spans="1:21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  <c r="S3179" t="str">
        <f>IF(Table1[[#This Row],[Age]]&lt;=25,"Young",IF(Table1[[#This Row],[Age]]&lt;=50,"Adult","Senior"))</f>
        <v>Senior</v>
      </c>
      <c r="T3179" s="1">
        <f>Table1[[#This Row],[Purchase Amount (USD)]]</f>
        <v>52</v>
      </c>
      <c r="U3179">
        <f>IF(Table1[[#This Row],[Subscription Status]]="Yes",1,IF(Table1[[#This Row],[Subscription Status]]="No",0))</f>
        <v>0</v>
      </c>
    </row>
    <row r="3180" spans="1:21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  <c r="S3180" t="str">
        <f>IF(Table1[[#This Row],[Age]]&lt;=25,"Young",IF(Table1[[#This Row],[Age]]&lt;=50,"Adult","Senior"))</f>
        <v>Senior</v>
      </c>
      <c r="T3180" s="1">
        <f>Table1[[#This Row],[Purchase Amount (USD)]]</f>
        <v>34</v>
      </c>
      <c r="U3180">
        <f>IF(Table1[[#This Row],[Subscription Status]]="Yes",1,IF(Table1[[#This Row],[Subscription Status]]="No",0))</f>
        <v>0</v>
      </c>
    </row>
    <row r="3181" spans="1:21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  <c r="S3181" t="str">
        <f>IF(Table1[[#This Row],[Age]]&lt;=25,"Young",IF(Table1[[#This Row],[Age]]&lt;=50,"Adult","Senior"))</f>
        <v>Senior</v>
      </c>
      <c r="T3181" s="1">
        <f>Table1[[#This Row],[Purchase Amount (USD)]]</f>
        <v>88</v>
      </c>
      <c r="U3181">
        <f>IF(Table1[[#This Row],[Subscription Status]]="Yes",1,IF(Table1[[#This Row],[Subscription Status]]="No",0))</f>
        <v>0</v>
      </c>
    </row>
    <row r="3182" spans="1:21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  <c r="S3182" t="str">
        <f>IF(Table1[[#This Row],[Age]]&lt;=25,"Young",IF(Table1[[#This Row],[Age]]&lt;=50,"Adult","Senior"))</f>
        <v>Young</v>
      </c>
      <c r="T3182" s="1">
        <f>Table1[[#This Row],[Purchase Amount (USD)]]</f>
        <v>88</v>
      </c>
      <c r="U3182">
        <f>IF(Table1[[#This Row],[Subscription Status]]="Yes",1,IF(Table1[[#This Row],[Subscription Status]]="No",0))</f>
        <v>0</v>
      </c>
    </row>
    <row r="3183" spans="1:21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  <c r="S3183" t="str">
        <f>IF(Table1[[#This Row],[Age]]&lt;=25,"Young",IF(Table1[[#This Row],[Age]]&lt;=50,"Adult","Senior"))</f>
        <v>Adult</v>
      </c>
      <c r="T3183" s="1">
        <f>Table1[[#This Row],[Purchase Amount (USD)]]</f>
        <v>51</v>
      </c>
      <c r="U3183">
        <f>IF(Table1[[#This Row],[Subscription Status]]="Yes",1,IF(Table1[[#This Row],[Subscription Status]]="No",0))</f>
        <v>0</v>
      </c>
    </row>
    <row r="3184" spans="1:21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  <c r="S3184" t="str">
        <f>IF(Table1[[#This Row],[Age]]&lt;=25,"Young",IF(Table1[[#This Row],[Age]]&lt;=50,"Adult","Senior"))</f>
        <v>Adult</v>
      </c>
      <c r="T3184" s="1">
        <f>Table1[[#This Row],[Purchase Amount (USD)]]</f>
        <v>97</v>
      </c>
      <c r="U3184">
        <f>IF(Table1[[#This Row],[Subscription Status]]="Yes",1,IF(Table1[[#This Row],[Subscription Status]]="No",0))</f>
        <v>0</v>
      </c>
    </row>
    <row r="3185" spans="1:21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  <c r="S3185" t="str">
        <f>IF(Table1[[#This Row],[Age]]&lt;=25,"Young",IF(Table1[[#This Row],[Age]]&lt;=50,"Adult","Senior"))</f>
        <v>Adult</v>
      </c>
      <c r="T3185" s="1">
        <f>Table1[[#This Row],[Purchase Amount (USD)]]</f>
        <v>56</v>
      </c>
      <c r="U3185">
        <f>IF(Table1[[#This Row],[Subscription Status]]="Yes",1,IF(Table1[[#This Row],[Subscription Status]]="No",0))</f>
        <v>0</v>
      </c>
    </row>
    <row r="3186" spans="1:21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  <c r="S3186" t="str">
        <f>IF(Table1[[#This Row],[Age]]&lt;=25,"Young",IF(Table1[[#This Row],[Age]]&lt;=50,"Adult","Senior"))</f>
        <v>Senior</v>
      </c>
      <c r="T3186" s="1">
        <f>Table1[[#This Row],[Purchase Amount (USD)]]</f>
        <v>53</v>
      </c>
      <c r="U3186">
        <f>IF(Table1[[#This Row],[Subscription Status]]="Yes",1,IF(Table1[[#This Row],[Subscription Status]]="No",0))</f>
        <v>0</v>
      </c>
    </row>
    <row r="3187" spans="1:21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  <c r="S3187" t="str">
        <f>IF(Table1[[#This Row],[Age]]&lt;=25,"Young",IF(Table1[[#This Row],[Age]]&lt;=50,"Adult","Senior"))</f>
        <v>Senior</v>
      </c>
      <c r="T3187" s="1">
        <f>Table1[[#This Row],[Purchase Amount (USD)]]</f>
        <v>71</v>
      </c>
      <c r="U3187">
        <f>IF(Table1[[#This Row],[Subscription Status]]="Yes",1,IF(Table1[[#This Row],[Subscription Status]]="No",0))</f>
        <v>0</v>
      </c>
    </row>
    <row r="3188" spans="1:21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  <c r="S3188" t="str">
        <f>IF(Table1[[#This Row],[Age]]&lt;=25,"Young",IF(Table1[[#This Row],[Age]]&lt;=50,"Adult","Senior"))</f>
        <v>Adult</v>
      </c>
      <c r="T3188" s="1">
        <f>Table1[[#This Row],[Purchase Amount (USD)]]</f>
        <v>93</v>
      </c>
      <c r="U3188">
        <f>IF(Table1[[#This Row],[Subscription Status]]="Yes",1,IF(Table1[[#This Row],[Subscription Status]]="No",0))</f>
        <v>0</v>
      </c>
    </row>
    <row r="3189" spans="1:21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  <c r="S3189" t="str">
        <f>IF(Table1[[#This Row],[Age]]&lt;=25,"Young",IF(Table1[[#This Row],[Age]]&lt;=50,"Adult","Senior"))</f>
        <v>Senior</v>
      </c>
      <c r="T3189" s="1">
        <f>Table1[[#This Row],[Purchase Amount (USD)]]</f>
        <v>72</v>
      </c>
      <c r="U3189">
        <f>IF(Table1[[#This Row],[Subscription Status]]="Yes",1,IF(Table1[[#This Row],[Subscription Status]]="No",0))</f>
        <v>0</v>
      </c>
    </row>
    <row r="3190" spans="1:21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  <c r="S3190" t="str">
        <f>IF(Table1[[#This Row],[Age]]&lt;=25,"Young",IF(Table1[[#This Row],[Age]]&lt;=50,"Adult","Senior"))</f>
        <v>Adult</v>
      </c>
      <c r="T3190" s="1">
        <f>Table1[[#This Row],[Purchase Amount (USD)]]</f>
        <v>59</v>
      </c>
      <c r="U3190">
        <f>IF(Table1[[#This Row],[Subscription Status]]="Yes",1,IF(Table1[[#This Row],[Subscription Status]]="No",0))</f>
        <v>0</v>
      </c>
    </row>
    <row r="3191" spans="1:21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  <c r="S3191" t="str">
        <f>IF(Table1[[#This Row],[Age]]&lt;=25,"Young",IF(Table1[[#This Row],[Age]]&lt;=50,"Adult","Senior"))</f>
        <v>Young</v>
      </c>
      <c r="T3191" s="1">
        <f>Table1[[#This Row],[Purchase Amount (USD)]]</f>
        <v>87</v>
      </c>
      <c r="U3191">
        <f>IF(Table1[[#This Row],[Subscription Status]]="Yes",1,IF(Table1[[#This Row],[Subscription Status]]="No",0))</f>
        <v>0</v>
      </c>
    </row>
    <row r="3192" spans="1:21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  <c r="S3192" t="str">
        <f>IF(Table1[[#This Row],[Age]]&lt;=25,"Young",IF(Table1[[#This Row],[Age]]&lt;=50,"Adult","Senior"))</f>
        <v>Adult</v>
      </c>
      <c r="T3192" s="1">
        <f>Table1[[#This Row],[Purchase Amount (USD)]]</f>
        <v>78</v>
      </c>
      <c r="U3192">
        <f>IF(Table1[[#This Row],[Subscription Status]]="Yes",1,IF(Table1[[#This Row],[Subscription Status]]="No",0))</f>
        <v>0</v>
      </c>
    </row>
    <row r="3193" spans="1:21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  <c r="S3193" t="str">
        <f>IF(Table1[[#This Row],[Age]]&lt;=25,"Young",IF(Table1[[#This Row],[Age]]&lt;=50,"Adult","Senior"))</f>
        <v>Senior</v>
      </c>
      <c r="T3193" s="1">
        <f>Table1[[#This Row],[Purchase Amount (USD)]]</f>
        <v>68</v>
      </c>
      <c r="U3193">
        <f>IF(Table1[[#This Row],[Subscription Status]]="Yes",1,IF(Table1[[#This Row],[Subscription Status]]="No",0))</f>
        <v>0</v>
      </c>
    </row>
    <row r="3194" spans="1:21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  <c r="S3194" t="str">
        <f>IF(Table1[[#This Row],[Age]]&lt;=25,"Young",IF(Table1[[#This Row],[Age]]&lt;=50,"Adult","Senior"))</f>
        <v>Young</v>
      </c>
      <c r="T3194" s="1">
        <f>Table1[[#This Row],[Purchase Amount (USD)]]</f>
        <v>76</v>
      </c>
      <c r="U3194">
        <f>IF(Table1[[#This Row],[Subscription Status]]="Yes",1,IF(Table1[[#This Row],[Subscription Status]]="No",0))</f>
        <v>0</v>
      </c>
    </row>
    <row r="3195" spans="1:21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  <c r="S3195" t="str">
        <f>IF(Table1[[#This Row],[Age]]&lt;=25,"Young",IF(Table1[[#This Row],[Age]]&lt;=50,"Adult","Senior"))</f>
        <v>Senior</v>
      </c>
      <c r="T3195" s="1">
        <f>Table1[[#This Row],[Purchase Amount (USD)]]</f>
        <v>99</v>
      </c>
      <c r="U3195">
        <f>IF(Table1[[#This Row],[Subscription Status]]="Yes",1,IF(Table1[[#This Row],[Subscription Status]]="No",0))</f>
        <v>0</v>
      </c>
    </row>
    <row r="3196" spans="1:21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  <c r="S3196" t="str">
        <f>IF(Table1[[#This Row],[Age]]&lt;=25,"Young",IF(Table1[[#This Row],[Age]]&lt;=50,"Adult","Senior"))</f>
        <v>Adult</v>
      </c>
      <c r="T3196" s="1">
        <f>Table1[[#This Row],[Purchase Amount (USD)]]</f>
        <v>52</v>
      </c>
      <c r="U3196">
        <f>IF(Table1[[#This Row],[Subscription Status]]="Yes",1,IF(Table1[[#This Row],[Subscription Status]]="No",0))</f>
        <v>0</v>
      </c>
    </row>
    <row r="3197" spans="1:21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  <c r="S3197" t="str">
        <f>IF(Table1[[#This Row],[Age]]&lt;=25,"Young",IF(Table1[[#This Row],[Age]]&lt;=50,"Adult","Senior"))</f>
        <v>Senior</v>
      </c>
      <c r="T3197" s="1">
        <f>Table1[[#This Row],[Purchase Amount (USD)]]</f>
        <v>58</v>
      </c>
      <c r="U3197">
        <f>IF(Table1[[#This Row],[Subscription Status]]="Yes",1,IF(Table1[[#This Row],[Subscription Status]]="No",0))</f>
        <v>0</v>
      </c>
    </row>
    <row r="3198" spans="1:21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  <c r="S3198" t="str">
        <f>IF(Table1[[#This Row],[Age]]&lt;=25,"Young",IF(Table1[[#This Row],[Age]]&lt;=50,"Adult","Senior"))</f>
        <v>Young</v>
      </c>
      <c r="T3198" s="1">
        <f>Table1[[#This Row],[Purchase Amount (USD)]]</f>
        <v>59</v>
      </c>
      <c r="U3198">
        <f>IF(Table1[[#This Row],[Subscription Status]]="Yes",1,IF(Table1[[#This Row],[Subscription Status]]="No",0))</f>
        <v>0</v>
      </c>
    </row>
    <row r="3199" spans="1:21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  <c r="S3199" t="str">
        <f>IF(Table1[[#This Row],[Age]]&lt;=25,"Young",IF(Table1[[#This Row],[Age]]&lt;=50,"Adult","Senior"))</f>
        <v>Adult</v>
      </c>
      <c r="T3199" s="1">
        <f>Table1[[#This Row],[Purchase Amount (USD)]]</f>
        <v>71</v>
      </c>
      <c r="U3199">
        <f>IF(Table1[[#This Row],[Subscription Status]]="Yes",1,IF(Table1[[#This Row],[Subscription Status]]="No",0))</f>
        <v>0</v>
      </c>
    </row>
    <row r="3200" spans="1:21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  <c r="S3200" t="str">
        <f>IF(Table1[[#This Row],[Age]]&lt;=25,"Young",IF(Table1[[#This Row],[Age]]&lt;=50,"Adult","Senior"))</f>
        <v>Senior</v>
      </c>
      <c r="T3200" s="1">
        <f>Table1[[#This Row],[Purchase Amount (USD)]]</f>
        <v>94</v>
      </c>
      <c r="U3200">
        <f>IF(Table1[[#This Row],[Subscription Status]]="Yes",1,IF(Table1[[#This Row],[Subscription Status]]="No",0))</f>
        <v>0</v>
      </c>
    </row>
    <row r="3201" spans="1:21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  <c r="S3201" t="str">
        <f>IF(Table1[[#This Row],[Age]]&lt;=25,"Young",IF(Table1[[#This Row],[Age]]&lt;=50,"Adult","Senior"))</f>
        <v>Senior</v>
      </c>
      <c r="T3201" s="1">
        <f>Table1[[#This Row],[Purchase Amount (USD)]]</f>
        <v>40</v>
      </c>
      <c r="U3201">
        <f>IF(Table1[[#This Row],[Subscription Status]]="Yes",1,IF(Table1[[#This Row],[Subscription Status]]="No",0))</f>
        <v>0</v>
      </c>
    </row>
    <row r="3202" spans="1:21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  <c r="S3202" t="str">
        <f>IF(Table1[[#This Row],[Age]]&lt;=25,"Young",IF(Table1[[#This Row],[Age]]&lt;=50,"Adult","Senior"))</f>
        <v>Senior</v>
      </c>
      <c r="T3202" s="1">
        <f>Table1[[#This Row],[Purchase Amount (USD)]]</f>
        <v>24</v>
      </c>
      <c r="U3202">
        <f>IF(Table1[[#This Row],[Subscription Status]]="Yes",1,IF(Table1[[#This Row],[Subscription Status]]="No",0))</f>
        <v>0</v>
      </c>
    </row>
    <row r="3203" spans="1:21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  <c r="S3203" t="str">
        <f>IF(Table1[[#This Row],[Age]]&lt;=25,"Young",IF(Table1[[#This Row],[Age]]&lt;=50,"Adult","Senior"))</f>
        <v>Adult</v>
      </c>
      <c r="T3203" s="1">
        <f>Table1[[#This Row],[Purchase Amount (USD)]]</f>
        <v>38</v>
      </c>
      <c r="U3203">
        <f>IF(Table1[[#This Row],[Subscription Status]]="Yes",1,IF(Table1[[#This Row],[Subscription Status]]="No",0))</f>
        <v>0</v>
      </c>
    </row>
    <row r="3204" spans="1:21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  <c r="S3204" t="str">
        <f>IF(Table1[[#This Row],[Age]]&lt;=25,"Young",IF(Table1[[#This Row],[Age]]&lt;=50,"Adult","Senior"))</f>
        <v>Senior</v>
      </c>
      <c r="T3204" s="1">
        <f>Table1[[#This Row],[Purchase Amount (USD)]]</f>
        <v>37</v>
      </c>
      <c r="U3204">
        <f>IF(Table1[[#This Row],[Subscription Status]]="Yes",1,IF(Table1[[#This Row],[Subscription Status]]="No",0))</f>
        <v>0</v>
      </c>
    </row>
    <row r="3205" spans="1:21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  <c r="S3205" t="str">
        <f>IF(Table1[[#This Row],[Age]]&lt;=25,"Young",IF(Table1[[#This Row],[Age]]&lt;=50,"Adult","Senior"))</f>
        <v>Senior</v>
      </c>
      <c r="T3205" s="1">
        <f>Table1[[#This Row],[Purchase Amount (USD)]]</f>
        <v>29</v>
      </c>
      <c r="U3205">
        <f>IF(Table1[[#This Row],[Subscription Status]]="Yes",1,IF(Table1[[#This Row],[Subscription Status]]="No",0))</f>
        <v>0</v>
      </c>
    </row>
    <row r="3206" spans="1:21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  <c r="S3206" t="str">
        <f>IF(Table1[[#This Row],[Age]]&lt;=25,"Young",IF(Table1[[#This Row],[Age]]&lt;=50,"Adult","Senior"))</f>
        <v>Senior</v>
      </c>
      <c r="T3206" s="1">
        <f>Table1[[#This Row],[Purchase Amount (USD)]]</f>
        <v>92</v>
      </c>
      <c r="U3206">
        <f>IF(Table1[[#This Row],[Subscription Status]]="Yes",1,IF(Table1[[#This Row],[Subscription Status]]="No",0))</f>
        <v>0</v>
      </c>
    </row>
    <row r="3207" spans="1:21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  <c r="S3207" t="str">
        <f>IF(Table1[[#This Row],[Age]]&lt;=25,"Young",IF(Table1[[#This Row],[Age]]&lt;=50,"Adult","Senior"))</f>
        <v>Adult</v>
      </c>
      <c r="T3207" s="1">
        <f>Table1[[#This Row],[Purchase Amount (USD)]]</f>
        <v>24</v>
      </c>
      <c r="U3207">
        <f>IF(Table1[[#This Row],[Subscription Status]]="Yes",1,IF(Table1[[#This Row],[Subscription Status]]="No",0))</f>
        <v>0</v>
      </c>
    </row>
    <row r="3208" spans="1:21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  <c r="S3208" t="str">
        <f>IF(Table1[[#This Row],[Age]]&lt;=25,"Young",IF(Table1[[#This Row],[Age]]&lt;=50,"Adult","Senior"))</f>
        <v>Adult</v>
      </c>
      <c r="T3208" s="1">
        <f>Table1[[#This Row],[Purchase Amount (USD)]]</f>
        <v>52</v>
      </c>
      <c r="U3208">
        <f>IF(Table1[[#This Row],[Subscription Status]]="Yes",1,IF(Table1[[#This Row],[Subscription Status]]="No",0))</f>
        <v>0</v>
      </c>
    </row>
    <row r="3209" spans="1:21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  <c r="S3209" t="str">
        <f>IF(Table1[[#This Row],[Age]]&lt;=25,"Young",IF(Table1[[#This Row],[Age]]&lt;=50,"Adult","Senior"))</f>
        <v>Senior</v>
      </c>
      <c r="T3209" s="1">
        <f>Table1[[#This Row],[Purchase Amount (USD)]]</f>
        <v>29</v>
      </c>
      <c r="U3209">
        <f>IF(Table1[[#This Row],[Subscription Status]]="Yes",1,IF(Table1[[#This Row],[Subscription Status]]="No",0))</f>
        <v>0</v>
      </c>
    </row>
    <row r="3210" spans="1:21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  <c r="S3210" t="str">
        <f>IF(Table1[[#This Row],[Age]]&lt;=25,"Young",IF(Table1[[#This Row],[Age]]&lt;=50,"Adult","Senior"))</f>
        <v>Senior</v>
      </c>
      <c r="T3210" s="1">
        <f>Table1[[#This Row],[Purchase Amount (USD)]]</f>
        <v>30</v>
      </c>
      <c r="U3210">
        <f>IF(Table1[[#This Row],[Subscription Status]]="Yes",1,IF(Table1[[#This Row],[Subscription Status]]="No",0))</f>
        <v>0</v>
      </c>
    </row>
    <row r="3211" spans="1:21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  <c r="S3211" t="str">
        <f>IF(Table1[[#This Row],[Age]]&lt;=25,"Young",IF(Table1[[#This Row],[Age]]&lt;=50,"Adult","Senior"))</f>
        <v>Senior</v>
      </c>
      <c r="T3211" s="1">
        <f>Table1[[#This Row],[Purchase Amount (USD)]]</f>
        <v>31</v>
      </c>
      <c r="U3211">
        <f>IF(Table1[[#This Row],[Subscription Status]]="Yes",1,IF(Table1[[#This Row],[Subscription Status]]="No",0))</f>
        <v>0</v>
      </c>
    </row>
    <row r="3212" spans="1:21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  <c r="S3212" t="str">
        <f>IF(Table1[[#This Row],[Age]]&lt;=25,"Young",IF(Table1[[#This Row],[Age]]&lt;=50,"Adult","Senior"))</f>
        <v>Adult</v>
      </c>
      <c r="T3212" s="1">
        <f>Table1[[#This Row],[Purchase Amount (USD)]]</f>
        <v>67</v>
      </c>
      <c r="U3212">
        <f>IF(Table1[[#This Row],[Subscription Status]]="Yes",1,IF(Table1[[#This Row],[Subscription Status]]="No",0))</f>
        <v>0</v>
      </c>
    </row>
    <row r="3213" spans="1:21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  <c r="S3213" t="str">
        <f>IF(Table1[[#This Row],[Age]]&lt;=25,"Young",IF(Table1[[#This Row],[Age]]&lt;=50,"Adult","Senior"))</f>
        <v>Senior</v>
      </c>
      <c r="T3213" s="1">
        <f>Table1[[#This Row],[Purchase Amount (USD)]]</f>
        <v>65</v>
      </c>
      <c r="U3213">
        <f>IF(Table1[[#This Row],[Subscription Status]]="Yes",1,IF(Table1[[#This Row],[Subscription Status]]="No",0))</f>
        <v>0</v>
      </c>
    </row>
    <row r="3214" spans="1:21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  <c r="S3214" t="str">
        <f>IF(Table1[[#This Row],[Age]]&lt;=25,"Young",IF(Table1[[#This Row],[Age]]&lt;=50,"Adult","Senior"))</f>
        <v>Adult</v>
      </c>
      <c r="T3214" s="1">
        <f>Table1[[#This Row],[Purchase Amount (USD)]]</f>
        <v>22</v>
      </c>
      <c r="U3214">
        <f>IF(Table1[[#This Row],[Subscription Status]]="Yes",1,IF(Table1[[#This Row],[Subscription Status]]="No",0))</f>
        <v>0</v>
      </c>
    </row>
    <row r="3215" spans="1:21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  <c r="S3215" t="str">
        <f>IF(Table1[[#This Row],[Age]]&lt;=25,"Young",IF(Table1[[#This Row],[Age]]&lt;=50,"Adult","Senior"))</f>
        <v>Adult</v>
      </c>
      <c r="T3215" s="1">
        <f>Table1[[#This Row],[Purchase Amount (USD)]]</f>
        <v>56</v>
      </c>
      <c r="U3215">
        <f>IF(Table1[[#This Row],[Subscription Status]]="Yes",1,IF(Table1[[#This Row],[Subscription Status]]="No",0))</f>
        <v>0</v>
      </c>
    </row>
    <row r="3216" spans="1:21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  <c r="S3216" t="str">
        <f>IF(Table1[[#This Row],[Age]]&lt;=25,"Young",IF(Table1[[#This Row],[Age]]&lt;=50,"Adult","Senior"))</f>
        <v>Senior</v>
      </c>
      <c r="T3216" s="1">
        <f>Table1[[#This Row],[Purchase Amount (USD)]]</f>
        <v>78</v>
      </c>
      <c r="U3216">
        <f>IF(Table1[[#This Row],[Subscription Status]]="Yes",1,IF(Table1[[#This Row],[Subscription Status]]="No",0))</f>
        <v>0</v>
      </c>
    </row>
    <row r="3217" spans="1:21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  <c r="S3217" t="str">
        <f>IF(Table1[[#This Row],[Age]]&lt;=25,"Young",IF(Table1[[#This Row],[Age]]&lt;=50,"Adult","Senior"))</f>
        <v>Adult</v>
      </c>
      <c r="T3217" s="1">
        <f>Table1[[#This Row],[Purchase Amount (USD)]]</f>
        <v>90</v>
      </c>
      <c r="U3217">
        <f>IF(Table1[[#This Row],[Subscription Status]]="Yes",1,IF(Table1[[#This Row],[Subscription Status]]="No",0))</f>
        <v>0</v>
      </c>
    </row>
    <row r="3218" spans="1:21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  <c r="S3218" t="str">
        <f>IF(Table1[[#This Row],[Age]]&lt;=25,"Young",IF(Table1[[#This Row],[Age]]&lt;=50,"Adult","Senior"))</f>
        <v>Adult</v>
      </c>
      <c r="T3218" s="1">
        <f>Table1[[#This Row],[Purchase Amount (USD)]]</f>
        <v>85</v>
      </c>
      <c r="U3218">
        <f>IF(Table1[[#This Row],[Subscription Status]]="Yes",1,IF(Table1[[#This Row],[Subscription Status]]="No",0))</f>
        <v>0</v>
      </c>
    </row>
    <row r="3219" spans="1:21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  <c r="S3219" t="str">
        <f>IF(Table1[[#This Row],[Age]]&lt;=25,"Young",IF(Table1[[#This Row],[Age]]&lt;=50,"Adult","Senior"))</f>
        <v>Adult</v>
      </c>
      <c r="T3219" s="1">
        <f>Table1[[#This Row],[Purchase Amount (USD)]]</f>
        <v>58</v>
      </c>
      <c r="U3219">
        <f>IF(Table1[[#This Row],[Subscription Status]]="Yes",1,IF(Table1[[#This Row],[Subscription Status]]="No",0))</f>
        <v>0</v>
      </c>
    </row>
    <row r="3220" spans="1:21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  <c r="S3220" t="str">
        <f>IF(Table1[[#This Row],[Age]]&lt;=25,"Young",IF(Table1[[#This Row],[Age]]&lt;=50,"Adult","Senior"))</f>
        <v>Adult</v>
      </c>
      <c r="T3220" s="1">
        <f>Table1[[#This Row],[Purchase Amount (USD)]]</f>
        <v>34</v>
      </c>
      <c r="U3220">
        <f>IF(Table1[[#This Row],[Subscription Status]]="Yes",1,IF(Table1[[#This Row],[Subscription Status]]="No",0))</f>
        <v>0</v>
      </c>
    </row>
    <row r="3221" spans="1:21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  <c r="S3221" t="str">
        <f>IF(Table1[[#This Row],[Age]]&lt;=25,"Young",IF(Table1[[#This Row],[Age]]&lt;=50,"Adult","Senior"))</f>
        <v>Senior</v>
      </c>
      <c r="T3221" s="1">
        <f>Table1[[#This Row],[Purchase Amount (USD)]]</f>
        <v>40</v>
      </c>
      <c r="U3221">
        <f>IF(Table1[[#This Row],[Subscription Status]]="Yes",1,IF(Table1[[#This Row],[Subscription Status]]="No",0))</f>
        <v>0</v>
      </c>
    </row>
    <row r="3222" spans="1:21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  <c r="S3222" t="str">
        <f>IF(Table1[[#This Row],[Age]]&lt;=25,"Young",IF(Table1[[#This Row],[Age]]&lt;=50,"Adult","Senior"))</f>
        <v>Adult</v>
      </c>
      <c r="T3222" s="1">
        <f>Table1[[#This Row],[Purchase Amount (USD)]]</f>
        <v>29</v>
      </c>
      <c r="U3222">
        <f>IF(Table1[[#This Row],[Subscription Status]]="Yes",1,IF(Table1[[#This Row],[Subscription Status]]="No",0))</f>
        <v>0</v>
      </c>
    </row>
    <row r="3223" spans="1:21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  <c r="S3223" t="str">
        <f>IF(Table1[[#This Row],[Age]]&lt;=25,"Young",IF(Table1[[#This Row],[Age]]&lt;=50,"Adult","Senior"))</f>
        <v>Young</v>
      </c>
      <c r="T3223" s="1">
        <f>Table1[[#This Row],[Purchase Amount (USD)]]</f>
        <v>76</v>
      </c>
      <c r="U3223">
        <f>IF(Table1[[#This Row],[Subscription Status]]="Yes",1,IF(Table1[[#This Row],[Subscription Status]]="No",0))</f>
        <v>0</v>
      </c>
    </row>
    <row r="3224" spans="1:21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  <c r="S3224" t="str">
        <f>IF(Table1[[#This Row],[Age]]&lt;=25,"Young",IF(Table1[[#This Row],[Age]]&lt;=50,"Adult","Senior"))</f>
        <v>Adult</v>
      </c>
      <c r="T3224" s="1">
        <f>Table1[[#This Row],[Purchase Amount (USD)]]</f>
        <v>84</v>
      </c>
      <c r="U3224">
        <f>IF(Table1[[#This Row],[Subscription Status]]="Yes",1,IF(Table1[[#This Row],[Subscription Status]]="No",0))</f>
        <v>0</v>
      </c>
    </row>
    <row r="3225" spans="1:21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  <c r="S3225" t="str">
        <f>IF(Table1[[#This Row],[Age]]&lt;=25,"Young",IF(Table1[[#This Row],[Age]]&lt;=50,"Adult","Senior"))</f>
        <v>Senior</v>
      </c>
      <c r="T3225" s="1">
        <f>Table1[[#This Row],[Purchase Amount (USD)]]</f>
        <v>65</v>
      </c>
      <c r="U3225">
        <f>IF(Table1[[#This Row],[Subscription Status]]="Yes",1,IF(Table1[[#This Row],[Subscription Status]]="No",0))</f>
        <v>0</v>
      </c>
    </row>
    <row r="3226" spans="1:21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  <c r="S3226" t="str">
        <f>IF(Table1[[#This Row],[Age]]&lt;=25,"Young",IF(Table1[[#This Row],[Age]]&lt;=50,"Adult","Senior"))</f>
        <v>Adult</v>
      </c>
      <c r="T3226" s="1">
        <f>Table1[[#This Row],[Purchase Amount (USD)]]</f>
        <v>80</v>
      </c>
      <c r="U3226">
        <f>IF(Table1[[#This Row],[Subscription Status]]="Yes",1,IF(Table1[[#This Row],[Subscription Status]]="No",0))</f>
        <v>0</v>
      </c>
    </row>
    <row r="3227" spans="1:21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  <c r="S3227" t="str">
        <f>IF(Table1[[#This Row],[Age]]&lt;=25,"Young",IF(Table1[[#This Row],[Age]]&lt;=50,"Adult","Senior"))</f>
        <v>Senior</v>
      </c>
      <c r="T3227" s="1">
        <f>Table1[[#This Row],[Purchase Amount (USD)]]</f>
        <v>98</v>
      </c>
      <c r="U3227">
        <f>IF(Table1[[#This Row],[Subscription Status]]="Yes",1,IF(Table1[[#This Row],[Subscription Status]]="No",0))</f>
        <v>0</v>
      </c>
    </row>
    <row r="3228" spans="1:21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  <c r="S3228" t="str">
        <f>IF(Table1[[#This Row],[Age]]&lt;=25,"Young",IF(Table1[[#This Row],[Age]]&lt;=50,"Adult","Senior"))</f>
        <v>Senior</v>
      </c>
      <c r="T3228" s="1">
        <f>Table1[[#This Row],[Purchase Amount (USD)]]</f>
        <v>71</v>
      </c>
      <c r="U3228">
        <f>IF(Table1[[#This Row],[Subscription Status]]="Yes",1,IF(Table1[[#This Row],[Subscription Status]]="No",0))</f>
        <v>0</v>
      </c>
    </row>
    <row r="3229" spans="1:21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  <c r="S3229" t="str">
        <f>IF(Table1[[#This Row],[Age]]&lt;=25,"Young",IF(Table1[[#This Row],[Age]]&lt;=50,"Adult","Senior"))</f>
        <v>Adult</v>
      </c>
      <c r="T3229" s="1">
        <f>Table1[[#This Row],[Purchase Amount (USD)]]</f>
        <v>69</v>
      </c>
      <c r="U3229">
        <f>IF(Table1[[#This Row],[Subscription Status]]="Yes",1,IF(Table1[[#This Row],[Subscription Status]]="No",0))</f>
        <v>0</v>
      </c>
    </row>
    <row r="3230" spans="1:21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  <c r="S3230" t="str">
        <f>IF(Table1[[#This Row],[Age]]&lt;=25,"Young",IF(Table1[[#This Row],[Age]]&lt;=50,"Adult","Senior"))</f>
        <v>Adult</v>
      </c>
      <c r="T3230" s="1">
        <f>Table1[[#This Row],[Purchase Amount (USD)]]</f>
        <v>95</v>
      </c>
      <c r="U3230">
        <f>IF(Table1[[#This Row],[Subscription Status]]="Yes",1,IF(Table1[[#This Row],[Subscription Status]]="No",0))</f>
        <v>0</v>
      </c>
    </row>
    <row r="3231" spans="1:21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  <c r="S3231" t="str">
        <f>IF(Table1[[#This Row],[Age]]&lt;=25,"Young",IF(Table1[[#This Row],[Age]]&lt;=50,"Adult","Senior"))</f>
        <v>Senior</v>
      </c>
      <c r="T3231" s="1">
        <f>Table1[[#This Row],[Purchase Amount (USD)]]</f>
        <v>67</v>
      </c>
      <c r="U3231">
        <f>IF(Table1[[#This Row],[Subscription Status]]="Yes",1,IF(Table1[[#This Row],[Subscription Status]]="No",0))</f>
        <v>0</v>
      </c>
    </row>
    <row r="3232" spans="1:21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  <c r="S3232" t="str">
        <f>IF(Table1[[#This Row],[Age]]&lt;=25,"Young",IF(Table1[[#This Row],[Age]]&lt;=50,"Adult","Senior"))</f>
        <v>Adult</v>
      </c>
      <c r="T3232" s="1">
        <f>Table1[[#This Row],[Purchase Amount (USD)]]</f>
        <v>49</v>
      </c>
      <c r="U3232">
        <f>IF(Table1[[#This Row],[Subscription Status]]="Yes",1,IF(Table1[[#This Row],[Subscription Status]]="No",0))</f>
        <v>0</v>
      </c>
    </row>
    <row r="3233" spans="1:21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  <c r="S3233" t="str">
        <f>IF(Table1[[#This Row],[Age]]&lt;=25,"Young",IF(Table1[[#This Row],[Age]]&lt;=50,"Adult","Senior"))</f>
        <v>Senior</v>
      </c>
      <c r="T3233" s="1">
        <f>Table1[[#This Row],[Purchase Amount (USD)]]</f>
        <v>97</v>
      </c>
      <c r="U3233">
        <f>IF(Table1[[#This Row],[Subscription Status]]="Yes",1,IF(Table1[[#This Row],[Subscription Status]]="No",0))</f>
        <v>0</v>
      </c>
    </row>
    <row r="3234" spans="1:21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  <c r="S3234" t="str">
        <f>IF(Table1[[#This Row],[Age]]&lt;=25,"Young",IF(Table1[[#This Row],[Age]]&lt;=50,"Adult","Senior"))</f>
        <v>Adult</v>
      </c>
      <c r="T3234" s="1">
        <f>Table1[[#This Row],[Purchase Amount (USD)]]</f>
        <v>34</v>
      </c>
      <c r="U3234">
        <f>IF(Table1[[#This Row],[Subscription Status]]="Yes",1,IF(Table1[[#This Row],[Subscription Status]]="No",0))</f>
        <v>0</v>
      </c>
    </row>
    <row r="3235" spans="1:21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  <c r="S3235" t="str">
        <f>IF(Table1[[#This Row],[Age]]&lt;=25,"Young",IF(Table1[[#This Row],[Age]]&lt;=50,"Adult","Senior"))</f>
        <v>Adult</v>
      </c>
      <c r="T3235" s="1">
        <f>Table1[[#This Row],[Purchase Amount (USD)]]</f>
        <v>74</v>
      </c>
      <c r="U3235">
        <f>IF(Table1[[#This Row],[Subscription Status]]="Yes",1,IF(Table1[[#This Row],[Subscription Status]]="No",0))</f>
        <v>0</v>
      </c>
    </row>
    <row r="3236" spans="1:21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  <c r="S3236" t="str">
        <f>IF(Table1[[#This Row],[Age]]&lt;=25,"Young",IF(Table1[[#This Row],[Age]]&lt;=50,"Adult","Senior"))</f>
        <v>Adult</v>
      </c>
      <c r="T3236" s="1">
        <f>Table1[[#This Row],[Purchase Amount (USD)]]</f>
        <v>96</v>
      </c>
      <c r="U3236">
        <f>IF(Table1[[#This Row],[Subscription Status]]="Yes",1,IF(Table1[[#This Row],[Subscription Status]]="No",0))</f>
        <v>0</v>
      </c>
    </row>
    <row r="3237" spans="1:21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  <c r="S3237" t="str">
        <f>IF(Table1[[#This Row],[Age]]&lt;=25,"Young",IF(Table1[[#This Row],[Age]]&lt;=50,"Adult","Senior"))</f>
        <v>Adult</v>
      </c>
      <c r="T3237" s="1">
        <f>Table1[[#This Row],[Purchase Amount (USD)]]</f>
        <v>68</v>
      </c>
      <c r="U3237">
        <f>IF(Table1[[#This Row],[Subscription Status]]="Yes",1,IF(Table1[[#This Row],[Subscription Status]]="No",0))</f>
        <v>0</v>
      </c>
    </row>
    <row r="3238" spans="1:21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  <c r="S3238" t="str">
        <f>IF(Table1[[#This Row],[Age]]&lt;=25,"Young",IF(Table1[[#This Row],[Age]]&lt;=50,"Adult","Senior"))</f>
        <v>Senior</v>
      </c>
      <c r="T3238" s="1">
        <f>Table1[[#This Row],[Purchase Amount (USD)]]</f>
        <v>84</v>
      </c>
      <c r="U3238">
        <f>IF(Table1[[#This Row],[Subscription Status]]="Yes",1,IF(Table1[[#This Row],[Subscription Status]]="No",0))</f>
        <v>0</v>
      </c>
    </row>
    <row r="3239" spans="1:21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  <c r="S3239" t="str">
        <f>IF(Table1[[#This Row],[Age]]&lt;=25,"Young",IF(Table1[[#This Row],[Age]]&lt;=50,"Adult","Senior"))</f>
        <v>Senior</v>
      </c>
      <c r="T3239" s="1">
        <f>Table1[[#This Row],[Purchase Amount (USD)]]</f>
        <v>57</v>
      </c>
      <c r="U3239">
        <f>IF(Table1[[#This Row],[Subscription Status]]="Yes",1,IF(Table1[[#This Row],[Subscription Status]]="No",0))</f>
        <v>0</v>
      </c>
    </row>
    <row r="3240" spans="1:21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  <c r="S3240" t="str">
        <f>IF(Table1[[#This Row],[Age]]&lt;=25,"Young",IF(Table1[[#This Row],[Age]]&lt;=50,"Adult","Senior"))</f>
        <v>Young</v>
      </c>
      <c r="T3240" s="1">
        <f>Table1[[#This Row],[Purchase Amount (USD)]]</f>
        <v>84</v>
      </c>
      <c r="U3240">
        <f>IF(Table1[[#This Row],[Subscription Status]]="Yes",1,IF(Table1[[#This Row],[Subscription Status]]="No",0))</f>
        <v>0</v>
      </c>
    </row>
    <row r="3241" spans="1:21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  <c r="S3241" t="str">
        <f>IF(Table1[[#This Row],[Age]]&lt;=25,"Young",IF(Table1[[#This Row],[Age]]&lt;=50,"Adult","Senior"))</f>
        <v>Adult</v>
      </c>
      <c r="T3241" s="1">
        <f>Table1[[#This Row],[Purchase Amount (USD)]]</f>
        <v>32</v>
      </c>
      <c r="U3241">
        <f>IF(Table1[[#This Row],[Subscription Status]]="Yes",1,IF(Table1[[#This Row],[Subscription Status]]="No",0))</f>
        <v>0</v>
      </c>
    </row>
    <row r="3242" spans="1:21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  <c r="S3242" t="str">
        <f>IF(Table1[[#This Row],[Age]]&lt;=25,"Young",IF(Table1[[#This Row],[Age]]&lt;=50,"Adult","Senior"))</f>
        <v>Senior</v>
      </c>
      <c r="T3242" s="1">
        <f>Table1[[#This Row],[Purchase Amount (USD)]]</f>
        <v>37</v>
      </c>
      <c r="U3242">
        <f>IF(Table1[[#This Row],[Subscription Status]]="Yes",1,IF(Table1[[#This Row],[Subscription Status]]="No",0))</f>
        <v>0</v>
      </c>
    </row>
    <row r="3243" spans="1:21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  <c r="S3243" t="str">
        <f>IF(Table1[[#This Row],[Age]]&lt;=25,"Young",IF(Table1[[#This Row],[Age]]&lt;=50,"Adult","Senior"))</f>
        <v>Adult</v>
      </c>
      <c r="T3243" s="1">
        <f>Table1[[#This Row],[Purchase Amount (USD)]]</f>
        <v>58</v>
      </c>
      <c r="U3243">
        <f>IF(Table1[[#This Row],[Subscription Status]]="Yes",1,IF(Table1[[#This Row],[Subscription Status]]="No",0))</f>
        <v>0</v>
      </c>
    </row>
    <row r="3244" spans="1:21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  <c r="S3244" t="str">
        <f>IF(Table1[[#This Row],[Age]]&lt;=25,"Young",IF(Table1[[#This Row],[Age]]&lt;=50,"Adult","Senior"))</f>
        <v>Adult</v>
      </c>
      <c r="T3244" s="1">
        <f>Table1[[#This Row],[Purchase Amount (USD)]]</f>
        <v>74</v>
      </c>
      <c r="U3244">
        <f>IF(Table1[[#This Row],[Subscription Status]]="Yes",1,IF(Table1[[#This Row],[Subscription Status]]="No",0))</f>
        <v>0</v>
      </c>
    </row>
    <row r="3245" spans="1:21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  <c r="S3245" t="str">
        <f>IF(Table1[[#This Row],[Age]]&lt;=25,"Young",IF(Table1[[#This Row],[Age]]&lt;=50,"Adult","Senior"))</f>
        <v>Adult</v>
      </c>
      <c r="T3245" s="1">
        <f>Table1[[#This Row],[Purchase Amount (USD)]]</f>
        <v>99</v>
      </c>
      <c r="U3245">
        <f>IF(Table1[[#This Row],[Subscription Status]]="Yes",1,IF(Table1[[#This Row],[Subscription Status]]="No",0))</f>
        <v>0</v>
      </c>
    </row>
    <row r="3246" spans="1:21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  <c r="S3246" t="str">
        <f>IF(Table1[[#This Row],[Age]]&lt;=25,"Young",IF(Table1[[#This Row],[Age]]&lt;=50,"Adult","Senior"))</f>
        <v>Senior</v>
      </c>
      <c r="T3246" s="1">
        <f>Table1[[#This Row],[Purchase Amount (USD)]]</f>
        <v>81</v>
      </c>
      <c r="U3246">
        <f>IF(Table1[[#This Row],[Subscription Status]]="Yes",1,IF(Table1[[#This Row],[Subscription Status]]="No",0))</f>
        <v>0</v>
      </c>
    </row>
    <row r="3247" spans="1:21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  <c r="S3247" t="str">
        <f>IF(Table1[[#This Row],[Age]]&lt;=25,"Young",IF(Table1[[#This Row],[Age]]&lt;=50,"Adult","Senior"))</f>
        <v>Senior</v>
      </c>
      <c r="T3247" s="1">
        <f>Table1[[#This Row],[Purchase Amount (USD)]]</f>
        <v>76</v>
      </c>
      <c r="U3247">
        <f>IF(Table1[[#This Row],[Subscription Status]]="Yes",1,IF(Table1[[#This Row],[Subscription Status]]="No",0))</f>
        <v>0</v>
      </c>
    </row>
    <row r="3248" spans="1:21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  <c r="S3248" t="str">
        <f>IF(Table1[[#This Row],[Age]]&lt;=25,"Young",IF(Table1[[#This Row],[Age]]&lt;=50,"Adult","Senior"))</f>
        <v>Senior</v>
      </c>
      <c r="T3248" s="1">
        <f>Table1[[#This Row],[Purchase Amount (USD)]]</f>
        <v>98</v>
      </c>
      <c r="U3248">
        <f>IF(Table1[[#This Row],[Subscription Status]]="Yes",1,IF(Table1[[#This Row],[Subscription Status]]="No",0))</f>
        <v>0</v>
      </c>
    </row>
    <row r="3249" spans="1:21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  <c r="S3249" t="str">
        <f>IF(Table1[[#This Row],[Age]]&lt;=25,"Young",IF(Table1[[#This Row],[Age]]&lt;=50,"Adult","Senior"))</f>
        <v>Senior</v>
      </c>
      <c r="T3249" s="1">
        <f>Table1[[#This Row],[Purchase Amount (USD)]]</f>
        <v>91</v>
      </c>
      <c r="U3249">
        <f>IF(Table1[[#This Row],[Subscription Status]]="Yes",1,IF(Table1[[#This Row],[Subscription Status]]="No",0))</f>
        <v>0</v>
      </c>
    </row>
    <row r="3250" spans="1:21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  <c r="S3250" t="str">
        <f>IF(Table1[[#This Row],[Age]]&lt;=25,"Young",IF(Table1[[#This Row],[Age]]&lt;=50,"Adult","Senior"))</f>
        <v>Young</v>
      </c>
      <c r="T3250" s="1">
        <f>Table1[[#This Row],[Purchase Amount (USD)]]</f>
        <v>79</v>
      </c>
      <c r="U3250">
        <f>IF(Table1[[#This Row],[Subscription Status]]="Yes",1,IF(Table1[[#This Row],[Subscription Status]]="No",0))</f>
        <v>0</v>
      </c>
    </row>
    <row r="3251" spans="1:21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  <c r="S3251" t="str">
        <f>IF(Table1[[#This Row],[Age]]&lt;=25,"Young",IF(Table1[[#This Row],[Age]]&lt;=50,"Adult","Senior"))</f>
        <v>Adult</v>
      </c>
      <c r="T3251" s="1">
        <f>Table1[[#This Row],[Purchase Amount (USD)]]</f>
        <v>83</v>
      </c>
      <c r="U3251">
        <f>IF(Table1[[#This Row],[Subscription Status]]="Yes",1,IF(Table1[[#This Row],[Subscription Status]]="No",0))</f>
        <v>0</v>
      </c>
    </row>
    <row r="3252" spans="1:21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  <c r="S3252" t="str">
        <f>IF(Table1[[#This Row],[Age]]&lt;=25,"Young",IF(Table1[[#This Row],[Age]]&lt;=50,"Adult","Senior"))</f>
        <v>Young</v>
      </c>
      <c r="T3252" s="1">
        <f>Table1[[#This Row],[Purchase Amount (USD)]]</f>
        <v>90</v>
      </c>
      <c r="U3252">
        <f>IF(Table1[[#This Row],[Subscription Status]]="Yes",1,IF(Table1[[#This Row],[Subscription Status]]="No",0))</f>
        <v>0</v>
      </c>
    </row>
    <row r="3253" spans="1:21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  <c r="S3253" t="str">
        <f>IF(Table1[[#This Row],[Age]]&lt;=25,"Young",IF(Table1[[#This Row],[Age]]&lt;=50,"Adult","Senior"))</f>
        <v>Young</v>
      </c>
      <c r="T3253" s="1">
        <f>Table1[[#This Row],[Purchase Amount (USD)]]</f>
        <v>20</v>
      </c>
      <c r="U3253">
        <f>IF(Table1[[#This Row],[Subscription Status]]="Yes",1,IF(Table1[[#This Row],[Subscription Status]]="No",0))</f>
        <v>0</v>
      </c>
    </row>
    <row r="3254" spans="1:21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  <c r="S3254" t="str">
        <f>IF(Table1[[#This Row],[Age]]&lt;=25,"Young",IF(Table1[[#This Row],[Age]]&lt;=50,"Adult","Senior"))</f>
        <v>Senior</v>
      </c>
      <c r="T3254" s="1">
        <f>Table1[[#This Row],[Purchase Amount (USD)]]</f>
        <v>21</v>
      </c>
      <c r="U3254">
        <f>IF(Table1[[#This Row],[Subscription Status]]="Yes",1,IF(Table1[[#This Row],[Subscription Status]]="No",0))</f>
        <v>0</v>
      </c>
    </row>
    <row r="3255" spans="1:21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  <c r="S3255" t="str">
        <f>IF(Table1[[#This Row],[Age]]&lt;=25,"Young",IF(Table1[[#This Row],[Age]]&lt;=50,"Adult","Senior"))</f>
        <v>Adult</v>
      </c>
      <c r="T3255" s="1">
        <f>Table1[[#This Row],[Purchase Amount (USD)]]</f>
        <v>60</v>
      </c>
      <c r="U3255">
        <f>IF(Table1[[#This Row],[Subscription Status]]="Yes",1,IF(Table1[[#This Row],[Subscription Status]]="No",0))</f>
        <v>0</v>
      </c>
    </row>
    <row r="3256" spans="1:21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  <c r="S3256" t="str">
        <f>IF(Table1[[#This Row],[Age]]&lt;=25,"Young",IF(Table1[[#This Row],[Age]]&lt;=50,"Adult","Senior"))</f>
        <v>Young</v>
      </c>
      <c r="T3256" s="1">
        <f>Table1[[#This Row],[Purchase Amount (USD)]]</f>
        <v>31</v>
      </c>
      <c r="U3256">
        <f>IF(Table1[[#This Row],[Subscription Status]]="Yes",1,IF(Table1[[#This Row],[Subscription Status]]="No",0))</f>
        <v>0</v>
      </c>
    </row>
    <row r="3257" spans="1:21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  <c r="S3257" t="str">
        <f>IF(Table1[[#This Row],[Age]]&lt;=25,"Young",IF(Table1[[#This Row],[Age]]&lt;=50,"Adult","Senior"))</f>
        <v>Senior</v>
      </c>
      <c r="T3257" s="1">
        <f>Table1[[#This Row],[Purchase Amount (USD)]]</f>
        <v>40</v>
      </c>
      <c r="U3257">
        <f>IF(Table1[[#This Row],[Subscription Status]]="Yes",1,IF(Table1[[#This Row],[Subscription Status]]="No",0))</f>
        <v>0</v>
      </c>
    </row>
    <row r="3258" spans="1:21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  <c r="S3258" t="str">
        <f>IF(Table1[[#This Row],[Age]]&lt;=25,"Young",IF(Table1[[#This Row],[Age]]&lt;=50,"Adult","Senior"))</f>
        <v>Senior</v>
      </c>
      <c r="T3258" s="1">
        <f>Table1[[#This Row],[Purchase Amount (USD)]]</f>
        <v>26</v>
      </c>
      <c r="U3258">
        <f>IF(Table1[[#This Row],[Subscription Status]]="Yes",1,IF(Table1[[#This Row],[Subscription Status]]="No",0))</f>
        <v>0</v>
      </c>
    </row>
    <row r="3259" spans="1:21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  <c r="S3259" t="str">
        <f>IF(Table1[[#This Row],[Age]]&lt;=25,"Young",IF(Table1[[#This Row],[Age]]&lt;=50,"Adult","Senior"))</f>
        <v>Adult</v>
      </c>
      <c r="T3259" s="1">
        <f>Table1[[#This Row],[Purchase Amount (USD)]]</f>
        <v>98</v>
      </c>
      <c r="U3259">
        <f>IF(Table1[[#This Row],[Subscription Status]]="Yes",1,IF(Table1[[#This Row],[Subscription Status]]="No",0))</f>
        <v>0</v>
      </c>
    </row>
    <row r="3260" spans="1:21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  <c r="S3260" t="str">
        <f>IF(Table1[[#This Row],[Age]]&lt;=25,"Young",IF(Table1[[#This Row],[Age]]&lt;=50,"Adult","Senior"))</f>
        <v>Adult</v>
      </c>
      <c r="T3260" s="1">
        <f>Table1[[#This Row],[Purchase Amount (USD)]]</f>
        <v>51</v>
      </c>
      <c r="U3260">
        <f>IF(Table1[[#This Row],[Subscription Status]]="Yes",1,IF(Table1[[#This Row],[Subscription Status]]="No",0))</f>
        <v>0</v>
      </c>
    </row>
    <row r="3261" spans="1:21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  <c r="S3261" t="str">
        <f>IF(Table1[[#This Row],[Age]]&lt;=25,"Young",IF(Table1[[#This Row],[Age]]&lt;=50,"Adult","Senior"))</f>
        <v>Senior</v>
      </c>
      <c r="T3261" s="1">
        <f>Table1[[#This Row],[Purchase Amount (USD)]]</f>
        <v>95</v>
      </c>
      <c r="U3261">
        <f>IF(Table1[[#This Row],[Subscription Status]]="Yes",1,IF(Table1[[#This Row],[Subscription Status]]="No",0))</f>
        <v>0</v>
      </c>
    </row>
    <row r="3262" spans="1:21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  <c r="S3262" t="str">
        <f>IF(Table1[[#This Row],[Age]]&lt;=25,"Young",IF(Table1[[#This Row],[Age]]&lt;=50,"Adult","Senior"))</f>
        <v>Adult</v>
      </c>
      <c r="T3262" s="1">
        <f>Table1[[#This Row],[Purchase Amount (USD)]]</f>
        <v>36</v>
      </c>
      <c r="U3262">
        <f>IF(Table1[[#This Row],[Subscription Status]]="Yes",1,IF(Table1[[#This Row],[Subscription Status]]="No",0))</f>
        <v>0</v>
      </c>
    </row>
    <row r="3263" spans="1:21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  <c r="S3263" t="str">
        <f>IF(Table1[[#This Row],[Age]]&lt;=25,"Young",IF(Table1[[#This Row],[Age]]&lt;=50,"Adult","Senior"))</f>
        <v>Adult</v>
      </c>
      <c r="T3263" s="1">
        <f>Table1[[#This Row],[Purchase Amount (USD)]]</f>
        <v>52</v>
      </c>
      <c r="U3263">
        <f>IF(Table1[[#This Row],[Subscription Status]]="Yes",1,IF(Table1[[#This Row],[Subscription Status]]="No",0))</f>
        <v>0</v>
      </c>
    </row>
    <row r="3264" spans="1:21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  <c r="S3264" t="str">
        <f>IF(Table1[[#This Row],[Age]]&lt;=25,"Young",IF(Table1[[#This Row],[Age]]&lt;=50,"Adult","Senior"))</f>
        <v>Adult</v>
      </c>
      <c r="T3264" s="1">
        <f>Table1[[#This Row],[Purchase Amount (USD)]]</f>
        <v>35</v>
      </c>
      <c r="U3264">
        <f>IF(Table1[[#This Row],[Subscription Status]]="Yes",1,IF(Table1[[#This Row],[Subscription Status]]="No",0))</f>
        <v>0</v>
      </c>
    </row>
    <row r="3265" spans="1:21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  <c r="S3265" t="str">
        <f>IF(Table1[[#This Row],[Age]]&lt;=25,"Young",IF(Table1[[#This Row],[Age]]&lt;=50,"Adult","Senior"))</f>
        <v>Senior</v>
      </c>
      <c r="T3265" s="1">
        <f>Table1[[#This Row],[Purchase Amount (USD)]]</f>
        <v>68</v>
      </c>
      <c r="U3265">
        <f>IF(Table1[[#This Row],[Subscription Status]]="Yes",1,IF(Table1[[#This Row],[Subscription Status]]="No",0))</f>
        <v>0</v>
      </c>
    </row>
    <row r="3266" spans="1:21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  <c r="S3266" t="str">
        <f>IF(Table1[[#This Row],[Age]]&lt;=25,"Young",IF(Table1[[#This Row],[Age]]&lt;=50,"Adult","Senior"))</f>
        <v>Adult</v>
      </c>
      <c r="T3266" s="1">
        <f>Table1[[#This Row],[Purchase Amount (USD)]]</f>
        <v>50</v>
      </c>
      <c r="U3266">
        <f>IF(Table1[[#This Row],[Subscription Status]]="Yes",1,IF(Table1[[#This Row],[Subscription Status]]="No",0))</f>
        <v>0</v>
      </c>
    </row>
    <row r="3267" spans="1:21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  <c r="S3267" t="str">
        <f>IF(Table1[[#This Row],[Age]]&lt;=25,"Young",IF(Table1[[#This Row],[Age]]&lt;=50,"Adult","Senior"))</f>
        <v>Adult</v>
      </c>
      <c r="T3267" s="1">
        <f>Table1[[#This Row],[Purchase Amount (USD)]]</f>
        <v>100</v>
      </c>
      <c r="U3267">
        <f>IF(Table1[[#This Row],[Subscription Status]]="Yes",1,IF(Table1[[#This Row],[Subscription Status]]="No",0))</f>
        <v>0</v>
      </c>
    </row>
    <row r="3268" spans="1:21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  <c r="S3268" t="str">
        <f>IF(Table1[[#This Row],[Age]]&lt;=25,"Young",IF(Table1[[#This Row],[Age]]&lt;=50,"Adult","Senior"))</f>
        <v>Adult</v>
      </c>
      <c r="T3268" s="1">
        <f>Table1[[#This Row],[Purchase Amount (USD)]]</f>
        <v>74</v>
      </c>
      <c r="U3268">
        <f>IF(Table1[[#This Row],[Subscription Status]]="Yes",1,IF(Table1[[#This Row],[Subscription Status]]="No",0))</f>
        <v>0</v>
      </c>
    </row>
    <row r="3269" spans="1:21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  <c r="S3269" t="str">
        <f>IF(Table1[[#This Row],[Age]]&lt;=25,"Young",IF(Table1[[#This Row],[Age]]&lt;=50,"Adult","Senior"))</f>
        <v>Adult</v>
      </c>
      <c r="T3269" s="1">
        <f>Table1[[#This Row],[Purchase Amount (USD)]]</f>
        <v>45</v>
      </c>
      <c r="U3269">
        <f>IF(Table1[[#This Row],[Subscription Status]]="Yes",1,IF(Table1[[#This Row],[Subscription Status]]="No",0))</f>
        <v>0</v>
      </c>
    </row>
    <row r="3270" spans="1:21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  <c r="S3270" t="str">
        <f>IF(Table1[[#This Row],[Age]]&lt;=25,"Young",IF(Table1[[#This Row],[Age]]&lt;=50,"Adult","Senior"))</f>
        <v>Young</v>
      </c>
      <c r="T3270" s="1">
        <f>Table1[[#This Row],[Purchase Amount (USD)]]</f>
        <v>97</v>
      </c>
      <c r="U3270">
        <f>IF(Table1[[#This Row],[Subscription Status]]="Yes",1,IF(Table1[[#This Row],[Subscription Status]]="No",0))</f>
        <v>0</v>
      </c>
    </row>
    <row r="3271" spans="1:21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  <c r="S3271" t="str">
        <f>IF(Table1[[#This Row],[Age]]&lt;=25,"Young",IF(Table1[[#This Row],[Age]]&lt;=50,"Adult","Senior"))</f>
        <v>Adult</v>
      </c>
      <c r="T3271" s="1">
        <f>Table1[[#This Row],[Purchase Amount (USD)]]</f>
        <v>60</v>
      </c>
      <c r="U3271">
        <f>IF(Table1[[#This Row],[Subscription Status]]="Yes",1,IF(Table1[[#This Row],[Subscription Status]]="No",0))</f>
        <v>0</v>
      </c>
    </row>
    <row r="3272" spans="1:21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  <c r="S3272" t="str">
        <f>IF(Table1[[#This Row],[Age]]&lt;=25,"Young",IF(Table1[[#This Row],[Age]]&lt;=50,"Adult","Senior"))</f>
        <v>Senior</v>
      </c>
      <c r="T3272" s="1">
        <f>Table1[[#This Row],[Purchase Amount (USD)]]</f>
        <v>25</v>
      </c>
      <c r="U3272">
        <f>IF(Table1[[#This Row],[Subscription Status]]="Yes",1,IF(Table1[[#This Row],[Subscription Status]]="No",0))</f>
        <v>0</v>
      </c>
    </row>
    <row r="3273" spans="1:21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  <c r="S3273" t="str">
        <f>IF(Table1[[#This Row],[Age]]&lt;=25,"Young",IF(Table1[[#This Row],[Age]]&lt;=50,"Adult","Senior"))</f>
        <v>Adult</v>
      </c>
      <c r="T3273" s="1">
        <f>Table1[[#This Row],[Purchase Amount (USD)]]</f>
        <v>55</v>
      </c>
      <c r="U3273">
        <f>IF(Table1[[#This Row],[Subscription Status]]="Yes",1,IF(Table1[[#This Row],[Subscription Status]]="No",0))</f>
        <v>0</v>
      </c>
    </row>
    <row r="3274" spans="1:21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  <c r="S3274" t="str">
        <f>IF(Table1[[#This Row],[Age]]&lt;=25,"Young",IF(Table1[[#This Row],[Age]]&lt;=50,"Adult","Senior"))</f>
        <v>Senior</v>
      </c>
      <c r="T3274" s="1">
        <f>Table1[[#This Row],[Purchase Amount (USD)]]</f>
        <v>99</v>
      </c>
      <c r="U3274">
        <f>IF(Table1[[#This Row],[Subscription Status]]="Yes",1,IF(Table1[[#This Row],[Subscription Status]]="No",0))</f>
        <v>0</v>
      </c>
    </row>
    <row r="3275" spans="1:21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  <c r="S3275" t="str">
        <f>IF(Table1[[#This Row],[Age]]&lt;=25,"Young",IF(Table1[[#This Row],[Age]]&lt;=50,"Adult","Senior"))</f>
        <v>Senior</v>
      </c>
      <c r="T3275" s="1">
        <f>Table1[[#This Row],[Purchase Amount (USD)]]</f>
        <v>45</v>
      </c>
      <c r="U3275">
        <f>IF(Table1[[#This Row],[Subscription Status]]="Yes",1,IF(Table1[[#This Row],[Subscription Status]]="No",0))</f>
        <v>0</v>
      </c>
    </row>
    <row r="3276" spans="1:21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  <c r="S3276" t="str">
        <f>IF(Table1[[#This Row],[Age]]&lt;=25,"Young",IF(Table1[[#This Row],[Age]]&lt;=50,"Adult","Senior"))</f>
        <v>Adult</v>
      </c>
      <c r="T3276" s="1">
        <f>Table1[[#This Row],[Purchase Amount (USD)]]</f>
        <v>20</v>
      </c>
      <c r="U3276">
        <f>IF(Table1[[#This Row],[Subscription Status]]="Yes",1,IF(Table1[[#This Row],[Subscription Status]]="No",0))</f>
        <v>0</v>
      </c>
    </row>
    <row r="3277" spans="1:21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  <c r="S3277" t="str">
        <f>IF(Table1[[#This Row],[Age]]&lt;=25,"Young",IF(Table1[[#This Row],[Age]]&lt;=50,"Adult","Senior"))</f>
        <v>Adult</v>
      </c>
      <c r="T3277" s="1">
        <f>Table1[[#This Row],[Purchase Amount (USD)]]</f>
        <v>88</v>
      </c>
      <c r="U3277">
        <f>IF(Table1[[#This Row],[Subscription Status]]="Yes",1,IF(Table1[[#This Row],[Subscription Status]]="No",0))</f>
        <v>0</v>
      </c>
    </row>
    <row r="3278" spans="1:21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  <c r="S3278" t="str">
        <f>IF(Table1[[#This Row],[Age]]&lt;=25,"Young",IF(Table1[[#This Row],[Age]]&lt;=50,"Adult","Senior"))</f>
        <v>Adult</v>
      </c>
      <c r="T3278" s="1">
        <f>Table1[[#This Row],[Purchase Amount (USD)]]</f>
        <v>99</v>
      </c>
      <c r="U3278">
        <f>IF(Table1[[#This Row],[Subscription Status]]="Yes",1,IF(Table1[[#This Row],[Subscription Status]]="No",0))</f>
        <v>0</v>
      </c>
    </row>
    <row r="3279" spans="1:21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  <c r="S3279" t="str">
        <f>IF(Table1[[#This Row],[Age]]&lt;=25,"Young",IF(Table1[[#This Row],[Age]]&lt;=50,"Adult","Senior"))</f>
        <v>Senior</v>
      </c>
      <c r="T3279" s="1">
        <f>Table1[[#This Row],[Purchase Amount (USD)]]</f>
        <v>86</v>
      </c>
      <c r="U3279">
        <f>IF(Table1[[#This Row],[Subscription Status]]="Yes",1,IF(Table1[[#This Row],[Subscription Status]]="No",0))</f>
        <v>0</v>
      </c>
    </row>
    <row r="3280" spans="1:21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  <c r="S3280" t="str">
        <f>IF(Table1[[#This Row],[Age]]&lt;=25,"Young",IF(Table1[[#This Row],[Age]]&lt;=50,"Adult","Senior"))</f>
        <v>Senior</v>
      </c>
      <c r="T3280" s="1">
        <f>Table1[[#This Row],[Purchase Amount (USD)]]</f>
        <v>70</v>
      </c>
      <c r="U3280">
        <f>IF(Table1[[#This Row],[Subscription Status]]="Yes",1,IF(Table1[[#This Row],[Subscription Status]]="No",0))</f>
        <v>0</v>
      </c>
    </row>
    <row r="3281" spans="1:21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  <c r="S3281" t="str">
        <f>IF(Table1[[#This Row],[Age]]&lt;=25,"Young",IF(Table1[[#This Row],[Age]]&lt;=50,"Adult","Senior"))</f>
        <v>Senior</v>
      </c>
      <c r="T3281" s="1">
        <f>Table1[[#This Row],[Purchase Amount (USD)]]</f>
        <v>50</v>
      </c>
      <c r="U3281">
        <f>IF(Table1[[#This Row],[Subscription Status]]="Yes",1,IF(Table1[[#This Row],[Subscription Status]]="No",0))</f>
        <v>0</v>
      </c>
    </row>
    <row r="3282" spans="1:21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  <c r="S3282" t="str">
        <f>IF(Table1[[#This Row],[Age]]&lt;=25,"Young",IF(Table1[[#This Row],[Age]]&lt;=50,"Adult","Senior"))</f>
        <v>Adult</v>
      </c>
      <c r="T3282" s="1">
        <f>Table1[[#This Row],[Purchase Amount (USD)]]</f>
        <v>57</v>
      </c>
      <c r="U3282">
        <f>IF(Table1[[#This Row],[Subscription Status]]="Yes",1,IF(Table1[[#This Row],[Subscription Status]]="No",0))</f>
        <v>0</v>
      </c>
    </row>
    <row r="3283" spans="1:21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  <c r="S3283" t="str">
        <f>IF(Table1[[#This Row],[Age]]&lt;=25,"Young",IF(Table1[[#This Row],[Age]]&lt;=50,"Adult","Senior"))</f>
        <v>Adult</v>
      </c>
      <c r="T3283" s="1">
        <f>Table1[[#This Row],[Purchase Amount (USD)]]</f>
        <v>69</v>
      </c>
      <c r="U3283">
        <f>IF(Table1[[#This Row],[Subscription Status]]="Yes",1,IF(Table1[[#This Row],[Subscription Status]]="No",0))</f>
        <v>0</v>
      </c>
    </row>
    <row r="3284" spans="1:21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  <c r="S3284" t="str">
        <f>IF(Table1[[#This Row],[Age]]&lt;=25,"Young",IF(Table1[[#This Row],[Age]]&lt;=50,"Adult","Senior"))</f>
        <v>Young</v>
      </c>
      <c r="T3284" s="1">
        <f>Table1[[#This Row],[Purchase Amount (USD)]]</f>
        <v>94</v>
      </c>
      <c r="U3284">
        <f>IF(Table1[[#This Row],[Subscription Status]]="Yes",1,IF(Table1[[#This Row],[Subscription Status]]="No",0))</f>
        <v>0</v>
      </c>
    </row>
    <row r="3285" spans="1:21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  <c r="S3285" t="str">
        <f>IF(Table1[[#This Row],[Age]]&lt;=25,"Young",IF(Table1[[#This Row],[Age]]&lt;=50,"Adult","Senior"))</f>
        <v>Adult</v>
      </c>
      <c r="T3285" s="1">
        <f>Table1[[#This Row],[Purchase Amount (USD)]]</f>
        <v>24</v>
      </c>
      <c r="U3285">
        <f>IF(Table1[[#This Row],[Subscription Status]]="Yes",1,IF(Table1[[#This Row],[Subscription Status]]="No",0))</f>
        <v>0</v>
      </c>
    </row>
    <row r="3286" spans="1:21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  <c r="S3286" t="str">
        <f>IF(Table1[[#This Row],[Age]]&lt;=25,"Young",IF(Table1[[#This Row],[Age]]&lt;=50,"Adult","Senior"))</f>
        <v>Senior</v>
      </c>
      <c r="T3286" s="1">
        <f>Table1[[#This Row],[Purchase Amount (USD)]]</f>
        <v>79</v>
      </c>
      <c r="U3286">
        <f>IF(Table1[[#This Row],[Subscription Status]]="Yes",1,IF(Table1[[#This Row],[Subscription Status]]="No",0))</f>
        <v>0</v>
      </c>
    </row>
    <row r="3287" spans="1:21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  <c r="S3287" t="str">
        <f>IF(Table1[[#This Row],[Age]]&lt;=25,"Young",IF(Table1[[#This Row],[Age]]&lt;=50,"Adult","Senior"))</f>
        <v>Senior</v>
      </c>
      <c r="T3287" s="1">
        <f>Table1[[#This Row],[Purchase Amount (USD)]]</f>
        <v>31</v>
      </c>
      <c r="U3287">
        <f>IF(Table1[[#This Row],[Subscription Status]]="Yes",1,IF(Table1[[#This Row],[Subscription Status]]="No",0))</f>
        <v>0</v>
      </c>
    </row>
    <row r="3288" spans="1:21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  <c r="S3288" t="str">
        <f>IF(Table1[[#This Row],[Age]]&lt;=25,"Young",IF(Table1[[#This Row],[Age]]&lt;=50,"Adult","Senior"))</f>
        <v>Adult</v>
      </c>
      <c r="T3288" s="1">
        <f>Table1[[#This Row],[Purchase Amount (USD)]]</f>
        <v>67</v>
      </c>
      <c r="U3288">
        <f>IF(Table1[[#This Row],[Subscription Status]]="Yes",1,IF(Table1[[#This Row],[Subscription Status]]="No",0))</f>
        <v>0</v>
      </c>
    </row>
    <row r="3289" spans="1:21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  <c r="S3289" t="str">
        <f>IF(Table1[[#This Row],[Age]]&lt;=25,"Young",IF(Table1[[#This Row],[Age]]&lt;=50,"Adult","Senior"))</f>
        <v>Young</v>
      </c>
      <c r="T3289" s="1">
        <f>Table1[[#This Row],[Purchase Amount (USD)]]</f>
        <v>63</v>
      </c>
      <c r="U3289">
        <f>IF(Table1[[#This Row],[Subscription Status]]="Yes",1,IF(Table1[[#This Row],[Subscription Status]]="No",0))</f>
        <v>0</v>
      </c>
    </row>
    <row r="3290" spans="1:21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  <c r="S3290" t="str">
        <f>IF(Table1[[#This Row],[Age]]&lt;=25,"Young",IF(Table1[[#This Row],[Age]]&lt;=50,"Adult","Senior"))</f>
        <v>Senior</v>
      </c>
      <c r="T3290" s="1">
        <f>Table1[[#This Row],[Purchase Amount (USD)]]</f>
        <v>61</v>
      </c>
      <c r="U3290">
        <f>IF(Table1[[#This Row],[Subscription Status]]="Yes",1,IF(Table1[[#This Row],[Subscription Status]]="No",0))</f>
        <v>0</v>
      </c>
    </row>
    <row r="3291" spans="1:21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  <c r="S3291" t="str">
        <f>IF(Table1[[#This Row],[Age]]&lt;=25,"Young",IF(Table1[[#This Row],[Age]]&lt;=50,"Adult","Senior"))</f>
        <v>Adult</v>
      </c>
      <c r="T3291" s="1">
        <f>Table1[[#This Row],[Purchase Amount (USD)]]</f>
        <v>50</v>
      </c>
      <c r="U3291">
        <f>IF(Table1[[#This Row],[Subscription Status]]="Yes",1,IF(Table1[[#This Row],[Subscription Status]]="No",0))</f>
        <v>0</v>
      </c>
    </row>
    <row r="3292" spans="1:21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  <c r="S3292" t="str">
        <f>IF(Table1[[#This Row],[Age]]&lt;=25,"Young",IF(Table1[[#This Row],[Age]]&lt;=50,"Adult","Senior"))</f>
        <v>Senior</v>
      </c>
      <c r="T3292" s="1">
        <f>Table1[[#This Row],[Purchase Amount (USD)]]</f>
        <v>82</v>
      </c>
      <c r="U3292">
        <f>IF(Table1[[#This Row],[Subscription Status]]="Yes",1,IF(Table1[[#This Row],[Subscription Status]]="No",0))</f>
        <v>0</v>
      </c>
    </row>
    <row r="3293" spans="1:21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  <c r="S3293" t="str">
        <f>IF(Table1[[#This Row],[Age]]&lt;=25,"Young",IF(Table1[[#This Row],[Age]]&lt;=50,"Adult","Senior"))</f>
        <v>Adult</v>
      </c>
      <c r="T3293" s="1">
        <f>Table1[[#This Row],[Purchase Amount (USD)]]</f>
        <v>51</v>
      </c>
      <c r="U3293">
        <f>IF(Table1[[#This Row],[Subscription Status]]="Yes",1,IF(Table1[[#This Row],[Subscription Status]]="No",0))</f>
        <v>0</v>
      </c>
    </row>
    <row r="3294" spans="1:21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  <c r="S3294" t="str">
        <f>IF(Table1[[#This Row],[Age]]&lt;=25,"Young",IF(Table1[[#This Row],[Age]]&lt;=50,"Adult","Senior"))</f>
        <v>Senior</v>
      </c>
      <c r="T3294" s="1">
        <f>Table1[[#This Row],[Purchase Amount (USD)]]</f>
        <v>23</v>
      </c>
      <c r="U3294">
        <f>IF(Table1[[#This Row],[Subscription Status]]="Yes",1,IF(Table1[[#This Row],[Subscription Status]]="No",0))</f>
        <v>0</v>
      </c>
    </row>
    <row r="3295" spans="1:21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  <c r="S3295" t="str">
        <f>IF(Table1[[#This Row],[Age]]&lt;=25,"Young",IF(Table1[[#This Row],[Age]]&lt;=50,"Adult","Senior"))</f>
        <v>Young</v>
      </c>
      <c r="T3295" s="1">
        <f>Table1[[#This Row],[Purchase Amount (USD)]]</f>
        <v>91</v>
      </c>
      <c r="U3295">
        <f>IF(Table1[[#This Row],[Subscription Status]]="Yes",1,IF(Table1[[#This Row],[Subscription Status]]="No",0))</f>
        <v>0</v>
      </c>
    </row>
    <row r="3296" spans="1:21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  <c r="S3296" t="str">
        <f>IF(Table1[[#This Row],[Age]]&lt;=25,"Young",IF(Table1[[#This Row],[Age]]&lt;=50,"Adult","Senior"))</f>
        <v>Senior</v>
      </c>
      <c r="T3296" s="1">
        <f>Table1[[#This Row],[Purchase Amount (USD)]]</f>
        <v>60</v>
      </c>
      <c r="U3296">
        <f>IF(Table1[[#This Row],[Subscription Status]]="Yes",1,IF(Table1[[#This Row],[Subscription Status]]="No",0))</f>
        <v>0</v>
      </c>
    </row>
    <row r="3297" spans="1:21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  <c r="S3297" t="str">
        <f>IF(Table1[[#This Row],[Age]]&lt;=25,"Young",IF(Table1[[#This Row],[Age]]&lt;=50,"Adult","Senior"))</f>
        <v>Senior</v>
      </c>
      <c r="T3297" s="1">
        <f>Table1[[#This Row],[Purchase Amount (USD)]]</f>
        <v>34</v>
      </c>
      <c r="U3297">
        <f>IF(Table1[[#This Row],[Subscription Status]]="Yes",1,IF(Table1[[#This Row],[Subscription Status]]="No",0))</f>
        <v>0</v>
      </c>
    </row>
    <row r="3298" spans="1:21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  <c r="S3298" t="str">
        <f>IF(Table1[[#This Row],[Age]]&lt;=25,"Young",IF(Table1[[#This Row],[Age]]&lt;=50,"Adult","Senior"))</f>
        <v>Young</v>
      </c>
      <c r="T3298" s="1">
        <f>Table1[[#This Row],[Purchase Amount (USD)]]</f>
        <v>23</v>
      </c>
      <c r="U3298">
        <f>IF(Table1[[#This Row],[Subscription Status]]="Yes",1,IF(Table1[[#This Row],[Subscription Status]]="No",0))</f>
        <v>0</v>
      </c>
    </row>
    <row r="3299" spans="1:21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  <c r="S3299" t="str">
        <f>IF(Table1[[#This Row],[Age]]&lt;=25,"Young",IF(Table1[[#This Row],[Age]]&lt;=50,"Adult","Senior"))</f>
        <v>Senior</v>
      </c>
      <c r="T3299" s="1">
        <f>Table1[[#This Row],[Purchase Amount (USD)]]</f>
        <v>82</v>
      </c>
      <c r="U3299">
        <f>IF(Table1[[#This Row],[Subscription Status]]="Yes",1,IF(Table1[[#This Row],[Subscription Status]]="No",0))</f>
        <v>0</v>
      </c>
    </row>
    <row r="3300" spans="1:21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  <c r="S3300" t="str">
        <f>IF(Table1[[#This Row],[Age]]&lt;=25,"Young",IF(Table1[[#This Row],[Age]]&lt;=50,"Adult","Senior"))</f>
        <v>Senior</v>
      </c>
      <c r="T3300" s="1">
        <f>Table1[[#This Row],[Purchase Amount (USD)]]</f>
        <v>73</v>
      </c>
      <c r="U3300">
        <f>IF(Table1[[#This Row],[Subscription Status]]="Yes",1,IF(Table1[[#This Row],[Subscription Status]]="No",0))</f>
        <v>0</v>
      </c>
    </row>
    <row r="3301" spans="1:21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  <c r="S3301" t="str">
        <f>IF(Table1[[#This Row],[Age]]&lt;=25,"Young",IF(Table1[[#This Row],[Age]]&lt;=50,"Adult","Senior"))</f>
        <v>Adult</v>
      </c>
      <c r="T3301" s="1">
        <f>Table1[[#This Row],[Purchase Amount (USD)]]</f>
        <v>32</v>
      </c>
      <c r="U3301">
        <f>IF(Table1[[#This Row],[Subscription Status]]="Yes",1,IF(Table1[[#This Row],[Subscription Status]]="No",0))</f>
        <v>0</v>
      </c>
    </row>
    <row r="3302" spans="1:21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  <c r="S3302" t="str">
        <f>IF(Table1[[#This Row],[Age]]&lt;=25,"Young",IF(Table1[[#This Row],[Age]]&lt;=50,"Adult","Senior"))</f>
        <v>Adult</v>
      </c>
      <c r="T3302" s="1">
        <f>Table1[[#This Row],[Purchase Amount (USD)]]</f>
        <v>80</v>
      </c>
      <c r="U3302">
        <f>IF(Table1[[#This Row],[Subscription Status]]="Yes",1,IF(Table1[[#This Row],[Subscription Status]]="No",0))</f>
        <v>0</v>
      </c>
    </row>
    <row r="3303" spans="1:21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  <c r="S3303" t="str">
        <f>IF(Table1[[#This Row],[Age]]&lt;=25,"Young",IF(Table1[[#This Row],[Age]]&lt;=50,"Adult","Senior"))</f>
        <v>Adult</v>
      </c>
      <c r="T3303" s="1">
        <f>Table1[[#This Row],[Purchase Amount (USD)]]</f>
        <v>58</v>
      </c>
      <c r="U3303">
        <f>IF(Table1[[#This Row],[Subscription Status]]="Yes",1,IF(Table1[[#This Row],[Subscription Status]]="No",0))</f>
        <v>0</v>
      </c>
    </row>
    <row r="3304" spans="1:21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  <c r="S3304" t="str">
        <f>IF(Table1[[#This Row],[Age]]&lt;=25,"Young",IF(Table1[[#This Row],[Age]]&lt;=50,"Adult","Senior"))</f>
        <v>Adult</v>
      </c>
      <c r="T3304" s="1">
        <f>Table1[[#This Row],[Purchase Amount (USD)]]</f>
        <v>82</v>
      </c>
      <c r="U3304">
        <f>IF(Table1[[#This Row],[Subscription Status]]="Yes",1,IF(Table1[[#This Row],[Subscription Status]]="No",0))</f>
        <v>0</v>
      </c>
    </row>
    <row r="3305" spans="1:21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  <c r="S3305" t="str">
        <f>IF(Table1[[#This Row],[Age]]&lt;=25,"Young",IF(Table1[[#This Row],[Age]]&lt;=50,"Adult","Senior"))</f>
        <v>Young</v>
      </c>
      <c r="T3305" s="1">
        <f>Table1[[#This Row],[Purchase Amount (USD)]]</f>
        <v>60</v>
      </c>
      <c r="U3305">
        <f>IF(Table1[[#This Row],[Subscription Status]]="Yes",1,IF(Table1[[#This Row],[Subscription Status]]="No",0))</f>
        <v>0</v>
      </c>
    </row>
    <row r="3306" spans="1:21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  <c r="S3306" t="str">
        <f>IF(Table1[[#This Row],[Age]]&lt;=25,"Young",IF(Table1[[#This Row],[Age]]&lt;=50,"Adult","Senior"))</f>
        <v>Adult</v>
      </c>
      <c r="T3306" s="1">
        <f>Table1[[#This Row],[Purchase Amount (USD)]]</f>
        <v>79</v>
      </c>
      <c r="U3306">
        <f>IF(Table1[[#This Row],[Subscription Status]]="Yes",1,IF(Table1[[#This Row],[Subscription Status]]="No",0))</f>
        <v>0</v>
      </c>
    </row>
    <row r="3307" spans="1:21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  <c r="S3307" t="str">
        <f>IF(Table1[[#This Row],[Age]]&lt;=25,"Young",IF(Table1[[#This Row],[Age]]&lt;=50,"Adult","Senior"))</f>
        <v>Adult</v>
      </c>
      <c r="T3307" s="1">
        <f>Table1[[#This Row],[Purchase Amount (USD)]]</f>
        <v>41</v>
      </c>
      <c r="U3307">
        <f>IF(Table1[[#This Row],[Subscription Status]]="Yes",1,IF(Table1[[#This Row],[Subscription Status]]="No",0))</f>
        <v>0</v>
      </c>
    </row>
    <row r="3308" spans="1:21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  <c r="S3308" t="str">
        <f>IF(Table1[[#This Row],[Age]]&lt;=25,"Young",IF(Table1[[#This Row],[Age]]&lt;=50,"Adult","Senior"))</f>
        <v>Senior</v>
      </c>
      <c r="T3308" s="1">
        <f>Table1[[#This Row],[Purchase Amount (USD)]]</f>
        <v>39</v>
      </c>
      <c r="U3308">
        <f>IF(Table1[[#This Row],[Subscription Status]]="Yes",1,IF(Table1[[#This Row],[Subscription Status]]="No",0))</f>
        <v>0</v>
      </c>
    </row>
    <row r="3309" spans="1:21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  <c r="S3309" t="str">
        <f>IF(Table1[[#This Row],[Age]]&lt;=25,"Young",IF(Table1[[#This Row],[Age]]&lt;=50,"Adult","Senior"))</f>
        <v>Young</v>
      </c>
      <c r="T3309" s="1">
        <f>Table1[[#This Row],[Purchase Amount (USD)]]</f>
        <v>36</v>
      </c>
      <c r="U3309">
        <f>IF(Table1[[#This Row],[Subscription Status]]="Yes",1,IF(Table1[[#This Row],[Subscription Status]]="No",0))</f>
        <v>0</v>
      </c>
    </row>
    <row r="3310" spans="1:21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  <c r="S3310" t="str">
        <f>IF(Table1[[#This Row],[Age]]&lt;=25,"Young",IF(Table1[[#This Row],[Age]]&lt;=50,"Adult","Senior"))</f>
        <v>Senior</v>
      </c>
      <c r="T3310" s="1">
        <f>Table1[[#This Row],[Purchase Amount (USD)]]</f>
        <v>70</v>
      </c>
      <c r="U3310">
        <f>IF(Table1[[#This Row],[Subscription Status]]="Yes",1,IF(Table1[[#This Row],[Subscription Status]]="No",0))</f>
        <v>0</v>
      </c>
    </row>
    <row r="3311" spans="1:21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  <c r="S3311" t="str">
        <f>IF(Table1[[#This Row],[Age]]&lt;=25,"Young",IF(Table1[[#This Row],[Age]]&lt;=50,"Adult","Senior"))</f>
        <v>Adult</v>
      </c>
      <c r="T3311" s="1">
        <f>Table1[[#This Row],[Purchase Amount (USD)]]</f>
        <v>47</v>
      </c>
      <c r="U3311">
        <f>IF(Table1[[#This Row],[Subscription Status]]="Yes",1,IF(Table1[[#This Row],[Subscription Status]]="No",0))</f>
        <v>0</v>
      </c>
    </row>
    <row r="3312" spans="1:21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  <c r="S3312" t="str">
        <f>IF(Table1[[#This Row],[Age]]&lt;=25,"Young",IF(Table1[[#This Row],[Age]]&lt;=50,"Adult","Senior"))</f>
        <v>Adult</v>
      </c>
      <c r="T3312" s="1">
        <f>Table1[[#This Row],[Purchase Amount (USD)]]</f>
        <v>27</v>
      </c>
      <c r="U3312">
        <f>IF(Table1[[#This Row],[Subscription Status]]="Yes",1,IF(Table1[[#This Row],[Subscription Status]]="No",0))</f>
        <v>0</v>
      </c>
    </row>
    <row r="3313" spans="1:21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  <c r="S3313" t="str">
        <f>IF(Table1[[#This Row],[Age]]&lt;=25,"Young",IF(Table1[[#This Row],[Age]]&lt;=50,"Adult","Senior"))</f>
        <v>Adult</v>
      </c>
      <c r="T3313" s="1">
        <f>Table1[[#This Row],[Purchase Amount (USD)]]</f>
        <v>52</v>
      </c>
      <c r="U3313">
        <f>IF(Table1[[#This Row],[Subscription Status]]="Yes",1,IF(Table1[[#This Row],[Subscription Status]]="No",0))</f>
        <v>0</v>
      </c>
    </row>
    <row r="3314" spans="1:21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  <c r="S3314" t="str">
        <f>IF(Table1[[#This Row],[Age]]&lt;=25,"Young",IF(Table1[[#This Row],[Age]]&lt;=50,"Adult","Senior"))</f>
        <v>Senior</v>
      </c>
      <c r="T3314" s="1">
        <f>Table1[[#This Row],[Purchase Amount (USD)]]</f>
        <v>75</v>
      </c>
      <c r="U3314">
        <f>IF(Table1[[#This Row],[Subscription Status]]="Yes",1,IF(Table1[[#This Row],[Subscription Status]]="No",0))</f>
        <v>0</v>
      </c>
    </row>
    <row r="3315" spans="1:21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  <c r="S3315" t="str">
        <f>IF(Table1[[#This Row],[Age]]&lt;=25,"Young",IF(Table1[[#This Row],[Age]]&lt;=50,"Adult","Senior"))</f>
        <v>Senior</v>
      </c>
      <c r="T3315" s="1">
        <f>Table1[[#This Row],[Purchase Amount (USD)]]</f>
        <v>30</v>
      </c>
      <c r="U3315">
        <f>IF(Table1[[#This Row],[Subscription Status]]="Yes",1,IF(Table1[[#This Row],[Subscription Status]]="No",0))</f>
        <v>0</v>
      </c>
    </row>
    <row r="3316" spans="1:21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  <c r="S3316" t="str">
        <f>IF(Table1[[#This Row],[Age]]&lt;=25,"Young",IF(Table1[[#This Row],[Age]]&lt;=50,"Adult","Senior"))</f>
        <v>Senior</v>
      </c>
      <c r="T3316" s="1">
        <f>Table1[[#This Row],[Purchase Amount (USD)]]</f>
        <v>94</v>
      </c>
      <c r="U3316">
        <f>IF(Table1[[#This Row],[Subscription Status]]="Yes",1,IF(Table1[[#This Row],[Subscription Status]]="No",0))</f>
        <v>0</v>
      </c>
    </row>
    <row r="3317" spans="1:21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  <c r="S3317" t="str">
        <f>IF(Table1[[#This Row],[Age]]&lt;=25,"Young",IF(Table1[[#This Row],[Age]]&lt;=50,"Adult","Senior"))</f>
        <v>Adult</v>
      </c>
      <c r="T3317" s="1">
        <f>Table1[[#This Row],[Purchase Amount (USD)]]</f>
        <v>68</v>
      </c>
      <c r="U3317">
        <f>IF(Table1[[#This Row],[Subscription Status]]="Yes",1,IF(Table1[[#This Row],[Subscription Status]]="No",0))</f>
        <v>0</v>
      </c>
    </row>
    <row r="3318" spans="1:21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  <c r="S3318" t="str">
        <f>IF(Table1[[#This Row],[Age]]&lt;=25,"Young",IF(Table1[[#This Row],[Age]]&lt;=50,"Adult","Senior"))</f>
        <v>Adult</v>
      </c>
      <c r="T3318" s="1">
        <f>Table1[[#This Row],[Purchase Amount (USD)]]</f>
        <v>45</v>
      </c>
      <c r="U3318">
        <f>IF(Table1[[#This Row],[Subscription Status]]="Yes",1,IF(Table1[[#This Row],[Subscription Status]]="No",0))</f>
        <v>0</v>
      </c>
    </row>
    <row r="3319" spans="1:21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  <c r="S3319" t="str">
        <f>IF(Table1[[#This Row],[Age]]&lt;=25,"Young",IF(Table1[[#This Row],[Age]]&lt;=50,"Adult","Senior"))</f>
        <v>Young</v>
      </c>
      <c r="T3319" s="1">
        <f>Table1[[#This Row],[Purchase Amount (USD)]]</f>
        <v>67</v>
      </c>
      <c r="U3319">
        <f>IF(Table1[[#This Row],[Subscription Status]]="Yes",1,IF(Table1[[#This Row],[Subscription Status]]="No",0))</f>
        <v>0</v>
      </c>
    </row>
    <row r="3320" spans="1:21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  <c r="S3320" t="str">
        <f>IF(Table1[[#This Row],[Age]]&lt;=25,"Young",IF(Table1[[#This Row],[Age]]&lt;=50,"Adult","Senior"))</f>
        <v>Adult</v>
      </c>
      <c r="T3320" s="1">
        <f>Table1[[#This Row],[Purchase Amount (USD)]]</f>
        <v>46</v>
      </c>
      <c r="U3320">
        <f>IF(Table1[[#This Row],[Subscription Status]]="Yes",1,IF(Table1[[#This Row],[Subscription Status]]="No",0))</f>
        <v>0</v>
      </c>
    </row>
    <row r="3321" spans="1:21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  <c r="S3321" t="str">
        <f>IF(Table1[[#This Row],[Age]]&lt;=25,"Young",IF(Table1[[#This Row],[Age]]&lt;=50,"Adult","Senior"))</f>
        <v>Young</v>
      </c>
      <c r="T3321" s="1">
        <f>Table1[[#This Row],[Purchase Amount (USD)]]</f>
        <v>31</v>
      </c>
      <c r="U3321">
        <f>IF(Table1[[#This Row],[Subscription Status]]="Yes",1,IF(Table1[[#This Row],[Subscription Status]]="No",0))</f>
        <v>0</v>
      </c>
    </row>
    <row r="3322" spans="1:21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  <c r="S3322" t="str">
        <f>IF(Table1[[#This Row],[Age]]&lt;=25,"Young",IF(Table1[[#This Row],[Age]]&lt;=50,"Adult","Senior"))</f>
        <v>Senior</v>
      </c>
      <c r="T3322" s="1">
        <f>Table1[[#This Row],[Purchase Amount (USD)]]</f>
        <v>44</v>
      </c>
      <c r="U3322">
        <f>IF(Table1[[#This Row],[Subscription Status]]="Yes",1,IF(Table1[[#This Row],[Subscription Status]]="No",0))</f>
        <v>0</v>
      </c>
    </row>
    <row r="3323" spans="1:21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  <c r="S3323" t="str">
        <f>IF(Table1[[#This Row],[Age]]&lt;=25,"Young",IF(Table1[[#This Row],[Age]]&lt;=50,"Adult","Senior"))</f>
        <v>Adult</v>
      </c>
      <c r="T3323" s="1">
        <f>Table1[[#This Row],[Purchase Amount (USD)]]</f>
        <v>100</v>
      </c>
      <c r="U3323">
        <f>IF(Table1[[#This Row],[Subscription Status]]="Yes",1,IF(Table1[[#This Row],[Subscription Status]]="No",0))</f>
        <v>0</v>
      </c>
    </row>
    <row r="3324" spans="1:21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  <c r="S3324" t="str">
        <f>IF(Table1[[#This Row],[Age]]&lt;=25,"Young",IF(Table1[[#This Row],[Age]]&lt;=50,"Adult","Senior"))</f>
        <v>Senior</v>
      </c>
      <c r="T3324" s="1">
        <f>Table1[[#This Row],[Purchase Amount (USD)]]</f>
        <v>92</v>
      </c>
      <c r="U3324">
        <f>IF(Table1[[#This Row],[Subscription Status]]="Yes",1,IF(Table1[[#This Row],[Subscription Status]]="No",0))</f>
        <v>0</v>
      </c>
    </row>
    <row r="3325" spans="1:21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  <c r="S3325" t="str">
        <f>IF(Table1[[#This Row],[Age]]&lt;=25,"Young",IF(Table1[[#This Row],[Age]]&lt;=50,"Adult","Senior"))</f>
        <v>Senior</v>
      </c>
      <c r="T3325" s="1">
        <f>Table1[[#This Row],[Purchase Amount (USD)]]</f>
        <v>78</v>
      </c>
      <c r="U3325">
        <f>IF(Table1[[#This Row],[Subscription Status]]="Yes",1,IF(Table1[[#This Row],[Subscription Status]]="No",0))</f>
        <v>0</v>
      </c>
    </row>
    <row r="3326" spans="1:21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  <c r="S3326" t="str">
        <f>IF(Table1[[#This Row],[Age]]&lt;=25,"Young",IF(Table1[[#This Row],[Age]]&lt;=50,"Adult","Senior"))</f>
        <v>Adult</v>
      </c>
      <c r="T3326" s="1">
        <f>Table1[[#This Row],[Purchase Amount (USD)]]</f>
        <v>32</v>
      </c>
      <c r="U3326">
        <f>IF(Table1[[#This Row],[Subscription Status]]="Yes",1,IF(Table1[[#This Row],[Subscription Status]]="No",0))</f>
        <v>0</v>
      </c>
    </row>
    <row r="3327" spans="1:21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  <c r="S3327" t="str">
        <f>IF(Table1[[#This Row],[Age]]&lt;=25,"Young",IF(Table1[[#This Row],[Age]]&lt;=50,"Adult","Senior"))</f>
        <v>Adult</v>
      </c>
      <c r="T3327" s="1">
        <f>Table1[[#This Row],[Purchase Amount (USD)]]</f>
        <v>97</v>
      </c>
      <c r="U3327">
        <f>IF(Table1[[#This Row],[Subscription Status]]="Yes",1,IF(Table1[[#This Row],[Subscription Status]]="No",0))</f>
        <v>0</v>
      </c>
    </row>
    <row r="3328" spans="1:21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  <c r="S3328" t="str">
        <f>IF(Table1[[#This Row],[Age]]&lt;=25,"Young",IF(Table1[[#This Row],[Age]]&lt;=50,"Adult","Senior"))</f>
        <v>Adult</v>
      </c>
      <c r="T3328" s="1">
        <f>Table1[[#This Row],[Purchase Amount (USD)]]</f>
        <v>95</v>
      </c>
      <c r="U3328">
        <f>IF(Table1[[#This Row],[Subscription Status]]="Yes",1,IF(Table1[[#This Row],[Subscription Status]]="No",0))</f>
        <v>0</v>
      </c>
    </row>
    <row r="3329" spans="1:21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  <c r="S3329" t="str">
        <f>IF(Table1[[#This Row],[Age]]&lt;=25,"Young",IF(Table1[[#This Row],[Age]]&lt;=50,"Adult","Senior"))</f>
        <v>Adult</v>
      </c>
      <c r="T3329" s="1">
        <f>Table1[[#This Row],[Purchase Amount (USD)]]</f>
        <v>64</v>
      </c>
      <c r="U3329">
        <f>IF(Table1[[#This Row],[Subscription Status]]="Yes",1,IF(Table1[[#This Row],[Subscription Status]]="No",0))</f>
        <v>0</v>
      </c>
    </row>
    <row r="3330" spans="1:21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  <c r="S3330" t="str">
        <f>IF(Table1[[#This Row],[Age]]&lt;=25,"Young",IF(Table1[[#This Row],[Age]]&lt;=50,"Adult","Senior"))</f>
        <v>Adult</v>
      </c>
      <c r="T3330" s="1">
        <f>Table1[[#This Row],[Purchase Amount (USD)]]</f>
        <v>35</v>
      </c>
      <c r="U3330">
        <f>IF(Table1[[#This Row],[Subscription Status]]="Yes",1,IF(Table1[[#This Row],[Subscription Status]]="No",0))</f>
        <v>0</v>
      </c>
    </row>
    <row r="3331" spans="1:21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  <c r="S3331" t="str">
        <f>IF(Table1[[#This Row],[Age]]&lt;=25,"Young",IF(Table1[[#This Row],[Age]]&lt;=50,"Adult","Senior"))</f>
        <v>Adult</v>
      </c>
      <c r="T3331" s="1">
        <f>Table1[[#This Row],[Purchase Amount (USD)]]</f>
        <v>54</v>
      </c>
      <c r="U3331">
        <f>IF(Table1[[#This Row],[Subscription Status]]="Yes",1,IF(Table1[[#This Row],[Subscription Status]]="No",0))</f>
        <v>0</v>
      </c>
    </row>
    <row r="3332" spans="1:21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  <c r="S3332" t="str">
        <f>IF(Table1[[#This Row],[Age]]&lt;=25,"Young",IF(Table1[[#This Row],[Age]]&lt;=50,"Adult","Senior"))</f>
        <v>Adult</v>
      </c>
      <c r="T3332" s="1">
        <f>Table1[[#This Row],[Purchase Amount (USD)]]</f>
        <v>96</v>
      </c>
      <c r="U3332">
        <f>IF(Table1[[#This Row],[Subscription Status]]="Yes",1,IF(Table1[[#This Row],[Subscription Status]]="No",0))</f>
        <v>0</v>
      </c>
    </row>
    <row r="3333" spans="1:21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  <c r="S3333" t="str">
        <f>IF(Table1[[#This Row],[Age]]&lt;=25,"Young",IF(Table1[[#This Row],[Age]]&lt;=50,"Adult","Senior"))</f>
        <v>Senior</v>
      </c>
      <c r="T3333" s="1">
        <f>Table1[[#This Row],[Purchase Amount (USD)]]</f>
        <v>58</v>
      </c>
      <c r="U3333">
        <f>IF(Table1[[#This Row],[Subscription Status]]="Yes",1,IF(Table1[[#This Row],[Subscription Status]]="No",0))</f>
        <v>0</v>
      </c>
    </row>
    <row r="3334" spans="1:21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  <c r="S3334" t="str">
        <f>IF(Table1[[#This Row],[Age]]&lt;=25,"Young",IF(Table1[[#This Row],[Age]]&lt;=50,"Adult","Senior"))</f>
        <v>Adult</v>
      </c>
      <c r="T3334" s="1">
        <f>Table1[[#This Row],[Purchase Amount (USD)]]</f>
        <v>23</v>
      </c>
      <c r="U3334">
        <f>IF(Table1[[#This Row],[Subscription Status]]="Yes",1,IF(Table1[[#This Row],[Subscription Status]]="No",0))</f>
        <v>0</v>
      </c>
    </row>
    <row r="3335" spans="1:21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  <c r="S3335" t="str">
        <f>IF(Table1[[#This Row],[Age]]&lt;=25,"Young",IF(Table1[[#This Row],[Age]]&lt;=50,"Adult","Senior"))</f>
        <v>Senior</v>
      </c>
      <c r="T3335" s="1">
        <f>Table1[[#This Row],[Purchase Amount (USD)]]</f>
        <v>35</v>
      </c>
      <c r="U3335">
        <f>IF(Table1[[#This Row],[Subscription Status]]="Yes",1,IF(Table1[[#This Row],[Subscription Status]]="No",0))</f>
        <v>0</v>
      </c>
    </row>
    <row r="3336" spans="1:21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  <c r="S3336" t="str">
        <f>IF(Table1[[#This Row],[Age]]&lt;=25,"Young",IF(Table1[[#This Row],[Age]]&lt;=50,"Adult","Senior"))</f>
        <v>Senior</v>
      </c>
      <c r="T3336" s="1">
        <f>Table1[[#This Row],[Purchase Amount (USD)]]</f>
        <v>23</v>
      </c>
      <c r="U3336">
        <f>IF(Table1[[#This Row],[Subscription Status]]="Yes",1,IF(Table1[[#This Row],[Subscription Status]]="No",0))</f>
        <v>0</v>
      </c>
    </row>
    <row r="3337" spans="1:21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  <c r="S3337" t="str">
        <f>IF(Table1[[#This Row],[Age]]&lt;=25,"Young",IF(Table1[[#This Row],[Age]]&lt;=50,"Adult","Senior"))</f>
        <v>Adult</v>
      </c>
      <c r="T3337" s="1">
        <f>Table1[[#This Row],[Purchase Amount (USD)]]</f>
        <v>94</v>
      </c>
      <c r="U3337">
        <f>IF(Table1[[#This Row],[Subscription Status]]="Yes",1,IF(Table1[[#This Row],[Subscription Status]]="No",0))</f>
        <v>0</v>
      </c>
    </row>
    <row r="3338" spans="1:21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  <c r="S3338" t="str">
        <f>IF(Table1[[#This Row],[Age]]&lt;=25,"Young",IF(Table1[[#This Row],[Age]]&lt;=50,"Adult","Senior"))</f>
        <v>Adult</v>
      </c>
      <c r="T3338" s="1">
        <f>Table1[[#This Row],[Purchase Amount (USD)]]</f>
        <v>45</v>
      </c>
      <c r="U3338">
        <f>IF(Table1[[#This Row],[Subscription Status]]="Yes",1,IF(Table1[[#This Row],[Subscription Status]]="No",0))</f>
        <v>0</v>
      </c>
    </row>
    <row r="3339" spans="1:21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  <c r="S3339" t="str">
        <f>IF(Table1[[#This Row],[Age]]&lt;=25,"Young",IF(Table1[[#This Row],[Age]]&lt;=50,"Adult","Senior"))</f>
        <v>Young</v>
      </c>
      <c r="T3339" s="1">
        <f>Table1[[#This Row],[Purchase Amount (USD)]]</f>
        <v>23</v>
      </c>
      <c r="U3339">
        <f>IF(Table1[[#This Row],[Subscription Status]]="Yes",1,IF(Table1[[#This Row],[Subscription Status]]="No",0))</f>
        <v>0</v>
      </c>
    </row>
    <row r="3340" spans="1:21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  <c r="S3340" t="str">
        <f>IF(Table1[[#This Row],[Age]]&lt;=25,"Young",IF(Table1[[#This Row],[Age]]&lt;=50,"Adult","Senior"))</f>
        <v>Adult</v>
      </c>
      <c r="T3340" s="1">
        <f>Table1[[#This Row],[Purchase Amount (USD)]]</f>
        <v>94</v>
      </c>
      <c r="U3340">
        <f>IF(Table1[[#This Row],[Subscription Status]]="Yes",1,IF(Table1[[#This Row],[Subscription Status]]="No",0))</f>
        <v>0</v>
      </c>
    </row>
    <row r="3341" spans="1:21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  <c r="S3341" t="str">
        <f>IF(Table1[[#This Row],[Age]]&lt;=25,"Young",IF(Table1[[#This Row],[Age]]&lt;=50,"Adult","Senior"))</f>
        <v>Young</v>
      </c>
      <c r="T3341" s="1">
        <f>Table1[[#This Row],[Purchase Amount (USD)]]</f>
        <v>99</v>
      </c>
      <c r="U3341">
        <f>IF(Table1[[#This Row],[Subscription Status]]="Yes",1,IF(Table1[[#This Row],[Subscription Status]]="No",0))</f>
        <v>0</v>
      </c>
    </row>
    <row r="3342" spans="1:21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  <c r="S3342" t="str">
        <f>IF(Table1[[#This Row],[Age]]&lt;=25,"Young",IF(Table1[[#This Row],[Age]]&lt;=50,"Adult","Senior"))</f>
        <v>Adult</v>
      </c>
      <c r="T3342" s="1">
        <f>Table1[[#This Row],[Purchase Amount (USD)]]</f>
        <v>36</v>
      </c>
      <c r="U3342">
        <f>IF(Table1[[#This Row],[Subscription Status]]="Yes",1,IF(Table1[[#This Row],[Subscription Status]]="No",0))</f>
        <v>0</v>
      </c>
    </row>
    <row r="3343" spans="1:21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  <c r="S3343" t="str">
        <f>IF(Table1[[#This Row],[Age]]&lt;=25,"Young",IF(Table1[[#This Row],[Age]]&lt;=50,"Adult","Senior"))</f>
        <v>Senior</v>
      </c>
      <c r="T3343" s="1">
        <f>Table1[[#This Row],[Purchase Amount (USD)]]</f>
        <v>50</v>
      </c>
      <c r="U3343">
        <f>IF(Table1[[#This Row],[Subscription Status]]="Yes",1,IF(Table1[[#This Row],[Subscription Status]]="No",0))</f>
        <v>0</v>
      </c>
    </row>
    <row r="3344" spans="1:21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  <c r="S3344" t="str">
        <f>IF(Table1[[#This Row],[Age]]&lt;=25,"Young",IF(Table1[[#This Row],[Age]]&lt;=50,"Adult","Senior"))</f>
        <v>Senior</v>
      </c>
      <c r="T3344" s="1">
        <f>Table1[[#This Row],[Purchase Amount (USD)]]</f>
        <v>81</v>
      </c>
      <c r="U3344">
        <f>IF(Table1[[#This Row],[Subscription Status]]="Yes",1,IF(Table1[[#This Row],[Subscription Status]]="No",0))</f>
        <v>0</v>
      </c>
    </row>
    <row r="3345" spans="1:21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  <c r="S3345" t="str">
        <f>IF(Table1[[#This Row],[Age]]&lt;=25,"Young",IF(Table1[[#This Row],[Age]]&lt;=50,"Adult","Senior"))</f>
        <v>Young</v>
      </c>
      <c r="T3345" s="1">
        <f>Table1[[#This Row],[Purchase Amount (USD)]]</f>
        <v>31</v>
      </c>
      <c r="U3345">
        <f>IF(Table1[[#This Row],[Subscription Status]]="Yes",1,IF(Table1[[#This Row],[Subscription Status]]="No",0))</f>
        <v>0</v>
      </c>
    </row>
    <row r="3346" spans="1:21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  <c r="S3346" t="str">
        <f>IF(Table1[[#This Row],[Age]]&lt;=25,"Young",IF(Table1[[#This Row],[Age]]&lt;=50,"Adult","Senior"))</f>
        <v>Senior</v>
      </c>
      <c r="T3346" s="1">
        <f>Table1[[#This Row],[Purchase Amount (USD)]]</f>
        <v>48</v>
      </c>
      <c r="U3346">
        <f>IF(Table1[[#This Row],[Subscription Status]]="Yes",1,IF(Table1[[#This Row],[Subscription Status]]="No",0))</f>
        <v>0</v>
      </c>
    </row>
    <row r="3347" spans="1:21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  <c r="S3347" t="str">
        <f>IF(Table1[[#This Row],[Age]]&lt;=25,"Young",IF(Table1[[#This Row],[Age]]&lt;=50,"Adult","Senior"))</f>
        <v>Adult</v>
      </c>
      <c r="T3347" s="1">
        <f>Table1[[#This Row],[Purchase Amount (USD)]]</f>
        <v>91</v>
      </c>
      <c r="U3347">
        <f>IF(Table1[[#This Row],[Subscription Status]]="Yes",1,IF(Table1[[#This Row],[Subscription Status]]="No",0))</f>
        <v>0</v>
      </c>
    </row>
    <row r="3348" spans="1:21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  <c r="S3348" t="str">
        <f>IF(Table1[[#This Row],[Age]]&lt;=25,"Young",IF(Table1[[#This Row],[Age]]&lt;=50,"Adult","Senior"))</f>
        <v>Adult</v>
      </c>
      <c r="T3348" s="1">
        <f>Table1[[#This Row],[Purchase Amount (USD)]]</f>
        <v>99</v>
      </c>
      <c r="U3348">
        <f>IF(Table1[[#This Row],[Subscription Status]]="Yes",1,IF(Table1[[#This Row],[Subscription Status]]="No",0))</f>
        <v>0</v>
      </c>
    </row>
    <row r="3349" spans="1:21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  <c r="S3349" t="str">
        <f>IF(Table1[[#This Row],[Age]]&lt;=25,"Young",IF(Table1[[#This Row],[Age]]&lt;=50,"Adult","Senior"))</f>
        <v>Young</v>
      </c>
      <c r="T3349" s="1">
        <f>Table1[[#This Row],[Purchase Amount (USD)]]</f>
        <v>70</v>
      </c>
      <c r="U3349">
        <f>IF(Table1[[#This Row],[Subscription Status]]="Yes",1,IF(Table1[[#This Row],[Subscription Status]]="No",0))</f>
        <v>0</v>
      </c>
    </row>
    <row r="3350" spans="1:21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  <c r="S3350" t="str">
        <f>IF(Table1[[#This Row],[Age]]&lt;=25,"Young",IF(Table1[[#This Row],[Age]]&lt;=50,"Adult","Senior"))</f>
        <v>Adult</v>
      </c>
      <c r="T3350" s="1">
        <f>Table1[[#This Row],[Purchase Amount (USD)]]</f>
        <v>74</v>
      </c>
      <c r="U3350">
        <f>IF(Table1[[#This Row],[Subscription Status]]="Yes",1,IF(Table1[[#This Row],[Subscription Status]]="No",0))</f>
        <v>0</v>
      </c>
    </row>
    <row r="3351" spans="1:21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  <c r="S3351" t="str">
        <f>IF(Table1[[#This Row],[Age]]&lt;=25,"Young",IF(Table1[[#This Row],[Age]]&lt;=50,"Adult","Senior"))</f>
        <v>Adult</v>
      </c>
      <c r="T3351" s="1">
        <f>Table1[[#This Row],[Purchase Amount (USD)]]</f>
        <v>79</v>
      </c>
      <c r="U3351">
        <f>IF(Table1[[#This Row],[Subscription Status]]="Yes",1,IF(Table1[[#This Row],[Subscription Status]]="No",0))</f>
        <v>0</v>
      </c>
    </row>
    <row r="3352" spans="1:21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  <c r="S3352" t="str">
        <f>IF(Table1[[#This Row],[Age]]&lt;=25,"Young",IF(Table1[[#This Row],[Age]]&lt;=50,"Adult","Senior"))</f>
        <v>Adult</v>
      </c>
      <c r="T3352" s="1">
        <f>Table1[[#This Row],[Purchase Amount (USD)]]</f>
        <v>33</v>
      </c>
      <c r="U3352">
        <f>IF(Table1[[#This Row],[Subscription Status]]="Yes",1,IF(Table1[[#This Row],[Subscription Status]]="No",0))</f>
        <v>0</v>
      </c>
    </row>
    <row r="3353" spans="1:21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  <c r="S3353" t="str">
        <f>IF(Table1[[#This Row],[Age]]&lt;=25,"Young",IF(Table1[[#This Row],[Age]]&lt;=50,"Adult","Senior"))</f>
        <v>Adult</v>
      </c>
      <c r="T3353" s="1">
        <f>Table1[[#This Row],[Purchase Amount (USD)]]</f>
        <v>49</v>
      </c>
      <c r="U3353">
        <f>IF(Table1[[#This Row],[Subscription Status]]="Yes",1,IF(Table1[[#This Row],[Subscription Status]]="No",0))</f>
        <v>0</v>
      </c>
    </row>
    <row r="3354" spans="1:21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  <c r="S3354" t="str">
        <f>IF(Table1[[#This Row],[Age]]&lt;=25,"Young",IF(Table1[[#This Row],[Age]]&lt;=50,"Adult","Senior"))</f>
        <v>Senior</v>
      </c>
      <c r="T3354" s="1">
        <f>Table1[[#This Row],[Purchase Amount (USD)]]</f>
        <v>96</v>
      </c>
      <c r="U3354">
        <f>IF(Table1[[#This Row],[Subscription Status]]="Yes",1,IF(Table1[[#This Row],[Subscription Status]]="No",0))</f>
        <v>0</v>
      </c>
    </row>
    <row r="3355" spans="1:21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  <c r="S3355" t="str">
        <f>IF(Table1[[#This Row],[Age]]&lt;=25,"Young",IF(Table1[[#This Row],[Age]]&lt;=50,"Adult","Senior"))</f>
        <v>Adult</v>
      </c>
      <c r="T3355" s="1">
        <f>Table1[[#This Row],[Purchase Amount (USD)]]</f>
        <v>66</v>
      </c>
      <c r="U3355">
        <f>IF(Table1[[#This Row],[Subscription Status]]="Yes",1,IF(Table1[[#This Row],[Subscription Status]]="No",0))</f>
        <v>0</v>
      </c>
    </row>
    <row r="3356" spans="1:21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  <c r="S3356" t="str">
        <f>IF(Table1[[#This Row],[Age]]&lt;=25,"Young",IF(Table1[[#This Row],[Age]]&lt;=50,"Adult","Senior"))</f>
        <v>Adult</v>
      </c>
      <c r="T3356" s="1">
        <f>Table1[[#This Row],[Purchase Amount (USD)]]</f>
        <v>45</v>
      </c>
      <c r="U3356">
        <f>IF(Table1[[#This Row],[Subscription Status]]="Yes",1,IF(Table1[[#This Row],[Subscription Status]]="No",0))</f>
        <v>0</v>
      </c>
    </row>
    <row r="3357" spans="1:21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  <c r="S3357" t="str">
        <f>IF(Table1[[#This Row],[Age]]&lt;=25,"Young",IF(Table1[[#This Row],[Age]]&lt;=50,"Adult","Senior"))</f>
        <v>Adult</v>
      </c>
      <c r="T3357" s="1">
        <f>Table1[[#This Row],[Purchase Amount (USD)]]</f>
        <v>28</v>
      </c>
      <c r="U3357">
        <f>IF(Table1[[#This Row],[Subscription Status]]="Yes",1,IF(Table1[[#This Row],[Subscription Status]]="No",0))</f>
        <v>0</v>
      </c>
    </row>
    <row r="3358" spans="1:21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  <c r="S3358" t="str">
        <f>IF(Table1[[#This Row],[Age]]&lt;=25,"Young",IF(Table1[[#This Row],[Age]]&lt;=50,"Adult","Senior"))</f>
        <v>Adult</v>
      </c>
      <c r="T3358" s="1">
        <f>Table1[[#This Row],[Purchase Amount (USD)]]</f>
        <v>48</v>
      </c>
      <c r="U3358">
        <f>IF(Table1[[#This Row],[Subscription Status]]="Yes",1,IF(Table1[[#This Row],[Subscription Status]]="No",0))</f>
        <v>0</v>
      </c>
    </row>
    <row r="3359" spans="1:21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  <c r="S3359" t="str">
        <f>IF(Table1[[#This Row],[Age]]&lt;=25,"Young",IF(Table1[[#This Row],[Age]]&lt;=50,"Adult","Senior"))</f>
        <v>Adult</v>
      </c>
      <c r="T3359" s="1">
        <f>Table1[[#This Row],[Purchase Amount (USD)]]</f>
        <v>67</v>
      </c>
      <c r="U3359">
        <f>IF(Table1[[#This Row],[Subscription Status]]="Yes",1,IF(Table1[[#This Row],[Subscription Status]]="No",0))</f>
        <v>0</v>
      </c>
    </row>
    <row r="3360" spans="1:21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  <c r="S3360" t="str">
        <f>IF(Table1[[#This Row],[Age]]&lt;=25,"Young",IF(Table1[[#This Row],[Age]]&lt;=50,"Adult","Senior"))</f>
        <v>Senior</v>
      </c>
      <c r="T3360" s="1">
        <f>Table1[[#This Row],[Purchase Amount (USD)]]</f>
        <v>59</v>
      </c>
      <c r="U3360">
        <f>IF(Table1[[#This Row],[Subscription Status]]="Yes",1,IF(Table1[[#This Row],[Subscription Status]]="No",0))</f>
        <v>0</v>
      </c>
    </row>
    <row r="3361" spans="1:21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  <c r="S3361" t="str">
        <f>IF(Table1[[#This Row],[Age]]&lt;=25,"Young",IF(Table1[[#This Row],[Age]]&lt;=50,"Adult","Senior"))</f>
        <v>Adult</v>
      </c>
      <c r="T3361" s="1">
        <f>Table1[[#This Row],[Purchase Amount (USD)]]</f>
        <v>74</v>
      </c>
      <c r="U3361">
        <f>IF(Table1[[#This Row],[Subscription Status]]="Yes",1,IF(Table1[[#This Row],[Subscription Status]]="No",0))</f>
        <v>0</v>
      </c>
    </row>
    <row r="3362" spans="1:21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  <c r="S3362" t="str">
        <f>IF(Table1[[#This Row],[Age]]&lt;=25,"Young",IF(Table1[[#This Row],[Age]]&lt;=50,"Adult","Senior"))</f>
        <v>Young</v>
      </c>
      <c r="T3362" s="1">
        <f>Table1[[#This Row],[Purchase Amount (USD)]]</f>
        <v>81</v>
      </c>
      <c r="U3362">
        <f>IF(Table1[[#This Row],[Subscription Status]]="Yes",1,IF(Table1[[#This Row],[Subscription Status]]="No",0))</f>
        <v>0</v>
      </c>
    </row>
    <row r="3363" spans="1:21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  <c r="S3363" t="str">
        <f>IF(Table1[[#This Row],[Age]]&lt;=25,"Young",IF(Table1[[#This Row],[Age]]&lt;=50,"Adult","Senior"))</f>
        <v>Adult</v>
      </c>
      <c r="T3363" s="1">
        <f>Table1[[#This Row],[Purchase Amount (USD)]]</f>
        <v>26</v>
      </c>
      <c r="U3363">
        <f>IF(Table1[[#This Row],[Subscription Status]]="Yes",1,IF(Table1[[#This Row],[Subscription Status]]="No",0))</f>
        <v>0</v>
      </c>
    </row>
    <row r="3364" spans="1:21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  <c r="S3364" t="str">
        <f>IF(Table1[[#This Row],[Age]]&lt;=25,"Young",IF(Table1[[#This Row],[Age]]&lt;=50,"Adult","Senior"))</f>
        <v>Adult</v>
      </c>
      <c r="T3364" s="1">
        <f>Table1[[#This Row],[Purchase Amount (USD)]]</f>
        <v>61</v>
      </c>
      <c r="U3364">
        <f>IF(Table1[[#This Row],[Subscription Status]]="Yes",1,IF(Table1[[#This Row],[Subscription Status]]="No",0))</f>
        <v>0</v>
      </c>
    </row>
    <row r="3365" spans="1:21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  <c r="S3365" t="str">
        <f>IF(Table1[[#This Row],[Age]]&lt;=25,"Young",IF(Table1[[#This Row],[Age]]&lt;=50,"Adult","Senior"))</f>
        <v>Senior</v>
      </c>
      <c r="T3365" s="1">
        <f>Table1[[#This Row],[Purchase Amount (USD)]]</f>
        <v>23</v>
      </c>
      <c r="U3365">
        <f>IF(Table1[[#This Row],[Subscription Status]]="Yes",1,IF(Table1[[#This Row],[Subscription Status]]="No",0))</f>
        <v>0</v>
      </c>
    </row>
    <row r="3366" spans="1:21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  <c r="S3366" t="str">
        <f>IF(Table1[[#This Row],[Age]]&lt;=25,"Young",IF(Table1[[#This Row],[Age]]&lt;=50,"Adult","Senior"))</f>
        <v>Adult</v>
      </c>
      <c r="T3366" s="1">
        <f>Table1[[#This Row],[Purchase Amount (USD)]]</f>
        <v>33</v>
      </c>
      <c r="U3366">
        <f>IF(Table1[[#This Row],[Subscription Status]]="Yes",1,IF(Table1[[#This Row],[Subscription Status]]="No",0))</f>
        <v>0</v>
      </c>
    </row>
    <row r="3367" spans="1:21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  <c r="S3367" t="str">
        <f>IF(Table1[[#This Row],[Age]]&lt;=25,"Young",IF(Table1[[#This Row],[Age]]&lt;=50,"Adult","Senior"))</f>
        <v>Adult</v>
      </c>
      <c r="T3367" s="1">
        <f>Table1[[#This Row],[Purchase Amount (USD)]]</f>
        <v>58</v>
      </c>
      <c r="U3367">
        <f>IF(Table1[[#This Row],[Subscription Status]]="Yes",1,IF(Table1[[#This Row],[Subscription Status]]="No",0))</f>
        <v>0</v>
      </c>
    </row>
    <row r="3368" spans="1:21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  <c r="S3368" t="str">
        <f>IF(Table1[[#This Row],[Age]]&lt;=25,"Young",IF(Table1[[#This Row],[Age]]&lt;=50,"Adult","Senior"))</f>
        <v>Adult</v>
      </c>
      <c r="T3368" s="1">
        <f>Table1[[#This Row],[Purchase Amount (USD)]]</f>
        <v>65</v>
      </c>
      <c r="U3368">
        <f>IF(Table1[[#This Row],[Subscription Status]]="Yes",1,IF(Table1[[#This Row],[Subscription Status]]="No",0))</f>
        <v>0</v>
      </c>
    </row>
    <row r="3369" spans="1:21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  <c r="S3369" t="str">
        <f>IF(Table1[[#This Row],[Age]]&lt;=25,"Young",IF(Table1[[#This Row],[Age]]&lt;=50,"Adult","Senior"))</f>
        <v>Adult</v>
      </c>
      <c r="T3369" s="1">
        <f>Table1[[#This Row],[Purchase Amount (USD)]]</f>
        <v>48</v>
      </c>
      <c r="U3369">
        <f>IF(Table1[[#This Row],[Subscription Status]]="Yes",1,IF(Table1[[#This Row],[Subscription Status]]="No",0))</f>
        <v>0</v>
      </c>
    </row>
    <row r="3370" spans="1:21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  <c r="S3370" t="str">
        <f>IF(Table1[[#This Row],[Age]]&lt;=25,"Young",IF(Table1[[#This Row],[Age]]&lt;=50,"Adult","Senior"))</f>
        <v>Adult</v>
      </c>
      <c r="T3370" s="1">
        <f>Table1[[#This Row],[Purchase Amount (USD)]]</f>
        <v>25</v>
      </c>
      <c r="U3370">
        <f>IF(Table1[[#This Row],[Subscription Status]]="Yes",1,IF(Table1[[#This Row],[Subscription Status]]="No",0))</f>
        <v>0</v>
      </c>
    </row>
    <row r="3371" spans="1:21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  <c r="S3371" t="str">
        <f>IF(Table1[[#This Row],[Age]]&lt;=25,"Young",IF(Table1[[#This Row],[Age]]&lt;=50,"Adult","Senior"))</f>
        <v>Adult</v>
      </c>
      <c r="T3371" s="1">
        <f>Table1[[#This Row],[Purchase Amount (USD)]]</f>
        <v>51</v>
      </c>
      <c r="U3371">
        <f>IF(Table1[[#This Row],[Subscription Status]]="Yes",1,IF(Table1[[#This Row],[Subscription Status]]="No",0))</f>
        <v>0</v>
      </c>
    </row>
    <row r="3372" spans="1:21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  <c r="S3372" t="str">
        <f>IF(Table1[[#This Row],[Age]]&lt;=25,"Young",IF(Table1[[#This Row],[Age]]&lt;=50,"Adult","Senior"))</f>
        <v>Adult</v>
      </c>
      <c r="T3372" s="1">
        <f>Table1[[#This Row],[Purchase Amount (USD)]]</f>
        <v>31</v>
      </c>
      <c r="U3372">
        <f>IF(Table1[[#This Row],[Subscription Status]]="Yes",1,IF(Table1[[#This Row],[Subscription Status]]="No",0))</f>
        <v>0</v>
      </c>
    </row>
    <row r="3373" spans="1:21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  <c r="S3373" t="str">
        <f>IF(Table1[[#This Row],[Age]]&lt;=25,"Young",IF(Table1[[#This Row],[Age]]&lt;=50,"Adult","Senior"))</f>
        <v>Adult</v>
      </c>
      <c r="T3373" s="1">
        <f>Table1[[#This Row],[Purchase Amount (USD)]]</f>
        <v>99</v>
      </c>
      <c r="U3373">
        <f>IF(Table1[[#This Row],[Subscription Status]]="Yes",1,IF(Table1[[#This Row],[Subscription Status]]="No",0))</f>
        <v>0</v>
      </c>
    </row>
    <row r="3374" spans="1:21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  <c r="S3374" t="str">
        <f>IF(Table1[[#This Row],[Age]]&lt;=25,"Young",IF(Table1[[#This Row],[Age]]&lt;=50,"Adult","Senior"))</f>
        <v>Senior</v>
      </c>
      <c r="T3374" s="1">
        <f>Table1[[#This Row],[Purchase Amount (USD)]]</f>
        <v>25</v>
      </c>
      <c r="U3374">
        <f>IF(Table1[[#This Row],[Subscription Status]]="Yes",1,IF(Table1[[#This Row],[Subscription Status]]="No",0))</f>
        <v>0</v>
      </c>
    </row>
    <row r="3375" spans="1:21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  <c r="S3375" t="str">
        <f>IF(Table1[[#This Row],[Age]]&lt;=25,"Young",IF(Table1[[#This Row],[Age]]&lt;=50,"Adult","Senior"))</f>
        <v>Senior</v>
      </c>
      <c r="T3375" s="1">
        <f>Table1[[#This Row],[Purchase Amount (USD)]]</f>
        <v>52</v>
      </c>
      <c r="U3375">
        <f>IF(Table1[[#This Row],[Subscription Status]]="Yes",1,IF(Table1[[#This Row],[Subscription Status]]="No",0))</f>
        <v>0</v>
      </c>
    </row>
    <row r="3376" spans="1:21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  <c r="S3376" t="str">
        <f>IF(Table1[[#This Row],[Age]]&lt;=25,"Young",IF(Table1[[#This Row],[Age]]&lt;=50,"Adult","Senior"))</f>
        <v>Young</v>
      </c>
      <c r="T3376" s="1">
        <f>Table1[[#This Row],[Purchase Amount (USD)]]</f>
        <v>47</v>
      </c>
      <c r="U3376">
        <f>IF(Table1[[#This Row],[Subscription Status]]="Yes",1,IF(Table1[[#This Row],[Subscription Status]]="No",0))</f>
        <v>0</v>
      </c>
    </row>
    <row r="3377" spans="1:21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  <c r="S3377" t="str">
        <f>IF(Table1[[#This Row],[Age]]&lt;=25,"Young",IF(Table1[[#This Row],[Age]]&lt;=50,"Adult","Senior"))</f>
        <v>Senior</v>
      </c>
      <c r="T3377" s="1">
        <f>Table1[[#This Row],[Purchase Amount (USD)]]</f>
        <v>98</v>
      </c>
      <c r="U3377">
        <f>IF(Table1[[#This Row],[Subscription Status]]="Yes",1,IF(Table1[[#This Row],[Subscription Status]]="No",0))</f>
        <v>0</v>
      </c>
    </row>
    <row r="3378" spans="1:21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  <c r="S3378" t="str">
        <f>IF(Table1[[#This Row],[Age]]&lt;=25,"Young",IF(Table1[[#This Row],[Age]]&lt;=50,"Adult","Senior"))</f>
        <v>Young</v>
      </c>
      <c r="T3378" s="1">
        <f>Table1[[#This Row],[Purchase Amount (USD)]]</f>
        <v>46</v>
      </c>
      <c r="U3378">
        <f>IF(Table1[[#This Row],[Subscription Status]]="Yes",1,IF(Table1[[#This Row],[Subscription Status]]="No",0))</f>
        <v>0</v>
      </c>
    </row>
    <row r="3379" spans="1:21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  <c r="S3379" t="str">
        <f>IF(Table1[[#This Row],[Age]]&lt;=25,"Young",IF(Table1[[#This Row],[Age]]&lt;=50,"Adult","Senior"))</f>
        <v>Adult</v>
      </c>
      <c r="T3379" s="1">
        <f>Table1[[#This Row],[Purchase Amount (USD)]]</f>
        <v>32</v>
      </c>
      <c r="U3379">
        <f>IF(Table1[[#This Row],[Subscription Status]]="Yes",1,IF(Table1[[#This Row],[Subscription Status]]="No",0))</f>
        <v>0</v>
      </c>
    </row>
    <row r="3380" spans="1:21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  <c r="S3380" t="str">
        <f>IF(Table1[[#This Row],[Age]]&lt;=25,"Young",IF(Table1[[#This Row],[Age]]&lt;=50,"Adult","Senior"))</f>
        <v>Adult</v>
      </c>
      <c r="T3380" s="1">
        <f>Table1[[#This Row],[Purchase Amount (USD)]]</f>
        <v>75</v>
      </c>
      <c r="U3380">
        <f>IF(Table1[[#This Row],[Subscription Status]]="Yes",1,IF(Table1[[#This Row],[Subscription Status]]="No",0))</f>
        <v>0</v>
      </c>
    </row>
    <row r="3381" spans="1:21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  <c r="S3381" t="str">
        <f>IF(Table1[[#This Row],[Age]]&lt;=25,"Young",IF(Table1[[#This Row],[Age]]&lt;=50,"Adult","Senior"))</f>
        <v>Senior</v>
      </c>
      <c r="T3381" s="1">
        <f>Table1[[#This Row],[Purchase Amount (USD)]]</f>
        <v>51</v>
      </c>
      <c r="U3381">
        <f>IF(Table1[[#This Row],[Subscription Status]]="Yes",1,IF(Table1[[#This Row],[Subscription Status]]="No",0))</f>
        <v>0</v>
      </c>
    </row>
    <row r="3382" spans="1:21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  <c r="S3382" t="str">
        <f>IF(Table1[[#This Row],[Age]]&lt;=25,"Young",IF(Table1[[#This Row],[Age]]&lt;=50,"Adult","Senior"))</f>
        <v>Adult</v>
      </c>
      <c r="T3382" s="1">
        <f>Table1[[#This Row],[Purchase Amount (USD)]]</f>
        <v>52</v>
      </c>
      <c r="U3382">
        <f>IF(Table1[[#This Row],[Subscription Status]]="Yes",1,IF(Table1[[#This Row],[Subscription Status]]="No",0))</f>
        <v>0</v>
      </c>
    </row>
    <row r="3383" spans="1:21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  <c r="S3383" t="str">
        <f>IF(Table1[[#This Row],[Age]]&lt;=25,"Young",IF(Table1[[#This Row],[Age]]&lt;=50,"Adult","Senior"))</f>
        <v>Senior</v>
      </c>
      <c r="T3383" s="1">
        <f>Table1[[#This Row],[Purchase Amount (USD)]]</f>
        <v>66</v>
      </c>
      <c r="U3383">
        <f>IF(Table1[[#This Row],[Subscription Status]]="Yes",1,IF(Table1[[#This Row],[Subscription Status]]="No",0))</f>
        <v>0</v>
      </c>
    </row>
    <row r="3384" spans="1:21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  <c r="S3384" t="str">
        <f>IF(Table1[[#This Row],[Age]]&lt;=25,"Young",IF(Table1[[#This Row],[Age]]&lt;=50,"Adult","Senior"))</f>
        <v>Adult</v>
      </c>
      <c r="T3384" s="1">
        <f>Table1[[#This Row],[Purchase Amount (USD)]]</f>
        <v>35</v>
      </c>
      <c r="U3384">
        <f>IF(Table1[[#This Row],[Subscription Status]]="Yes",1,IF(Table1[[#This Row],[Subscription Status]]="No",0))</f>
        <v>0</v>
      </c>
    </row>
    <row r="3385" spans="1:21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  <c r="S3385" t="str">
        <f>IF(Table1[[#This Row],[Age]]&lt;=25,"Young",IF(Table1[[#This Row],[Age]]&lt;=50,"Adult","Senior"))</f>
        <v>Adult</v>
      </c>
      <c r="T3385" s="1">
        <f>Table1[[#This Row],[Purchase Amount (USD)]]</f>
        <v>43</v>
      </c>
      <c r="U3385">
        <f>IF(Table1[[#This Row],[Subscription Status]]="Yes",1,IF(Table1[[#This Row],[Subscription Status]]="No",0))</f>
        <v>0</v>
      </c>
    </row>
    <row r="3386" spans="1:21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  <c r="S3386" t="str">
        <f>IF(Table1[[#This Row],[Age]]&lt;=25,"Young",IF(Table1[[#This Row],[Age]]&lt;=50,"Adult","Senior"))</f>
        <v>Adult</v>
      </c>
      <c r="T3386" s="1">
        <f>Table1[[#This Row],[Purchase Amount (USD)]]</f>
        <v>24</v>
      </c>
      <c r="U3386">
        <f>IF(Table1[[#This Row],[Subscription Status]]="Yes",1,IF(Table1[[#This Row],[Subscription Status]]="No",0))</f>
        <v>0</v>
      </c>
    </row>
    <row r="3387" spans="1:21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  <c r="S3387" t="str">
        <f>IF(Table1[[#This Row],[Age]]&lt;=25,"Young",IF(Table1[[#This Row],[Age]]&lt;=50,"Adult","Senior"))</f>
        <v>Senior</v>
      </c>
      <c r="T3387" s="1">
        <f>Table1[[#This Row],[Purchase Amount (USD)]]</f>
        <v>83</v>
      </c>
      <c r="U3387">
        <f>IF(Table1[[#This Row],[Subscription Status]]="Yes",1,IF(Table1[[#This Row],[Subscription Status]]="No",0))</f>
        <v>0</v>
      </c>
    </row>
    <row r="3388" spans="1:21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  <c r="S3388" t="str">
        <f>IF(Table1[[#This Row],[Age]]&lt;=25,"Young",IF(Table1[[#This Row],[Age]]&lt;=50,"Adult","Senior"))</f>
        <v>Adult</v>
      </c>
      <c r="T3388" s="1">
        <f>Table1[[#This Row],[Purchase Amount (USD)]]</f>
        <v>62</v>
      </c>
      <c r="U3388">
        <f>IF(Table1[[#This Row],[Subscription Status]]="Yes",1,IF(Table1[[#This Row],[Subscription Status]]="No",0))</f>
        <v>0</v>
      </c>
    </row>
    <row r="3389" spans="1:21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  <c r="S3389" t="str">
        <f>IF(Table1[[#This Row],[Age]]&lt;=25,"Young",IF(Table1[[#This Row],[Age]]&lt;=50,"Adult","Senior"))</f>
        <v>Senior</v>
      </c>
      <c r="T3389" s="1">
        <f>Table1[[#This Row],[Purchase Amount (USD)]]</f>
        <v>78</v>
      </c>
      <c r="U3389">
        <f>IF(Table1[[#This Row],[Subscription Status]]="Yes",1,IF(Table1[[#This Row],[Subscription Status]]="No",0))</f>
        <v>0</v>
      </c>
    </row>
    <row r="3390" spans="1:21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  <c r="S3390" t="str">
        <f>IF(Table1[[#This Row],[Age]]&lt;=25,"Young",IF(Table1[[#This Row],[Age]]&lt;=50,"Adult","Senior"))</f>
        <v>Adult</v>
      </c>
      <c r="T3390" s="1">
        <f>Table1[[#This Row],[Purchase Amount (USD)]]</f>
        <v>61</v>
      </c>
      <c r="U3390">
        <f>IF(Table1[[#This Row],[Subscription Status]]="Yes",1,IF(Table1[[#This Row],[Subscription Status]]="No",0))</f>
        <v>0</v>
      </c>
    </row>
    <row r="3391" spans="1:21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  <c r="S3391" t="str">
        <f>IF(Table1[[#This Row],[Age]]&lt;=25,"Young",IF(Table1[[#This Row],[Age]]&lt;=50,"Adult","Senior"))</f>
        <v>Adult</v>
      </c>
      <c r="T3391" s="1">
        <f>Table1[[#This Row],[Purchase Amount (USD)]]</f>
        <v>57</v>
      </c>
      <c r="U3391">
        <f>IF(Table1[[#This Row],[Subscription Status]]="Yes",1,IF(Table1[[#This Row],[Subscription Status]]="No",0))</f>
        <v>0</v>
      </c>
    </row>
    <row r="3392" spans="1:21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  <c r="S3392" t="str">
        <f>IF(Table1[[#This Row],[Age]]&lt;=25,"Young",IF(Table1[[#This Row],[Age]]&lt;=50,"Adult","Senior"))</f>
        <v>Adult</v>
      </c>
      <c r="T3392" s="1">
        <f>Table1[[#This Row],[Purchase Amount (USD)]]</f>
        <v>70</v>
      </c>
      <c r="U3392">
        <f>IF(Table1[[#This Row],[Subscription Status]]="Yes",1,IF(Table1[[#This Row],[Subscription Status]]="No",0))</f>
        <v>0</v>
      </c>
    </row>
    <row r="3393" spans="1:21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  <c r="S3393" t="str">
        <f>IF(Table1[[#This Row],[Age]]&lt;=25,"Young",IF(Table1[[#This Row],[Age]]&lt;=50,"Adult","Senior"))</f>
        <v>Adult</v>
      </c>
      <c r="T3393" s="1">
        <f>Table1[[#This Row],[Purchase Amount (USD)]]</f>
        <v>57</v>
      </c>
      <c r="U3393">
        <f>IF(Table1[[#This Row],[Subscription Status]]="Yes",1,IF(Table1[[#This Row],[Subscription Status]]="No",0))</f>
        <v>0</v>
      </c>
    </row>
    <row r="3394" spans="1:21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  <c r="S3394" t="str">
        <f>IF(Table1[[#This Row],[Age]]&lt;=25,"Young",IF(Table1[[#This Row],[Age]]&lt;=50,"Adult","Senior"))</f>
        <v>Senior</v>
      </c>
      <c r="T3394" s="1">
        <f>Table1[[#This Row],[Purchase Amount (USD)]]</f>
        <v>74</v>
      </c>
      <c r="U3394">
        <f>IF(Table1[[#This Row],[Subscription Status]]="Yes",1,IF(Table1[[#This Row],[Subscription Status]]="No",0))</f>
        <v>0</v>
      </c>
    </row>
    <row r="3395" spans="1:21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  <c r="S3395" t="str">
        <f>IF(Table1[[#This Row],[Age]]&lt;=25,"Young",IF(Table1[[#This Row],[Age]]&lt;=50,"Adult","Senior"))</f>
        <v>Senior</v>
      </c>
      <c r="T3395" s="1">
        <f>Table1[[#This Row],[Purchase Amount (USD)]]</f>
        <v>90</v>
      </c>
      <c r="U3395">
        <f>IF(Table1[[#This Row],[Subscription Status]]="Yes",1,IF(Table1[[#This Row],[Subscription Status]]="No",0))</f>
        <v>0</v>
      </c>
    </row>
    <row r="3396" spans="1:21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  <c r="S3396" t="str">
        <f>IF(Table1[[#This Row],[Age]]&lt;=25,"Young",IF(Table1[[#This Row],[Age]]&lt;=50,"Adult","Senior"))</f>
        <v>Adult</v>
      </c>
      <c r="T3396" s="1">
        <f>Table1[[#This Row],[Purchase Amount (USD)]]</f>
        <v>98</v>
      </c>
      <c r="U3396">
        <f>IF(Table1[[#This Row],[Subscription Status]]="Yes",1,IF(Table1[[#This Row],[Subscription Status]]="No",0))</f>
        <v>0</v>
      </c>
    </row>
    <row r="3397" spans="1:21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  <c r="S3397" t="str">
        <f>IF(Table1[[#This Row],[Age]]&lt;=25,"Young",IF(Table1[[#This Row],[Age]]&lt;=50,"Adult","Senior"))</f>
        <v>Adult</v>
      </c>
      <c r="T3397" s="1">
        <f>Table1[[#This Row],[Purchase Amount (USD)]]</f>
        <v>43</v>
      </c>
      <c r="U3397">
        <f>IF(Table1[[#This Row],[Subscription Status]]="Yes",1,IF(Table1[[#This Row],[Subscription Status]]="No",0))</f>
        <v>0</v>
      </c>
    </row>
    <row r="3398" spans="1:21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  <c r="S3398" t="str">
        <f>IF(Table1[[#This Row],[Age]]&lt;=25,"Young",IF(Table1[[#This Row],[Age]]&lt;=50,"Adult","Senior"))</f>
        <v>Adult</v>
      </c>
      <c r="T3398" s="1">
        <f>Table1[[#This Row],[Purchase Amount (USD)]]</f>
        <v>37</v>
      </c>
      <c r="U3398">
        <f>IF(Table1[[#This Row],[Subscription Status]]="Yes",1,IF(Table1[[#This Row],[Subscription Status]]="No",0))</f>
        <v>0</v>
      </c>
    </row>
    <row r="3399" spans="1:21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  <c r="S3399" t="str">
        <f>IF(Table1[[#This Row],[Age]]&lt;=25,"Young",IF(Table1[[#This Row],[Age]]&lt;=50,"Adult","Senior"))</f>
        <v>Young</v>
      </c>
      <c r="T3399" s="1">
        <f>Table1[[#This Row],[Purchase Amount (USD)]]</f>
        <v>38</v>
      </c>
      <c r="U3399">
        <f>IF(Table1[[#This Row],[Subscription Status]]="Yes",1,IF(Table1[[#This Row],[Subscription Status]]="No",0))</f>
        <v>0</v>
      </c>
    </row>
    <row r="3400" spans="1:21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  <c r="S3400" t="str">
        <f>IF(Table1[[#This Row],[Age]]&lt;=25,"Young",IF(Table1[[#This Row],[Age]]&lt;=50,"Adult","Senior"))</f>
        <v>Senior</v>
      </c>
      <c r="T3400" s="1">
        <f>Table1[[#This Row],[Purchase Amount (USD)]]</f>
        <v>60</v>
      </c>
      <c r="U3400">
        <f>IF(Table1[[#This Row],[Subscription Status]]="Yes",1,IF(Table1[[#This Row],[Subscription Status]]="No",0))</f>
        <v>0</v>
      </c>
    </row>
    <row r="3401" spans="1:21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  <c r="S3401" t="str">
        <f>IF(Table1[[#This Row],[Age]]&lt;=25,"Young",IF(Table1[[#This Row],[Age]]&lt;=50,"Adult","Senior"))</f>
        <v>Adult</v>
      </c>
      <c r="T3401" s="1">
        <f>Table1[[#This Row],[Purchase Amount (USD)]]</f>
        <v>55</v>
      </c>
      <c r="U3401">
        <f>IF(Table1[[#This Row],[Subscription Status]]="Yes",1,IF(Table1[[#This Row],[Subscription Status]]="No",0))</f>
        <v>0</v>
      </c>
    </row>
    <row r="3402" spans="1:21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  <c r="S3402" t="str">
        <f>IF(Table1[[#This Row],[Age]]&lt;=25,"Young",IF(Table1[[#This Row],[Age]]&lt;=50,"Adult","Senior"))</f>
        <v>Adult</v>
      </c>
      <c r="T3402" s="1">
        <f>Table1[[#This Row],[Purchase Amount (USD)]]</f>
        <v>51</v>
      </c>
      <c r="U3402">
        <f>IF(Table1[[#This Row],[Subscription Status]]="Yes",1,IF(Table1[[#This Row],[Subscription Status]]="No",0))</f>
        <v>0</v>
      </c>
    </row>
    <row r="3403" spans="1:21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  <c r="S3403" t="str">
        <f>IF(Table1[[#This Row],[Age]]&lt;=25,"Young",IF(Table1[[#This Row],[Age]]&lt;=50,"Adult","Senior"))</f>
        <v>Adult</v>
      </c>
      <c r="T3403" s="1">
        <f>Table1[[#This Row],[Purchase Amount (USD)]]</f>
        <v>71</v>
      </c>
      <c r="U3403">
        <f>IF(Table1[[#This Row],[Subscription Status]]="Yes",1,IF(Table1[[#This Row],[Subscription Status]]="No",0))</f>
        <v>0</v>
      </c>
    </row>
    <row r="3404" spans="1:21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  <c r="S3404" t="str">
        <f>IF(Table1[[#This Row],[Age]]&lt;=25,"Young",IF(Table1[[#This Row],[Age]]&lt;=50,"Adult","Senior"))</f>
        <v>Young</v>
      </c>
      <c r="T3404" s="1">
        <f>Table1[[#This Row],[Purchase Amount (USD)]]</f>
        <v>61</v>
      </c>
      <c r="U3404">
        <f>IF(Table1[[#This Row],[Subscription Status]]="Yes",1,IF(Table1[[#This Row],[Subscription Status]]="No",0))</f>
        <v>0</v>
      </c>
    </row>
    <row r="3405" spans="1:21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  <c r="S3405" t="str">
        <f>IF(Table1[[#This Row],[Age]]&lt;=25,"Young",IF(Table1[[#This Row],[Age]]&lt;=50,"Adult","Senior"))</f>
        <v>Adult</v>
      </c>
      <c r="T3405" s="1">
        <f>Table1[[#This Row],[Purchase Amount (USD)]]</f>
        <v>65</v>
      </c>
      <c r="U3405">
        <f>IF(Table1[[#This Row],[Subscription Status]]="Yes",1,IF(Table1[[#This Row],[Subscription Status]]="No",0))</f>
        <v>0</v>
      </c>
    </row>
    <row r="3406" spans="1:21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  <c r="S3406" t="str">
        <f>IF(Table1[[#This Row],[Age]]&lt;=25,"Young",IF(Table1[[#This Row],[Age]]&lt;=50,"Adult","Senior"))</f>
        <v>Senior</v>
      </c>
      <c r="T3406" s="1">
        <f>Table1[[#This Row],[Purchase Amount (USD)]]</f>
        <v>34</v>
      </c>
      <c r="U3406">
        <f>IF(Table1[[#This Row],[Subscription Status]]="Yes",1,IF(Table1[[#This Row],[Subscription Status]]="No",0))</f>
        <v>0</v>
      </c>
    </row>
    <row r="3407" spans="1:21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  <c r="S3407" t="str">
        <f>IF(Table1[[#This Row],[Age]]&lt;=25,"Young",IF(Table1[[#This Row],[Age]]&lt;=50,"Adult","Senior"))</f>
        <v>Adult</v>
      </c>
      <c r="T3407" s="1">
        <f>Table1[[#This Row],[Purchase Amount (USD)]]</f>
        <v>87</v>
      </c>
      <c r="U3407">
        <f>IF(Table1[[#This Row],[Subscription Status]]="Yes",1,IF(Table1[[#This Row],[Subscription Status]]="No",0))</f>
        <v>0</v>
      </c>
    </row>
    <row r="3408" spans="1:21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  <c r="S3408" t="str">
        <f>IF(Table1[[#This Row],[Age]]&lt;=25,"Young",IF(Table1[[#This Row],[Age]]&lt;=50,"Adult","Senior"))</f>
        <v>Senior</v>
      </c>
      <c r="T3408" s="1">
        <f>Table1[[#This Row],[Purchase Amount (USD)]]</f>
        <v>79</v>
      </c>
      <c r="U3408">
        <f>IF(Table1[[#This Row],[Subscription Status]]="Yes",1,IF(Table1[[#This Row],[Subscription Status]]="No",0))</f>
        <v>0</v>
      </c>
    </row>
    <row r="3409" spans="1:21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  <c r="S3409" t="str">
        <f>IF(Table1[[#This Row],[Age]]&lt;=25,"Young",IF(Table1[[#This Row],[Age]]&lt;=50,"Adult","Senior"))</f>
        <v>Adult</v>
      </c>
      <c r="T3409" s="1">
        <f>Table1[[#This Row],[Purchase Amount (USD)]]</f>
        <v>46</v>
      </c>
      <c r="U3409">
        <f>IF(Table1[[#This Row],[Subscription Status]]="Yes",1,IF(Table1[[#This Row],[Subscription Status]]="No",0))</f>
        <v>0</v>
      </c>
    </row>
    <row r="3410" spans="1:21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  <c r="S3410" t="str">
        <f>IF(Table1[[#This Row],[Age]]&lt;=25,"Young",IF(Table1[[#This Row],[Age]]&lt;=50,"Adult","Senior"))</f>
        <v>Adult</v>
      </c>
      <c r="T3410" s="1">
        <f>Table1[[#This Row],[Purchase Amount (USD)]]</f>
        <v>72</v>
      </c>
      <c r="U3410">
        <f>IF(Table1[[#This Row],[Subscription Status]]="Yes",1,IF(Table1[[#This Row],[Subscription Status]]="No",0))</f>
        <v>0</v>
      </c>
    </row>
    <row r="3411" spans="1:21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  <c r="S3411" t="str">
        <f>IF(Table1[[#This Row],[Age]]&lt;=25,"Young",IF(Table1[[#This Row],[Age]]&lt;=50,"Adult","Senior"))</f>
        <v>Young</v>
      </c>
      <c r="T3411" s="1">
        <f>Table1[[#This Row],[Purchase Amount (USD)]]</f>
        <v>93</v>
      </c>
      <c r="U3411">
        <f>IF(Table1[[#This Row],[Subscription Status]]="Yes",1,IF(Table1[[#This Row],[Subscription Status]]="No",0))</f>
        <v>0</v>
      </c>
    </row>
    <row r="3412" spans="1:21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  <c r="S3412" t="str">
        <f>IF(Table1[[#This Row],[Age]]&lt;=25,"Young",IF(Table1[[#This Row],[Age]]&lt;=50,"Adult","Senior"))</f>
        <v>Adult</v>
      </c>
      <c r="T3412" s="1">
        <f>Table1[[#This Row],[Purchase Amount (USD)]]</f>
        <v>76</v>
      </c>
      <c r="U3412">
        <f>IF(Table1[[#This Row],[Subscription Status]]="Yes",1,IF(Table1[[#This Row],[Subscription Status]]="No",0))</f>
        <v>0</v>
      </c>
    </row>
    <row r="3413" spans="1:21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  <c r="S3413" t="str">
        <f>IF(Table1[[#This Row],[Age]]&lt;=25,"Young",IF(Table1[[#This Row],[Age]]&lt;=50,"Adult","Senior"))</f>
        <v>Adult</v>
      </c>
      <c r="T3413" s="1">
        <f>Table1[[#This Row],[Purchase Amount (USD)]]</f>
        <v>56</v>
      </c>
      <c r="U3413">
        <f>IF(Table1[[#This Row],[Subscription Status]]="Yes",1,IF(Table1[[#This Row],[Subscription Status]]="No",0))</f>
        <v>0</v>
      </c>
    </row>
    <row r="3414" spans="1:21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  <c r="S3414" t="str">
        <f>IF(Table1[[#This Row],[Age]]&lt;=25,"Young",IF(Table1[[#This Row],[Age]]&lt;=50,"Adult","Senior"))</f>
        <v>Senior</v>
      </c>
      <c r="T3414" s="1">
        <f>Table1[[#This Row],[Purchase Amount (USD)]]</f>
        <v>83</v>
      </c>
      <c r="U3414">
        <f>IF(Table1[[#This Row],[Subscription Status]]="Yes",1,IF(Table1[[#This Row],[Subscription Status]]="No",0))</f>
        <v>0</v>
      </c>
    </row>
    <row r="3415" spans="1:21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  <c r="S3415" t="str">
        <f>IF(Table1[[#This Row],[Age]]&lt;=25,"Young",IF(Table1[[#This Row],[Age]]&lt;=50,"Adult","Senior"))</f>
        <v>Adult</v>
      </c>
      <c r="T3415" s="1">
        <f>Table1[[#This Row],[Purchase Amount (USD)]]</f>
        <v>90</v>
      </c>
      <c r="U3415">
        <f>IF(Table1[[#This Row],[Subscription Status]]="Yes",1,IF(Table1[[#This Row],[Subscription Status]]="No",0))</f>
        <v>0</v>
      </c>
    </row>
    <row r="3416" spans="1:21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  <c r="S3416" t="str">
        <f>IF(Table1[[#This Row],[Age]]&lt;=25,"Young",IF(Table1[[#This Row],[Age]]&lt;=50,"Adult","Senior"))</f>
        <v>Adult</v>
      </c>
      <c r="T3416" s="1">
        <f>Table1[[#This Row],[Purchase Amount (USD)]]</f>
        <v>94</v>
      </c>
      <c r="U3416">
        <f>IF(Table1[[#This Row],[Subscription Status]]="Yes",1,IF(Table1[[#This Row],[Subscription Status]]="No",0))</f>
        <v>0</v>
      </c>
    </row>
    <row r="3417" spans="1:21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  <c r="S3417" t="str">
        <f>IF(Table1[[#This Row],[Age]]&lt;=25,"Young",IF(Table1[[#This Row],[Age]]&lt;=50,"Adult","Senior"))</f>
        <v>Adult</v>
      </c>
      <c r="T3417" s="1">
        <f>Table1[[#This Row],[Purchase Amount (USD)]]</f>
        <v>68</v>
      </c>
      <c r="U3417">
        <f>IF(Table1[[#This Row],[Subscription Status]]="Yes",1,IF(Table1[[#This Row],[Subscription Status]]="No",0))</f>
        <v>0</v>
      </c>
    </row>
    <row r="3418" spans="1:21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  <c r="S3418" t="str">
        <f>IF(Table1[[#This Row],[Age]]&lt;=25,"Young",IF(Table1[[#This Row],[Age]]&lt;=50,"Adult","Senior"))</f>
        <v>Young</v>
      </c>
      <c r="T3418" s="1">
        <f>Table1[[#This Row],[Purchase Amount (USD)]]</f>
        <v>53</v>
      </c>
      <c r="U3418">
        <f>IF(Table1[[#This Row],[Subscription Status]]="Yes",1,IF(Table1[[#This Row],[Subscription Status]]="No",0))</f>
        <v>0</v>
      </c>
    </row>
    <row r="3419" spans="1:21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  <c r="S3419" t="str">
        <f>IF(Table1[[#This Row],[Age]]&lt;=25,"Young",IF(Table1[[#This Row],[Age]]&lt;=50,"Adult","Senior"))</f>
        <v>Senior</v>
      </c>
      <c r="T3419" s="1">
        <f>Table1[[#This Row],[Purchase Amount (USD)]]</f>
        <v>35</v>
      </c>
      <c r="U3419">
        <f>IF(Table1[[#This Row],[Subscription Status]]="Yes",1,IF(Table1[[#This Row],[Subscription Status]]="No",0))</f>
        <v>0</v>
      </c>
    </row>
    <row r="3420" spans="1:21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  <c r="S3420" t="str">
        <f>IF(Table1[[#This Row],[Age]]&lt;=25,"Young",IF(Table1[[#This Row],[Age]]&lt;=50,"Adult","Senior"))</f>
        <v>Senior</v>
      </c>
      <c r="T3420" s="1">
        <f>Table1[[#This Row],[Purchase Amount (USD)]]</f>
        <v>30</v>
      </c>
      <c r="U3420">
        <f>IF(Table1[[#This Row],[Subscription Status]]="Yes",1,IF(Table1[[#This Row],[Subscription Status]]="No",0))</f>
        <v>0</v>
      </c>
    </row>
    <row r="3421" spans="1:21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  <c r="S3421" t="str">
        <f>IF(Table1[[#This Row],[Age]]&lt;=25,"Young",IF(Table1[[#This Row],[Age]]&lt;=50,"Adult","Senior"))</f>
        <v>Young</v>
      </c>
      <c r="T3421" s="1">
        <f>Table1[[#This Row],[Purchase Amount (USD)]]</f>
        <v>26</v>
      </c>
      <c r="U3421">
        <f>IF(Table1[[#This Row],[Subscription Status]]="Yes",1,IF(Table1[[#This Row],[Subscription Status]]="No",0))</f>
        <v>0</v>
      </c>
    </row>
    <row r="3422" spans="1:21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  <c r="S3422" t="str">
        <f>IF(Table1[[#This Row],[Age]]&lt;=25,"Young",IF(Table1[[#This Row],[Age]]&lt;=50,"Adult","Senior"))</f>
        <v>Young</v>
      </c>
      <c r="T3422" s="1">
        <f>Table1[[#This Row],[Purchase Amount (USD)]]</f>
        <v>60</v>
      </c>
      <c r="U3422">
        <f>IF(Table1[[#This Row],[Subscription Status]]="Yes",1,IF(Table1[[#This Row],[Subscription Status]]="No",0))</f>
        <v>0</v>
      </c>
    </row>
    <row r="3423" spans="1:21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  <c r="S3423" t="str">
        <f>IF(Table1[[#This Row],[Age]]&lt;=25,"Young",IF(Table1[[#This Row],[Age]]&lt;=50,"Adult","Senior"))</f>
        <v>Senior</v>
      </c>
      <c r="T3423" s="1">
        <f>Table1[[#This Row],[Purchase Amount (USD)]]</f>
        <v>30</v>
      </c>
      <c r="U3423">
        <f>IF(Table1[[#This Row],[Subscription Status]]="Yes",1,IF(Table1[[#This Row],[Subscription Status]]="No",0))</f>
        <v>0</v>
      </c>
    </row>
    <row r="3424" spans="1:21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  <c r="S3424" t="str">
        <f>IF(Table1[[#This Row],[Age]]&lt;=25,"Young",IF(Table1[[#This Row],[Age]]&lt;=50,"Adult","Senior"))</f>
        <v>Young</v>
      </c>
      <c r="T3424" s="1">
        <f>Table1[[#This Row],[Purchase Amount (USD)]]</f>
        <v>91</v>
      </c>
      <c r="U3424">
        <f>IF(Table1[[#This Row],[Subscription Status]]="Yes",1,IF(Table1[[#This Row],[Subscription Status]]="No",0))</f>
        <v>0</v>
      </c>
    </row>
    <row r="3425" spans="1:21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  <c r="S3425" t="str">
        <f>IF(Table1[[#This Row],[Age]]&lt;=25,"Young",IF(Table1[[#This Row],[Age]]&lt;=50,"Adult","Senior"))</f>
        <v>Adult</v>
      </c>
      <c r="T3425" s="1">
        <f>Table1[[#This Row],[Purchase Amount (USD)]]</f>
        <v>71</v>
      </c>
      <c r="U3425">
        <f>IF(Table1[[#This Row],[Subscription Status]]="Yes",1,IF(Table1[[#This Row],[Subscription Status]]="No",0))</f>
        <v>0</v>
      </c>
    </row>
    <row r="3426" spans="1:21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  <c r="S3426" t="str">
        <f>IF(Table1[[#This Row],[Age]]&lt;=25,"Young",IF(Table1[[#This Row],[Age]]&lt;=50,"Adult","Senior"))</f>
        <v>Adult</v>
      </c>
      <c r="T3426" s="1">
        <f>Table1[[#This Row],[Purchase Amount (USD)]]</f>
        <v>64</v>
      </c>
      <c r="U3426">
        <f>IF(Table1[[#This Row],[Subscription Status]]="Yes",1,IF(Table1[[#This Row],[Subscription Status]]="No",0))</f>
        <v>0</v>
      </c>
    </row>
    <row r="3427" spans="1:21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  <c r="S3427" t="str">
        <f>IF(Table1[[#This Row],[Age]]&lt;=25,"Young",IF(Table1[[#This Row],[Age]]&lt;=50,"Adult","Senior"))</f>
        <v>Adult</v>
      </c>
      <c r="T3427" s="1">
        <f>Table1[[#This Row],[Purchase Amount (USD)]]</f>
        <v>54</v>
      </c>
      <c r="U3427">
        <f>IF(Table1[[#This Row],[Subscription Status]]="Yes",1,IF(Table1[[#This Row],[Subscription Status]]="No",0))</f>
        <v>0</v>
      </c>
    </row>
    <row r="3428" spans="1:21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  <c r="S3428" t="str">
        <f>IF(Table1[[#This Row],[Age]]&lt;=25,"Young",IF(Table1[[#This Row],[Age]]&lt;=50,"Adult","Senior"))</f>
        <v>Adult</v>
      </c>
      <c r="T3428" s="1">
        <f>Table1[[#This Row],[Purchase Amount (USD)]]</f>
        <v>35</v>
      </c>
      <c r="U3428">
        <f>IF(Table1[[#This Row],[Subscription Status]]="Yes",1,IF(Table1[[#This Row],[Subscription Status]]="No",0))</f>
        <v>0</v>
      </c>
    </row>
    <row r="3429" spans="1:21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  <c r="S3429" t="str">
        <f>IF(Table1[[#This Row],[Age]]&lt;=25,"Young",IF(Table1[[#This Row],[Age]]&lt;=50,"Adult","Senior"))</f>
        <v>Adult</v>
      </c>
      <c r="T3429" s="1">
        <f>Table1[[#This Row],[Purchase Amount (USD)]]</f>
        <v>38</v>
      </c>
      <c r="U3429">
        <f>IF(Table1[[#This Row],[Subscription Status]]="Yes",1,IF(Table1[[#This Row],[Subscription Status]]="No",0))</f>
        <v>0</v>
      </c>
    </row>
    <row r="3430" spans="1:21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  <c r="S3430" t="str">
        <f>IF(Table1[[#This Row],[Age]]&lt;=25,"Young",IF(Table1[[#This Row],[Age]]&lt;=50,"Adult","Senior"))</f>
        <v>Adult</v>
      </c>
      <c r="T3430" s="1">
        <f>Table1[[#This Row],[Purchase Amount (USD)]]</f>
        <v>69</v>
      </c>
      <c r="U3430">
        <f>IF(Table1[[#This Row],[Subscription Status]]="Yes",1,IF(Table1[[#This Row],[Subscription Status]]="No",0))</f>
        <v>0</v>
      </c>
    </row>
    <row r="3431" spans="1:21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  <c r="S3431" t="str">
        <f>IF(Table1[[#This Row],[Age]]&lt;=25,"Young",IF(Table1[[#This Row],[Age]]&lt;=50,"Adult","Senior"))</f>
        <v>Adult</v>
      </c>
      <c r="T3431" s="1">
        <f>Table1[[#This Row],[Purchase Amount (USD)]]</f>
        <v>96</v>
      </c>
      <c r="U3431">
        <f>IF(Table1[[#This Row],[Subscription Status]]="Yes",1,IF(Table1[[#This Row],[Subscription Status]]="No",0))</f>
        <v>0</v>
      </c>
    </row>
    <row r="3432" spans="1:21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  <c r="S3432" t="str">
        <f>IF(Table1[[#This Row],[Age]]&lt;=25,"Young",IF(Table1[[#This Row],[Age]]&lt;=50,"Adult","Senior"))</f>
        <v>Senior</v>
      </c>
      <c r="T3432" s="1">
        <f>Table1[[#This Row],[Purchase Amount (USD)]]</f>
        <v>73</v>
      </c>
      <c r="U3432">
        <f>IF(Table1[[#This Row],[Subscription Status]]="Yes",1,IF(Table1[[#This Row],[Subscription Status]]="No",0))</f>
        <v>0</v>
      </c>
    </row>
    <row r="3433" spans="1:21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  <c r="S3433" t="str">
        <f>IF(Table1[[#This Row],[Age]]&lt;=25,"Young",IF(Table1[[#This Row],[Age]]&lt;=50,"Adult","Senior"))</f>
        <v>Adult</v>
      </c>
      <c r="T3433" s="1">
        <f>Table1[[#This Row],[Purchase Amount (USD)]]</f>
        <v>49</v>
      </c>
      <c r="U3433">
        <f>IF(Table1[[#This Row],[Subscription Status]]="Yes",1,IF(Table1[[#This Row],[Subscription Status]]="No",0))</f>
        <v>0</v>
      </c>
    </row>
    <row r="3434" spans="1:21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  <c r="S3434" t="str">
        <f>IF(Table1[[#This Row],[Age]]&lt;=25,"Young",IF(Table1[[#This Row],[Age]]&lt;=50,"Adult","Senior"))</f>
        <v>Adult</v>
      </c>
      <c r="T3434" s="1">
        <f>Table1[[#This Row],[Purchase Amount (USD)]]</f>
        <v>44</v>
      </c>
      <c r="U3434">
        <f>IF(Table1[[#This Row],[Subscription Status]]="Yes",1,IF(Table1[[#This Row],[Subscription Status]]="No",0))</f>
        <v>0</v>
      </c>
    </row>
    <row r="3435" spans="1:21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  <c r="S3435" t="str">
        <f>IF(Table1[[#This Row],[Age]]&lt;=25,"Young",IF(Table1[[#This Row],[Age]]&lt;=50,"Adult","Senior"))</f>
        <v>Senior</v>
      </c>
      <c r="T3435" s="1">
        <f>Table1[[#This Row],[Purchase Amount (USD)]]</f>
        <v>93</v>
      </c>
      <c r="U3435">
        <f>IF(Table1[[#This Row],[Subscription Status]]="Yes",1,IF(Table1[[#This Row],[Subscription Status]]="No",0))</f>
        <v>0</v>
      </c>
    </row>
    <row r="3436" spans="1:21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  <c r="S3436" t="str">
        <f>IF(Table1[[#This Row],[Age]]&lt;=25,"Young",IF(Table1[[#This Row],[Age]]&lt;=50,"Adult","Senior"))</f>
        <v>Adult</v>
      </c>
      <c r="T3436" s="1">
        <f>Table1[[#This Row],[Purchase Amount (USD)]]</f>
        <v>72</v>
      </c>
      <c r="U3436">
        <f>IF(Table1[[#This Row],[Subscription Status]]="Yes",1,IF(Table1[[#This Row],[Subscription Status]]="No",0))</f>
        <v>0</v>
      </c>
    </row>
    <row r="3437" spans="1:21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  <c r="S3437" t="str">
        <f>IF(Table1[[#This Row],[Age]]&lt;=25,"Young",IF(Table1[[#This Row],[Age]]&lt;=50,"Adult","Senior"))</f>
        <v>Senior</v>
      </c>
      <c r="T3437" s="1">
        <f>Table1[[#This Row],[Purchase Amount (USD)]]</f>
        <v>91</v>
      </c>
      <c r="U3437">
        <f>IF(Table1[[#This Row],[Subscription Status]]="Yes",1,IF(Table1[[#This Row],[Subscription Status]]="No",0))</f>
        <v>0</v>
      </c>
    </row>
    <row r="3438" spans="1:21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  <c r="S3438" t="str">
        <f>IF(Table1[[#This Row],[Age]]&lt;=25,"Young",IF(Table1[[#This Row],[Age]]&lt;=50,"Adult","Senior"))</f>
        <v>Senior</v>
      </c>
      <c r="T3438" s="1">
        <f>Table1[[#This Row],[Purchase Amount (USD)]]</f>
        <v>83</v>
      </c>
      <c r="U3438">
        <f>IF(Table1[[#This Row],[Subscription Status]]="Yes",1,IF(Table1[[#This Row],[Subscription Status]]="No",0))</f>
        <v>0</v>
      </c>
    </row>
    <row r="3439" spans="1:21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  <c r="S3439" t="str">
        <f>IF(Table1[[#This Row],[Age]]&lt;=25,"Young",IF(Table1[[#This Row],[Age]]&lt;=50,"Adult","Senior"))</f>
        <v>Young</v>
      </c>
      <c r="T3439" s="1">
        <f>Table1[[#This Row],[Purchase Amount (USD)]]</f>
        <v>62</v>
      </c>
      <c r="U3439">
        <f>IF(Table1[[#This Row],[Subscription Status]]="Yes",1,IF(Table1[[#This Row],[Subscription Status]]="No",0))</f>
        <v>0</v>
      </c>
    </row>
    <row r="3440" spans="1:21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  <c r="S3440" t="str">
        <f>IF(Table1[[#This Row],[Age]]&lt;=25,"Young",IF(Table1[[#This Row],[Age]]&lt;=50,"Adult","Senior"))</f>
        <v>Adult</v>
      </c>
      <c r="T3440" s="1">
        <f>Table1[[#This Row],[Purchase Amount (USD)]]</f>
        <v>71</v>
      </c>
      <c r="U3440">
        <f>IF(Table1[[#This Row],[Subscription Status]]="Yes",1,IF(Table1[[#This Row],[Subscription Status]]="No",0))</f>
        <v>0</v>
      </c>
    </row>
    <row r="3441" spans="1:21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  <c r="S3441" t="str">
        <f>IF(Table1[[#This Row],[Age]]&lt;=25,"Young",IF(Table1[[#This Row],[Age]]&lt;=50,"Adult","Senior"))</f>
        <v>Adult</v>
      </c>
      <c r="T3441" s="1">
        <f>Table1[[#This Row],[Purchase Amount (USD)]]</f>
        <v>93</v>
      </c>
      <c r="U3441">
        <f>IF(Table1[[#This Row],[Subscription Status]]="Yes",1,IF(Table1[[#This Row],[Subscription Status]]="No",0))</f>
        <v>0</v>
      </c>
    </row>
    <row r="3442" spans="1:21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  <c r="S3442" t="str">
        <f>IF(Table1[[#This Row],[Age]]&lt;=25,"Young",IF(Table1[[#This Row],[Age]]&lt;=50,"Adult","Senior"))</f>
        <v>Adult</v>
      </c>
      <c r="T3442" s="1">
        <f>Table1[[#This Row],[Purchase Amount (USD)]]</f>
        <v>63</v>
      </c>
      <c r="U3442">
        <f>IF(Table1[[#This Row],[Subscription Status]]="Yes",1,IF(Table1[[#This Row],[Subscription Status]]="No",0))</f>
        <v>0</v>
      </c>
    </row>
    <row r="3443" spans="1:21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  <c r="S3443" t="str">
        <f>IF(Table1[[#This Row],[Age]]&lt;=25,"Young",IF(Table1[[#This Row],[Age]]&lt;=50,"Adult","Senior"))</f>
        <v>Senior</v>
      </c>
      <c r="T3443" s="1">
        <f>Table1[[#This Row],[Purchase Amount (USD)]]</f>
        <v>96</v>
      </c>
      <c r="U3443">
        <f>IF(Table1[[#This Row],[Subscription Status]]="Yes",1,IF(Table1[[#This Row],[Subscription Status]]="No",0))</f>
        <v>0</v>
      </c>
    </row>
    <row r="3444" spans="1:21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  <c r="S3444" t="str">
        <f>IF(Table1[[#This Row],[Age]]&lt;=25,"Young",IF(Table1[[#This Row],[Age]]&lt;=50,"Adult","Senior"))</f>
        <v>Adult</v>
      </c>
      <c r="T3444" s="1">
        <f>Table1[[#This Row],[Purchase Amount (USD)]]</f>
        <v>78</v>
      </c>
      <c r="U3444">
        <f>IF(Table1[[#This Row],[Subscription Status]]="Yes",1,IF(Table1[[#This Row],[Subscription Status]]="No",0))</f>
        <v>0</v>
      </c>
    </row>
    <row r="3445" spans="1:21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  <c r="S3445" t="str">
        <f>IF(Table1[[#This Row],[Age]]&lt;=25,"Young",IF(Table1[[#This Row],[Age]]&lt;=50,"Adult","Senior"))</f>
        <v>Adult</v>
      </c>
      <c r="T3445" s="1">
        <f>Table1[[#This Row],[Purchase Amount (USD)]]</f>
        <v>24</v>
      </c>
      <c r="U3445">
        <f>IF(Table1[[#This Row],[Subscription Status]]="Yes",1,IF(Table1[[#This Row],[Subscription Status]]="No",0))</f>
        <v>0</v>
      </c>
    </row>
    <row r="3446" spans="1:21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  <c r="S3446" t="str">
        <f>IF(Table1[[#This Row],[Age]]&lt;=25,"Young",IF(Table1[[#This Row],[Age]]&lt;=50,"Adult","Senior"))</f>
        <v>Senior</v>
      </c>
      <c r="T3446" s="1">
        <f>Table1[[#This Row],[Purchase Amount (USD)]]</f>
        <v>63</v>
      </c>
      <c r="U3446">
        <f>IF(Table1[[#This Row],[Subscription Status]]="Yes",1,IF(Table1[[#This Row],[Subscription Status]]="No",0))</f>
        <v>0</v>
      </c>
    </row>
    <row r="3447" spans="1:21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  <c r="S3447" t="str">
        <f>IF(Table1[[#This Row],[Age]]&lt;=25,"Young",IF(Table1[[#This Row],[Age]]&lt;=50,"Adult","Senior"))</f>
        <v>Adult</v>
      </c>
      <c r="T3447" s="1">
        <f>Table1[[#This Row],[Purchase Amount (USD)]]</f>
        <v>58</v>
      </c>
      <c r="U3447">
        <f>IF(Table1[[#This Row],[Subscription Status]]="Yes",1,IF(Table1[[#This Row],[Subscription Status]]="No",0))</f>
        <v>0</v>
      </c>
    </row>
    <row r="3448" spans="1:21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  <c r="S3448" t="str">
        <f>IF(Table1[[#This Row],[Age]]&lt;=25,"Young",IF(Table1[[#This Row],[Age]]&lt;=50,"Adult","Senior"))</f>
        <v>Senior</v>
      </c>
      <c r="T3448" s="1">
        <f>Table1[[#This Row],[Purchase Amount (USD)]]</f>
        <v>55</v>
      </c>
      <c r="U3448">
        <f>IF(Table1[[#This Row],[Subscription Status]]="Yes",1,IF(Table1[[#This Row],[Subscription Status]]="No",0))</f>
        <v>0</v>
      </c>
    </row>
    <row r="3449" spans="1:21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  <c r="S3449" t="str">
        <f>IF(Table1[[#This Row],[Age]]&lt;=25,"Young",IF(Table1[[#This Row],[Age]]&lt;=50,"Adult","Senior"))</f>
        <v>Senior</v>
      </c>
      <c r="T3449" s="1">
        <f>Table1[[#This Row],[Purchase Amount (USD)]]</f>
        <v>58</v>
      </c>
      <c r="U3449">
        <f>IF(Table1[[#This Row],[Subscription Status]]="Yes",1,IF(Table1[[#This Row],[Subscription Status]]="No",0))</f>
        <v>0</v>
      </c>
    </row>
    <row r="3450" spans="1:21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  <c r="S3450" t="str">
        <f>IF(Table1[[#This Row],[Age]]&lt;=25,"Young",IF(Table1[[#This Row],[Age]]&lt;=50,"Adult","Senior"))</f>
        <v>Young</v>
      </c>
      <c r="T3450" s="1">
        <f>Table1[[#This Row],[Purchase Amount (USD)]]</f>
        <v>28</v>
      </c>
      <c r="U3450">
        <f>IF(Table1[[#This Row],[Subscription Status]]="Yes",1,IF(Table1[[#This Row],[Subscription Status]]="No",0))</f>
        <v>0</v>
      </c>
    </row>
    <row r="3451" spans="1:21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  <c r="S3451" t="str">
        <f>IF(Table1[[#This Row],[Age]]&lt;=25,"Young",IF(Table1[[#This Row],[Age]]&lt;=50,"Adult","Senior"))</f>
        <v>Adult</v>
      </c>
      <c r="T3451" s="1">
        <f>Table1[[#This Row],[Purchase Amount (USD)]]</f>
        <v>37</v>
      </c>
      <c r="U3451">
        <f>IF(Table1[[#This Row],[Subscription Status]]="Yes",1,IF(Table1[[#This Row],[Subscription Status]]="No",0))</f>
        <v>0</v>
      </c>
    </row>
    <row r="3452" spans="1:21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  <c r="S3452" t="str">
        <f>IF(Table1[[#This Row],[Age]]&lt;=25,"Young",IF(Table1[[#This Row],[Age]]&lt;=50,"Adult","Senior"))</f>
        <v>Young</v>
      </c>
      <c r="T3452" s="1">
        <f>Table1[[#This Row],[Purchase Amount (USD)]]</f>
        <v>78</v>
      </c>
      <c r="U3452">
        <f>IF(Table1[[#This Row],[Subscription Status]]="Yes",1,IF(Table1[[#This Row],[Subscription Status]]="No",0))</f>
        <v>0</v>
      </c>
    </row>
    <row r="3453" spans="1:21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  <c r="S3453" t="str">
        <f>IF(Table1[[#This Row],[Age]]&lt;=25,"Young",IF(Table1[[#This Row],[Age]]&lt;=50,"Adult","Senior"))</f>
        <v>Adult</v>
      </c>
      <c r="T3453" s="1">
        <f>Table1[[#This Row],[Purchase Amount (USD)]]</f>
        <v>73</v>
      </c>
      <c r="U3453">
        <f>IF(Table1[[#This Row],[Subscription Status]]="Yes",1,IF(Table1[[#This Row],[Subscription Status]]="No",0))</f>
        <v>0</v>
      </c>
    </row>
    <row r="3454" spans="1:21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  <c r="S3454" t="str">
        <f>IF(Table1[[#This Row],[Age]]&lt;=25,"Young",IF(Table1[[#This Row],[Age]]&lt;=50,"Adult","Senior"))</f>
        <v>Adult</v>
      </c>
      <c r="T3454" s="1">
        <f>Table1[[#This Row],[Purchase Amount (USD)]]</f>
        <v>20</v>
      </c>
      <c r="U3454">
        <f>IF(Table1[[#This Row],[Subscription Status]]="Yes",1,IF(Table1[[#This Row],[Subscription Status]]="No",0))</f>
        <v>0</v>
      </c>
    </row>
    <row r="3455" spans="1:21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  <c r="S3455" t="str">
        <f>IF(Table1[[#This Row],[Age]]&lt;=25,"Young",IF(Table1[[#This Row],[Age]]&lt;=50,"Adult","Senior"))</f>
        <v>Adult</v>
      </c>
      <c r="T3455" s="1">
        <f>Table1[[#This Row],[Purchase Amount (USD)]]</f>
        <v>60</v>
      </c>
      <c r="U3455">
        <f>IF(Table1[[#This Row],[Subscription Status]]="Yes",1,IF(Table1[[#This Row],[Subscription Status]]="No",0))</f>
        <v>0</v>
      </c>
    </row>
    <row r="3456" spans="1:21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  <c r="S3456" t="str">
        <f>IF(Table1[[#This Row],[Age]]&lt;=25,"Young",IF(Table1[[#This Row],[Age]]&lt;=50,"Adult","Senior"))</f>
        <v>Senior</v>
      </c>
      <c r="T3456" s="1">
        <f>Table1[[#This Row],[Purchase Amount (USD)]]</f>
        <v>71</v>
      </c>
      <c r="U3456">
        <f>IF(Table1[[#This Row],[Subscription Status]]="Yes",1,IF(Table1[[#This Row],[Subscription Status]]="No",0))</f>
        <v>0</v>
      </c>
    </row>
    <row r="3457" spans="1:21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  <c r="S3457" t="str">
        <f>IF(Table1[[#This Row],[Age]]&lt;=25,"Young",IF(Table1[[#This Row],[Age]]&lt;=50,"Adult","Senior"))</f>
        <v>Adult</v>
      </c>
      <c r="T3457" s="1">
        <f>Table1[[#This Row],[Purchase Amount (USD)]]</f>
        <v>89</v>
      </c>
      <c r="U3457">
        <f>IF(Table1[[#This Row],[Subscription Status]]="Yes",1,IF(Table1[[#This Row],[Subscription Status]]="No",0))</f>
        <v>0</v>
      </c>
    </row>
    <row r="3458" spans="1:21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  <c r="S3458" t="str">
        <f>IF(Table1[[#This Row],[Age]]&lt;=25,"Young",IF(Table1[[#This Row],[Age]]&lt;=50,"Adult","Senior"))</f>
        <v>Adult</v>
      </c>
      <c r="T3458" s="1">
        <f>Table1[[#This Row],[Purchase Amount (USD)]]</f>
        <v>53</v>
      </c>
      <c r="U3458">
        <f>IF(Table1[[#This Row],[Subscription Status]]="Yes",1,IF(Table1[[#This Row],[Subscription Status]]="No",0))</f>
        <v>0</v>
      </c>
    </row>
    <row r="3459" spans="1:21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  <c r="S3459" t="str">
        <f>IF(Table1[[#This Row],[Age]]&lt;=25,"Young",IF(Table1[[#This Row],[Age]]&lt;=50,"Adult","Senior"))</f>
        <v>Senior</v>
      </c>
      <c r="T3459" s="1">
        <f>Table1[[#This Row],[Purchase Amount (USD)]]</f>
        <v>87</v>
      </c>
      <c r="U3459">
        <f>IF(Table1[[#This Row],[Subscription Status]]="Yes",1,IF(Table1[[#This Row],[Subscription Status]]="No",0))</f>
        <v>0</v>
      </c>
    </row>
    <row r="3460" spans="1:21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  <c r="S3460" t="str">
        <f>IF(Table1[[#This Row],[Age]]&lt;=25,"Young",IF(Table1[[#This Row],[Age]]&lt;=50,"Adult","Senior"))</f>
        <v>Senior</v>
      </c>
      <c r="T3460" s="1">
        <f>Table1[[#This Row],[Purchase Amount (USD)]]</f>
        <v>37</v>
      </c>
      <c r="U3460">
        <f>IF(Table1[[#This Row],[Subscription Status]]="Yes",1,IF(Table1[[#This Row],[Subscription Status]]="No",0))</f>
        <v>0</v>
      </c>
    </row>
    <row r="3461" spans="1:21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  <c r="S3461" t="str">
        <f>IF(Table1[[#This Row],[Age]]&lt;=25,"Young",IF(Table1[[#This Row],[Age]]&lt;=50,"Adult","Senior"))</f>
        <v>Senior</v>
      </c>
      <c r="T3461" s="1">
        <f>Table1[[#This Row],[Purchase Amount (USD)]]</f>
        <v>37</v>
      </c>
      <c r="U3461">
        <f>IF(Table1[[#This Row],[Subscription Status]]="Yes",1,IF(Table1[[#This Row],[Subscription Status]]="No",0))</f>
        <v>0</v>
      </c>
    </row>
    <row r="3462" spans="1:21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  <c r="S3462" t="str">
        <f>IF(Table1[[#This Row],[Age]]&lt;=25,"Young",IF(Table1[[#This Row],[Age]]&lt;=50,"Adult","Senior"))</f>
        <v>Adult</v>
      </c>
      <c r="T3462" s="1">
        <f>Table1[[#This Row],[Purchase Amount (USD)]]</f>
        <v>78</v>
      </c>
      <c r="U3462">
        <f>IF(Table1[[#This Row],[Subscription Status]]="Yes",1,IF(Table1[[#This Row],[Subscription Status]]="No",0))</f>
        <v>0</v>
      </c>
    </row>
    <row r="3463" spans="1:21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  <c r="S3463" t="str">
        <f>IF(Table1[[#This Row],[Age]]&lt;=25,"Young",IF(Table1[[#This Row],[Age]]&lt;=50,"Adult","Senior"))</f>
        <v>Senior</v>
      </c>
      <c r="T3463" s="1">
        <f>Table1[[#This Row],[Purchase Amount (USD)]]</f>
        <v>23</v>
      </c>
      <c r="U3463">
        <f>IF(Table1[[#This Row],[Subscription Status]]="Yes",1,IF(Table1[[#This Row],[Subscription Status]]="No",0))</f>
        <v>0</v>
      </c>
    </row>
    <row r="3464" spans="1:21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  <c r="S3464" t="str">
        <f>IF(Table1[[#This Row],[Age]]&lt;=25,"Young",IF(Table1[[#This Row],[Age]]&lt;=50,"Adult","Senior"))</f>
        <v>Adult</v>
      </c>
      <c r="T3464" s="1">
        <f>Table1[[#This Row],[Purchase Amount (USD)]]</f>
        <v>73</v>
      </c>
      <c r="U3464">
        <f>IF(Table1[[#This Row],[Subscription Status]]="Yes",1,IF(Table1[[#This Row],[Subscription Status]]="No",0))</f>
        <v>0</v>
      </c>
    </row>
    <row r="3465" spans="1:21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  <c r="S3465" t="str">
        <f>IF(Table1[[#This Row],[Age]]&lt;=25,"Young",IF(Table1[[#This Row],[Age]]&lt;=50,"Adult","Senior"))</f>
        <v>Adult</v>
      </c>
      <c r="T3465" s="1">
        <f>Table1[[#This Row],[Purchase Amount (USD)]]</f>
        <v>27</v>
      </c>
      <c r="U3465">
        <f>IF(Table1[[#This Row],[Subscription Status]]="Yes",1,IF(Table1[[#This Row],[Subscription Status]]="No",0))</f>
        <v>0</v>
      </c>
    </row>
    <row r="3466" spans="1:21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  <c r="S3466" t="str">
        <f>IF(Table1[[#This Row],[Age]]&lt;=25,"Young",IF(Table1[[#This Row],[Age]]&lt;=50,"Adult","Senior"))</f>
        <v>Adult</v>
      </c>
      <c r="T3466" s="1">
        <f>Table1[[#This Row],[Purchase Amount (USD)]]</f>
        <v>59</v>
      </c>
      <c r="U3466">
        <f>IF(Table1[[#This Row],[Subscription Status]]="Yes",1,IF(Table1[[#This Row],[Subscription Status]]="No",0))</f>
        <v>0</v>
      </c>
    </row>
    <row r="3467" spans="1:21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  <c r="S3467" t="str">
        <f>IF(Table1[[#This Row],[Age]]&lt;=25,"Young",IF(Table1[[#This Row],[Age]]&lt;=50,"Adult","Senior"))</f>
        <v>Young</v>
      </c>
      <c r="T3467" s="1">
        <f>Table1[[#This Row],[Purchase Amount (USD)]]</f>
        <v>53</v>
      </c>
      <c r="U3467">
        <f>IF(Table1[[#This Row],[Subscription Status]]="Yes",1,IF(Table1[[#This Row],[Subscription Status]]="No",0))</f>
        <v>0</v>
      </c>
    </row>
    <row r="3468" spans="1:21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  <c r="S3468" t="str">
        <f>IF(Table1[[#This Row],[Age]]&lt;=25,"Young",IF(Table1[[#This Row],[Age]]&lt;=50,"Adult","Senior"))</f>
        <v>Adult</v>
      </c>
      <c r="T3468" s="1">
        <f>Table1[[#This Row],[Purchase Amount (USD)]]</f>
        <v>42</v>
      </c>
      <c r="U3468">
        <f>IF(Table1[[#This Row],[Subscription Status]]="Yes",1,IF(Table1[[#This Row],[Subscription Status]]="No",0))</f>
        <v>0</v>
      </c>
    </row>
    <row r="3469" spans="1:21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  <c r="S3469" t="str">
        <f>IF(Table1[[#This Row],[Age]]&lt;=25,"Young",IF(Table1[[#This Row],[Age]]&lt;=50,"Adult","Senior"))</f>
        <v>Young</v>
      </c>
      <c r="T3469" s="1">
        <f>Table1[[#This Row],[Purchase Amount (USD)]]</f>
        <v>45</v>
      </c>
      <c r="U3469">
        <f>IF(Table1[[#This Row],[Subscription Status]]="Yes",1,IF(Table1[[#This Row],[Subscription Status]]="No",0))</f>
        <v>0</v>
      </c>
    </row>
    <row r="3470" spans="1:21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  <c r="S3470" t="str">
        <f>IF(Table1[[#This Row],[Age]]&lt;=25,"Young",IF(Table1[[#This Row],[Age]]&lt;=50,"Adult","Senior"))</f>
        <v>Adult</v>
      </c>
      <c r="T3470" s="1">
        <f>Table1[[#This Row],[Purchase Amount (USD)]]</f>
        <v>89</v>
      </c>
      <c r="U3470">
        <f>IF(Table1[[#This Row],[Subscription Status]]="Yes",1,IF(Table1[[#This Row],[Subscription Status]]="No",0))</f>
        <v>0</v>
      </c>
    </row>
    <row r="3471" spans="1:21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  <c r="S3471" t="str">
        <f>IF(Table1[[#This Row],[Age]]&lt;=25,"Young",IF(Table1[[#This Row],[Age]]&lt;=50,"Adult","Senior"))</f>
        <v>Adult</v>
      </c>
      <c r="T3471" s="1">
        <f>Table1[[#This Row],[Purchase Amount (USD)]]</f>
        <v>85</v>
      </c>
      <c r="U3471">
        <f>IF(Table1[[#This Row],[Subscription Status]]="Yes",1,IF(Table1[[#This Row],[Subscription Status]]="No",0))</f>
        <v>0</v>
      </c>
    </row>
    <row r="3472" spans="1:21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  <c r="S3472" t="str">
        <f>IF(Table1[[#This Row],[Age]]&lt;=25,"Young",IF(Table1[[#This Row],[Age]]&lt;=50,"Adult","Senior"))</f>
        <v>Young</v>
      </c>
      <c r="T3472" s="1">
        <f>Table1[[#This Row],[Purchase Amount (USD)]]</f>
        <v>69</v>
      </c>
      <c r="U3472">
        <f>IF(Table1[[#This Row],[Subscription Status]]="Yes",1,IF(Table1[[#This Row],[Subscription Status]]="No",0))</f>
        <v>0</v>
      </c>
    </row>
    <row r="3473" spans="1:21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  <c r="S3473" t="str">
        <f>IF(Table1[[#This Row],[Age]]&lt;=25,"Young",IF(Table1[[#This Row],[Age]]&lt;=50,"Adult","Senior"))</f>
        <v>Adult</v>
      </c>
      <c r="T3473" s="1">
        <f>Table1[[#This Row],[Purchase Amount (USD)]]</f>
        <v>66</v>
      </c>
      <c r="U3473">
        <f>IF(Table1[[#This Row],[Subscription Status]]="Yes",1,IF(Table1[[#This Row],[Subscription Status]]="No",0))</f>
        <v>0</v>
      </c>
    </row>
    <row r="3474" spans="1:21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  <c r="S3474" t="str">
        <f>IF(Table1[[#This Row],[Age]]&lt;=25,"Young",IF(Table1[[#This Row],[Age]]&lt;=50,"Adult","Senior"))</f>
        <v>Adult</v>
      </c>
      <c r="T3474" s="1">
        <f>Table1[[#This Row],[Purchase Amount (USD)]]</f>
        <v>42</v>
      </c>
      <c r="U3474">
        <f>IF(Table1[[#This Row],[Subscription Status]]="Yes",1,IF(Table1[[#This Row],[Subscription Status]]="No",0))</f>
        <v>0</v>
      </c>
    </row>
    <row r="3475" spans="1:21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  <c r="S3475" t="str">
        <f>IF(Table1[[#This Row],[Age]]&lt;=25,"Young",IF(Table1[[#This Row],[Age]]&lt;=50,"Adult","Senior"))</f>
        <v>Senior</v>
      </c>
      <c r="T3475" s="1">
        <f>Table1[[#This Row],[Purchase Amount (USD)]]</f>
        <v>40</v>
      </c>
      <c r="U3475">
        <f>IF(Table1[[#This Row],[Subscription Status]]="Yes",1,IF(Table1[[#This Row],[Subscription Status]]="No",0))</f>
        <v>0</v>
      </c>
    </row>
    <row r="3476" spans="1:21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  <c r="S3476" t="str">
        <f>IF(Table1[[#This Row],[Age]]&lt;=25,"Young",IF(Table1[[#This Row],[Age]]&lt;=50,"Adult","Senior"))</f>
        <v>Adult</v>
      </c>
      <c r="T3476" s="1">
        <f>Table1[[#This Row],[Purchase Amount (USD)]]</f>
        <v>82</v>
      </c>
      <c r="U3476">
        <f>IF(Table1[[#This Row],[Subscription Status]]="Yes",1,IF(Table1[[#This Row],[Subscription Status]]="No",0))</f>
        <v>0</v>
      </c>
    </row>
    <row r="3477" spans="1:21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  <c r="S3477" t="str">
        <f>IF(Table1[[#This Row],[Age]]&lt;=25,"Young",IF(Table1[[#This Row],[Age]]&lt;=50,"Adult","Senior"))</f>
        <v>Adult</v>
      </c>
      <c r="T3477" s="1">
        <f>Table1[[#This Row],[Purchase Amount (USD)]]</f>
        <v>88</v>
      </c>
      <c r="U3477">
        <f>IF(Table1[[#This Row],[Subscription Status]]="Yes",1,IF(Table1[[#This Row],[Subscription Status]]="No",0))</f>
        <v>0</v>
      </c>
    </row>
    <row r="3478" spans="1:21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  <c r="S3478" t="str">
        <f>IF(Table1[[#This Row],[Age]]&lt;=25,"Young",IF(Table1[[#This Row],[Age]]&lt;=50,"Adult","Senior"))</f>
        <v>Senior</v>
      </c>
      <c r="T3478" s="1">
        <f>Table1[[#This Row],[Purchase Amount (USD)]]</f>
        <v>99</v>
      </c>
      <c r="U3478">
        <f>IF(Table1[[#This Row],[Subscription Status]]="Yes",1,IF(Table1[[#This Row],[Subscription Status]]="No",0))</f>
        <v>0</v>
      </c>
    </row>
    <row r="3479" spans="1:21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  <c r="S3479" t="str">
        <f>IF(Table1[[#This Row],[Age]]&lt;=25,"Young",IF(Table1[[#This Row],[Age]]&lt;=50,"Adult","Senior"))</f>
        <v>Senior</v>
      </c>
      <c r="T3479" s="1">
        <f>Table1[[#This Row],[Purchase Amount (USD)]]</f>
        <v>85</v>
      </c>
      <c r="U3479">
        <f>IF(Table1[[#This Row],[Subscription Status]]="Yes",1,IF(Table1[[#This Row],[Subscription Status]]="No",0))</f>
        <v>0</v>
      </c>
    </row>
    <row r="3480" spans="1:21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  <c r="S3480" t="str">
        <f>IF(Table1[[#This Row],[Age]]&lt;=25,"Young",IF(Table1[[#This Row],[Age]]&lt;=50,"Adult","Senior"))</f>
        <v>Adult</v>
      </c>
      <c r="T3480" s="1">
        <f>Table1[[#This Row],[Purchase Amount (USD)]]</f>
        <v>57</v>
      </c>
      <c r="U3480">
        <f>IF(Table1[[#This Row],[Subscription Status]]="Yes",1,IF(Table1[[#This Row],[Subscription Status]]="No",0))</f>
        <v>0</v>
      </c>
    </row>
    <row r="3481" spans="1:21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  <c r="S3481" t="str">
        <f>IF(Table1[[#This Row],[Age]]&lt;=25,"Young",IF(Table1[[#This Row],[Age]]&lt;=50,"Adult","Senior"))</f>
        <v>Adult</v>
      </c>
      <c r="T3481" s="1">
        <f>Table1[[#This Row],[Purchase Amount (USD)]]</f>
        <v>56</v>
      </c>
      <c r="U3481">
        <f>IF(Table1[[#This Row],[Subscription Status]]="Yes",1,IF(Table1[[#This Row],[Subscription Status]]="No",0))</f>
        <v>0</v>
      </c>
    </row>
    <row r="3482" spans="1:21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  <c r="S3482" t="str">
        <f>IF(Table1[[#This Row],[Age]]&lt;=25,"Young",IF(Table1[[#This Row],[Age]]&lt;=50,"Adult","Senior"))</f>
        <v>Young</v>
      </c>
      <c r="T3482" s="1">
        <f>Table1[[#This Row],[Purchase Amount (USD)]]</f>
        <v>79</v>
      </c>
      <c r="U3482">
        <f>IF(Table1[[#This Row],[Subscription Status]]="Yes",1,IF(Table1[[#This Row],[Subscription Status]]="No",0))</f>
        <v>0</v>
      </c>
    </row>
    <row r="3483" spans="1:21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  <c r="S3483" t="str">
        <f>IF(Table1[[#This Row],[Age]]&lt;=25,"Young",IF(Table1[[#This Row],[Age]]&lt;=50,"Adult","Senior"))</f>
        <v>Senior</v>
      </c>
      <c r="T3483" s="1">
        <f>Table1[[#This Row],[Purchase Amount (USD)]]</f>
        <v>67</v>
      </c>
      <c r="U3483">
        <f>IF(Table1[[#This Row],[Subscription Status]]="Yes",1,IF(Table1[[#This Row],[Subscription Status]]="No",0))</f>
        <v>0</v>
      </c>
    </row>
    <row r="3484" spans="1:21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  <c r="S3484" t="str">
        <f>IF(Table1[[#This Row],[Age]]&lt;=25,"Young",IF(Table1[[#This Row],[Age]]&lt;=50,"Adult","Senior"))</f>
        <v>Senior</v>
      </c>
      <c r="T3484" s="1">
        <f>Table1[[#This Row],[Purchase Amount (USD)]]</f>
        <v>61</v>
      </c>
      <c r="U3484">
        <f>IF(Table1[[#This Row],[Subscription Status]]="Yes",1,IF(Table1[[#This Row],[Subscription Status]]="No",0))</f>
        <v>0</v>
      </c>
    </row>
    <row r="3485" spans="1:21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  <c r="S3485" t="str">
        <f>IF(Table1[[#This Row],[Age]]&lt;=25,"Young",IF(Table1[[#This Row],[Age]]&lt;=50,"Adult","Senior"))</f>
        <v>Young</v>
      </c>
      <c r="T3485" s="1">
        <f>Table1[[#This Row],[Purchase Amount (USD)]]</f>
        <v>37</v>
      </c>
      <c r="U3485">
        <f>IF(Table1[[#This Row],[Subscription Status]]="Yes",1,IF(Table1[[#This Row],[Subscription Status]]="No",0))</f>
        <v>0</v>
      </c>
    </row>
    <row r="3486" spans="1:21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  <c r="S3486" t="str">
        <f>IF(Table1[[#This Row],[Age]]&lt;=25,"Young",IF(Table1[[#This Row],[Age]]&lt;=50,"Adult","Senior"))</f>
        <v>Adult</v>
      </c>
      <c r="T3486" s="1">
        <f>Table1[[#This Row],[Purchase Amount (USD)]]</f>
        <v>75</v>
      </c>
      <c r="U3486">
        <f>IF(Table1[[#This Row],[Subscription Status]]="Yes",1,IF(Table1[[#This Row],[Subscription Status]]="No",0))</f>
        <v>0</v>
      </c>
    </row>
    <row r="3487" spans="1:21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  <c r="S3487" t="str">
        <f>IF(Table1[[#This Row],[Age]]&lt;=25,"Young",IF(Table1[[#This Row],[Age]]&lt;=50,"Adult","Senior"))</f>
        <v>Adult</v>
      </c>
      <c r="T3487" s="1">
        <f>Table1[[#This Row],[Purchase Amount (USD)]]</f>
        <v>21</v>
      </c>
      <c r="U3487">
        <f>IF(Table1[[#This Row],[Subscription Status]]="Yes",1,IF(Table1[[#This Row],[Subscription Status]]="No",0))</f>
        <v>0</v>
      </c>
    </row>
    <row r="3488" spans="1:21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  <c r="S3488" t="str">
        <f>IF(Table1[[#This Row],[Age]]&lt;=25,"Young",IF(Table1[[#This Row],[Age]]&lt;=50,"Adult","Senior"))</f>
        <v>Senior</v>
      </c>
      <c r="T3488" s="1">
        <f>Table1[[#This Row],[Purchase Amount (USD)]]</f>
        <v>89</v>
      </c>
      <c r="U3488">
        <f>IF(Table1[[#This Row],[Subscription Status]]="Yes",1,IF(Table1[[#This Row],[Subscription Status]]="No",0))</f>
        <v>0</v>
      </c>
    </row>
    <row r="3489" spans="1:21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  <c r="S3489" t="str">
        <f>IF(Table1[[#This Row],[Age]]&lt;=25,"Young",IF(Table1[[#This Row],[Age]]&lt;=50,"Adult","Senior"))</f>
        <v>Young</v>
      </c>
      <c r="T3489" s="1">
        <f>Table1[[#This Row],[Purchase Amount (USD)]]</f>
        <v>24</v>
      </c>
      <c r="U3489">
        <f>IF(Table1[[#This Row],[Subscription Status]]="Yes",1,IF(Table1[[#This Row],[Subscription Status]]="No",0))</f>
        <v>0</v>
      </c>
    </row>
    <row r="3490" spans="1:21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  <c r="S3490" t="str">
        <f>IF(Table1[[#This Row],[Age]]&lt;=25,"Young",IF(Table1[[#This Row],[Age]]&lt;=50,"Adult","Senior"))</f>
        <v>Senior</v>
      </c>
      <c r="T3490" s="1">
        <f>Table1[[#This Row],[Purchase Amount (USD)]]</f>
        <v>27</v>
      </c>
      <c r="U3490">
        <f>IF(Table1[[#This Row],[Subscription Status]]="Yes",1,IF(Table1[[#This Row],[Subscription Status]]="No",0))</f>
        <v>0</v>
      </c>
    </row>
    <row r="3491" spans="1:21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  <c r="S3491" t="str">
        <f>IF(Table1[[#This Row],[Age]]&lt;=25,"Young",IF(Table1[[#This Row],[Age]]&lt;=50,"Adult","Senior"))</f>
        <v>Adult</v>
      </c>
      <c r="T3491" s="1">
        <f>Table1[[#This Row],[Purchase Amount (USD)]]</f>
        <v>26</v>
      </c>
      <c r="U3491">
        <f>IF(Table1[[#This Row],[Subscription Status]]="Yes",1,IF(Table1[[#This Row],[Subscription Status]]="No",0))</f>
        <v>0</v>
      </c>
    </row>
    <row r="3492" spans="1:21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  <c r="S3492" t="str">
        <f>IF(Table1[[#This Row],[Age]]&lt;=25,"Young",IF(Table1[[#This Row],[Age]]&lt;=50,"Adult","Senior"))</f>
        <v>Senior</v>
      </c>
      <c r="T3492" s="1">
        <f>Table1[[#This Row],[Purchase Amount (USD)]]</f>
        <v>82</v>
      </c>
      <c r="U3492">
        <f>IF(Table1[[#This Row],[Subscription Status]]="Yes",1,IF(Table1[[#This Row],[Subscription Status]]="No",0))</f>
        <v>0</v>
      </c>
    </row>
    <row r="3493" spans="1:21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  <c r="S3493" t="str">
        <f>IF(Table1[[#This Row],[Age]]&lt;=25,"Young",IF(Table1[[#This Row],[Age]]&lt;=50,"Adult","Senior"))</f>
        <v>Young</v>
      </c>
      <c r="T3493" s="1">
        <f>Table1[[#This Row],[Purchase Amount (USD)]]</f>
        <v>28</v>
      </c>
      <c r="U3493">
        <f>IF(Table1[[#This Row],[Subscription Status]]="Yes",1,IF(Table1[[#This Row],[Subscription Status]]="No",0))</f>
        <v>0</v>
      </c>
    </row>
    <row r="3494" spans="1:21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  <c r="S3494" t="str">
        <f>IF(Table1[[#This Row],[Age]]&lt;=25,"Young",IF(Table1[[#This Row],[Age]]&lt;=50,"Adult","Senior"))</f>
        <v>Adult</v>
      </c>
      <c r="T3494" s="1">
        <f>Table1[[#This Row],[Purchase Amount (USD)]]</f>
        <v>65</v>
      </c>
      <c r="U3494">
        <f>IF(Table1[[#This Row],[Subscription Status]]="Yes",1,IF(Table1[[#This Row],[Subscription Status]]="No",0))</f>
        <v>0</v>
      </c>
    </row>
    <row r="3495" spans="1:21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  <c r="S3495" t="str">
        <f>IF(Table1[[#This Row],[Age]]&lt;=25,"Young",IF(Table1[[#This Row],[Age]]&lt;=50,"Adult","Senior"))</f>
        <v>Adult</v>
      </c>
      <c r="T3495" s="1">
        <f>Table1[[#This Row],[Purchase Amount (USD)]]</f>
        <v>82</v>
      </c>
      <c r="U3495">
        <f>IF(Table1[[#This Row],[Subscription Status]]="Yes",1,IF(Table1[[#This Row],[Subscription Status]]="No",0))</f>
        <v>0</v>
      </c>
    </row>
    <row r="3496" spans="1:21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  <c r="S3496" t="str">
        <f>IF(Table1[[#This Row],[Age]]&lt;=25,"Young",IF(Table1[[#This Row],[Age]]&lt;=50,"Adult","Senior"))</f>
        <v>Senior</v>
      </c>
      <c r="T3496" s="1">
        <f>Table1[[#This Row],[Purchase Amount (USD)]]</f>
        <v>38</v>
      </c>
      <c r="U3496">
        <f>IF(Table1[[#This Row],[Subscription Status]]="Yes",1,IF(Table1[[#This Row],[Subscription Status]]="No",0))</f>
        <v>0</v>
      </c>
    </row>
    <row r="3497" spans="1:21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  <c r="S3497" t="str">
        <f>IF(Table1[[#This Row],[Age]]&lt;=25,"Young",IF(Table1[[#This Row],[Age]]&lt;=50,"Adult","Senior"))</f>
        <v>Young</v>
      </c>
      <c r="T3497" s="1">
        <f>Table1[[#This Row],[Purchase Amount (USD)]]</f>
        <v>33</v>
      </c>
      <c r="U3497">
        <f>IF(Table1[[#This Row],[Subscription Status]]="Yes",1,IF(Table1[[#This Row],[Subscription Status]]="No",0))</f>
        <v>0</v>
      </c>
    </row>
    <row r="3498" spans="1:21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  <c r="S3498" t="str">
        <f>IF(Table1[[#This Row],[Age]]&lt;=25,"Young",IF(Table1[[#This Row],[Age]]&lt;=50,"Adult","Senior"))</f>
        <v>Adult</v>
      </c>
      <c r="T3498" s="1">
        <f>Table1[[#This Row],[Purchase Amount (USD)]]</f>
        <v>38</v>
      </c>
      <c r="U3498">
        <f>IF(Table1[[#This Row],[Subscription Status]]="Yes",1,IF(Table1[[#This Row],[Subscription Status]]="No",0))</f>
        <v>0</v>
      </c>
    </row>
    <row r="3499" spans="1:21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  <c r="S3499" t="str">
        <f>IF(Table1[[#This Row],[Age]]&lt;=25,"Young",IF(Table1[[#This Row],[Age]]&lt;=50,"Adult","Senior"))</f>
        <v>Adult</v>
      </c>
      <c r="T3499" s="1">
        <f>Table1[[#This Row],[Purchase Amount (USD)]]</f>
        <v>48</v>
      </c>
      <c r="U3499">
        <f>IF(Table1[[#This Row],[Subscription Status]]="Yes",1,IF(Table1[[#This Row],[Subscription Status]]="No",0))</f>
        <v>0</v>
      </c>
    </row>
    <row r="3500" spans="1:21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  <c r="S3500" t="str">
        <f>IF(Table1[[#This Row],[Age]]&lt;=25,"Young",IF(Table1[[#This Row],[Age]]&lt;=50,"Adult","Senior"))</f>
        <v>Adult</v>
      </c>
      <c r="T3500" s="1">
        <f>Table1[[#This Row],[Purchase Amount (USD)]]</f>
        <v>35</v>
      </c>
      <c r="U3500">
        <f>IF(Table1[[#This Row],[Subscription Status]]="Yes",1,IF(Table1[[#This Row],[Subscription Status]]="No",0))</f>
        <v>0</v>
      </c>
    </row>
    <row r="3501" spans="1:21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  <c r="S3501" t="str">
        <f>IF(Table1[[#This Row],[Age]]&lt;=25,"Young",IF(Table1[[#This Row],[Age]]&lt;=50,"Adult","Senior"))</f>
        <v>Young</v>
      </c>
      <c r="T3501" s="1">
        <f>Table1[[#This Row],[Purchase Amount (USD)]]</f>
        <v>29</v>
      </c>
      <c r="U3501">
        <f>IF(Table1[[#This Row],[Subscription Status]]="Yes",1,IF(Table1[[#This Row],[Subscription Status]]="No",0))</f>
        <v>0</v>
      </c>
    </row>
    <row r="3502" spans="1:21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  <c r="S3502" t="str">
        <f>IF(Table1[[#This Row],[Age]]&lt;=25,"Young",IF(Table1[[#This Row],[Age]]&lt;=50,"Adult","Senior"))</f>
        <v>Adult</v>
      </c>
      <c r="T3502" s="1">
        <f>Table1[[#This Row],[Purchase Amount (USD)]]</f>
        <v>48</v>
      </c>
      <c r="U3502">
        <f>IF(Table1[[#This Row],[Subscription Status]]="Yes",1,IF(Table1[[#This Row],[Subscription Status]]="No",0))</f>
        <v>0</v>
      </c>
    </row>
    <row r="3503" spans="1:21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  <c r="S3503" t="str">
        <f>IF(Table1[[#This Row],[Age]]&lt;=25,"Young",IF(Table1[[#This Row],[Age]]&lt;=50,"Adult","Senior"))</f>
        <v>Senior</v>
      </c>
      <c r="T3503" s="1">
        <f>Table1[[#This Row],[Purchase Amount (USD)]]</f>
        <v>87</v>
      </c>
      <c r="U3503">
        <f>IF(Table1[[#This Row],[Subscription Status]]="Yes",1,IF(Table1[[#This Row],[Subscription Status]]="No",0))</f>
        <v>0</v>
      </c>
    </row>
    <row r="3504" spans="1:21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  <c r="S3504" t="str">
        <f>IF(Table1[[#This Row],[Age]]&lt;=25,"Young",IF(Table1[[#This Row],[Age]]&lt;=50,"Adult","Senior"))</f>
        <v>Adult</v>
      </c>
      <c r="T3504" s="1">
        <f>Table1[[#This Row],[Purchase Amount (USD)]]</f>
        <v>62</v>
      </c>
      <c r="U3504">
        <f>IF(Table1[[#This Row],[Subscription Status]]="Yes",1,IF(Table1[[#This Row],[Subscription Status]]="No",0))</f>
        <v>0</v>
      </c>
    </row>
    <row r="3505" spans="1:21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  <c r="S3505" t="str">
        <f>IF(Table1[[#This Row],[Age]]&lt;=25,"Young",IF(Table1[[#This Row],[Age]]&lt;=50,"Adult","Senior"))</f>
        <v>Adult</v>
      </c>
      <c r="T3505" s="1">
        <f>Table1[[#This Row],[Purchase Amount (USD)]]</f>
        <v>96</v>
      </c>
      <c r="U3505">
        <f>IF(Table1[[#This Row],[Subscription Status]]="Yes",1,IF(Table1[[#This Row],[Subscription Status]]="No",0))</f>
        <v>0</v>
      </c>
    </row>
    <row r="3506" spans="1:21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  <c r="S3506" t="str">
        <f>IF(Table1[[#This Row],[Age]]&lt;=25,"Young",IF(Table1[[#This Row],[Age]]&lt;=50,"Adult","Senior"))</f>
        <v>Senior</v>
      </c>
      <c r="T3506" s="1">
        <f>Table1[[#This Row],[Purchase Amount (USD)]]</f>
        <v>41</v>
      </c>
      <c r="U3506">
        <f>IF(Table1[[#This Row],[Subscription Status]]="Yes",1,IF(Table1[[#This Row],[Subscription Status]]="No",0))</f>
        <v>0</v>
      </c>
    </row>
    <row r="3507" spans="1:21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  <c r="S3507" t="str">
        <f>IF(Table1[[#This Row],[Age]]&lt;=25,"Young",IF(Table1[[#This Row],[Age]]&lt;=50,"Adult","Senior"))</f>
        <v>Adult</v>
      </c>
      <c r="T3507" s="1">
        <f>Table1[[#This Row],[Purchase Amount (USD)]]</f>
        <v>42</v>
      </c>
      <c r="U3507">
        <f>IF(Table1[[#This Row],[Subscription Status]]="Yes",1,IF(Table1[[#This Row],[Subscription Status]]="No",0))</f>
        <v>0</v>
      </c>
    </row>
    <row r="3508" spans="1:21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  <c r="S3508" t="str">
        <f>IF(Table1[[#This Row],[Age]]&lt;=25,"Young",IF(Table1[[#This Row],[Age]]&lt;=50,"Adult","Senior"))</f>
        <v>Young</v>
      </c>
      <c r="T3508" s="1">
        <f>Table1[[#This Row],[Purchase Amount (USD)]]</f>
        <v>57</v>
      </c>
      <c r="U3508">
        <f>IF(Table1[[#This Row],[Subscription Status]]="Yes",1,IF(Table1[[#This Row],[Subscription Status]]="No",0))</f>
        <v>0</v>
      </c>
    </row>
    <row r="3509" spans="1:21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  <c r="S3509" t="str">
        <f>IF(Table1[[#This Row],[Age]]&lt;=25,"Young",IF(Table1[[#This Row],[Age]]&lt;=50,"Adult","Senior"))</f>
        <v>Adult</v>
      </c>
      <c r="T3509" s="1">
        <f>Table1[[#This Row],[Purchase Amount (USD)]]</f>
        <v>65</v>
      </c>
      <c r="U3509">
        <f>IF(Table1[[#This Row],[Subscription Status]]="Yes",1,IF(Table1[[#This Row],[Subscription Status]]="No",0))</f>
        <v>0</v>
      </c>
    </row>
    <row r="3510" spans="1:21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  <c r="S3510" t="str">
        <f>IF(Table1[[#This Row],[Age]]&lt;=25,"Young",IF(Table1[[#This Row],[Age]]&lt;=50,"Adult","Senior"))</f>
        <v>Senior</v>
      </c>
      <c r="T3510" s="1">
        <f>Table1[[#This Row],[Purchase Amount (USD)]]</f>
        <v>54</v>
      </c>
      <c r="U3510">
        <f>IF(Table1[[#This Row],[Subscription Status]]="Yes",1,IF(Table1[[#This Row],[Subscription Status]]="No",0))</f>
        <v>0</v>
      </c>
    </row>
    <row r="3511" spans="1:21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  <c r="S3511" t="str">
        <f>IF(Table1[[#This Row],[Age]]&lt;=25,"Young",IF(Table1[[#This Row],[Age]]&lt;=50,"Adult","Senior"))</f>
        <v>Adult</v>
      </c>
      <c r="T3511" s="1">
        <f>Table1[[#This Row],[Purchase Amount (USD)]]</f>
        <v>22</v>
      </c>
      <c r="U3511">
        <f>IF(Table1[[#This Row],[Subscription Status]]="Yes",1,IF(Table1[[#This Row],[Subscription Status]]="No",0))</f>
        <v>0</v>
      </c>
    </row>
    <row r="3512" spans="1:21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  <c r="S3512" t="str">
        <f>IF(Table1[[#This Row],[Age]]&lt;=25,"Young",IF(Table1[[#This Row],[Age]]&lt;=50,"Adult","Senior"))</f>
        <v>Adult</v>
      </c>
      <c r="T3512" s="1">
        <f>Table1[[#This Row],[Purchase Amount (USD)]]</f>
        <v>96</v>
      </c>
      <c r="U3512">
        <f>IF(Table1[[#This Row],[Subscription Status]]="Yes",1,IF(Table1[[#This Row],[Subscription Status]]="No",0))</f>
        <v>0</v>
      </c>
    </row>
    <row r="3513" spans="1:21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  <c r="S3513" t="str">
        <f>IF(Table1[[#This Row],[Age]]&lt;=25,"Young",IF(Table1[[#This Row],[Age]]&lt;=50,"Adult","Senior"))</f>
        <v>Senior</v>
      </c>
      <c r="T3513" s="1">
        <f>Table1[[#This Row],[Purchase Amount (USD)]]</f>
        <v>81</v>
      </c>
      <c r="U3513">
        <f>IF(Table1[[#This Row],[Subscription Status]]="Yes",1,IF(Table1[[#This Row],[Subscription Status]]="No",0))</f>
        <v>0</v>
      </c>
    </row>
    <row r="3514" spans="1:21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  <c r="S3514" t="str">
        <f>IF(Table1[[#This Row],[Age]]&lt;=25,"Young",IF(Table1[[#This Row],[Age]]&lt;=50,"Adult","Senior"))</f>
        <v>Adult</v>
      </c>
      <c r="T3514" s="1">
        <f>Table1[[#This Row],[Purchase Amount (USD)]]</f>
        <v>46</v>
      </c>
      <c r="U3514">
        <f>IF(Table1[[#This Row],[Subscription Status]]="Yes",1,IF(Table1[[#This Row],[Subscription Status]]="No",0))</f>
        <v>0</v>
      </c>
    </row>
    <row r="3515" spans="1:21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  <c r="S3515" t="str">
        <f>IF(Table1[[#This Row],[Age]]&lt;=25,"Young",IF(Table1[[#This Row],[Age]]&lt;=50,"Adult","Senior"))</f>
        <v>Adult</v>
      </c>
      <c r="T3515" s="1">
        <f>Table1[[#This Row],[Purchase Amount (USD)]]</f>
        <v>74</v>
      </c>
      <c r="U3515">
        <f>IF(Table1[[#This Row],[Subscription Status]]="Yes",1,IF(Table1[[#This Row],[Subscription Status]]="No",0))</f>
        <v>0</v>
      </c>
    </row>
    <row r="3516" spans="1:21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  <c r="S3516" t="str">
        <f>IF(Table1[[#This Row],[Age]]&lt;=25,"Young",IF(Table1[[#This Row],[Age]]&lt;=50,"Adult","Senior"))</f>
        <v>Young</v>
      </c>
      <c r="T3516" s="1">
        <f>Table1[[#This Row],[Purchase Amount (USD)]]</f>
        <v>50</v>
      </c>
      <c r="U3516">
        <f>IF(Table1[[#This Row],[Subscription Status]]="Yes",1,IF(Table1[[#This Row],[Subscription Status]]="No",0))</f>
        <v>0</v>
      </c>
    </row>
    <row r="3517" spans="1:21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  <c r="S3517" t="str">
        <f>IF(Table1[[#This Row],[Age]]&lt;=25,"Young",IF(Table1[[#This Row],[Age]]&lt;=50,"Adult","Senior"))</f>
        <v>Young</v>
      </c>
      <c r="T3517" s="1">
        <f>Table1[[#This Row],[Purchase Amount (USD)]]</f>
        <v>80</v>
      </c>
      <c r="U3517">
        <f>IF(Table1[[#This Row],[Subscription Status]]="Yes",1,IF(Table1[[#This Row],[Subscription Status]]="No",0))</f>
        <v>0</v>
      </c>
    </row>
    <row r="3518" spans="1:21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  <c r="S3518" t="str">
        <f>IF(Table1[[#This Row],[Age]]&lt;=25,"Young",IF(Table1[[#This Row],[Age]]&lt;=50,"Adult","Senior"))</f>
        <v>Adult</v>
      </c>
      <c r="T3518" s="1">
        <f>Table1[[#This Row],[Purchase Amount (USD)]]</f>
        <v>56</v>
      </c>
      <c r="U3518">
        <f>IF(Table1[[#This Row],[Subscription Status]]="Yes",1,IF(Table1[[#This Row],[Subscription Status]]="No",0))</f>
        <v>0</v>
      </c>
    </row>
    <row r="3519" spans="1:21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  <c r="S3519" t="str">
        <f>IF(Table1[[#This Row],[Age]]&lt;=25,"Young",IF(Table1[[#This Row],[Age]]&lt;=50,"Adult","Senior"))</f>
        <v>Adult</v>
      </c>
      <c r="T3519" s="1">
        <f>Table1[[#This Row],[Purchase Amount (USD)]]</f>
        <v>69</v>
      </c>
      <c r="U3519">
        <f>IF(Table1[[#This Row],[Subscription Status]]="Yes",1,IF(Table1[[#This Row],[Subscription Status]]="No",0))</f>
        <v>0</v>
      </c>
    </row>
    <row r="3520" spans="1:21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  <c r="S3520" t="str">
        <f>IF(Table1[[#This Row],[Age]]&lt;=25,"Young",IF(Table1[[#This Row],[Age]]&lt;=50,"Adult","Senior"))</f>
        <v>Adult</v>
      </c>
      <c r="T3520" s="1">
        <f>Table1[[#This Row],[Purchase Amount (USD)]]</f>
        <v>97</v>
      </c>
      <c r="U3520">
        <f>IF(Table1[[#This Row],[Subscription Status]]="Yes",1,IF(Table1[[#This Row],[Subscription Status]]="No",0))</f>
        <v>0</v>
      </c>
    </row>
    <row r="3521" spans="1:21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  <c r="S3521" t="str">
        <f>IF(Table1[[#This Row],[Age]]&lt;=25,"Young",IF(Table1[[#This Row],[Age]]&lt;=50,"Adult","Senior"))</f>
        <v>Adult</v>
      </c>
      <c r="T3521" s="1">
        <f>Table1[[#This Row],[Purchase Amount (USD)]]</f>
        <v>66</v>
      </c>
      <c r="U3521">
        <f>IF(Table1[[#This Row],[Subscription Status]]="Yes",1,IF(Table1[[#This Row],[Subscription Status]]="No",0))</f>
        <v>0</v>
      </c>
    </row>
    <row r="3522" spans="1:21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  <c r="S3522" t="str">
        <f>IF(Table1[[#This Row],[Age]]&lt;=25,"Young",IF(Table1[[#This Row],[Age]]&lt;=50,"Adult","Senior"))</f>
        <v>Adult</v>
      </c>
      <c r="T3522" s="1">
        <f>Table1[[#This Row],[Purchase Amount (USD)]]</f>
        <v>70</v>
      </c>
      <c r="U3522">
        <f>IF(Table1[[#This Row],[Subscription Status]]="Yes",1,IF(Table1[[#This Row],[Subscription Status]]="No",0))</f>
        <v>0</v>
      </c>
    </row>
    <row r="3523" spans="1:21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  <c r="S3523" t="str">
        <f>IF(Table1[[#This Row],[Age]]&lt;=25,"Young",IF(Table1[[#This Row],[Age]]&lt;=50,"Adult","Senior"))</f>
        <v>Senior</v>
      </c>
      <c r="T3523" s="1">
        <f>Table1[[#This Row],[Purchase Amount (USD)]]</f>
        <v>50</v>
      </c>
      <c r="U3523">
        <f>IF(Table1[[#This Row],[Subscription Status]]="Yes",1,IF(Table1[[#This Row],[Subscription Status]]="No",0))</f>
        <v>0</v>
      </c>
    </row>
    <row r="3524" spans="1:21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  <c r="S3524" t="str">
        <f>IF(Table1[[#This Row],[Age]]&lt;=25,"Young",IF(Table1[[#This Row],[Age]]&lt;=50,"Adult","Senior"))</f>
        <v>Adult</v>
      </c>
      <c r="T3524" s="1">
        <f>Table1[[#This Row],[Purchase Amount (USD)]]</f>
        <v>85</v>
      </c>
      <c r="U3524">
        <f>IF(Table1[[#This Row],[Subscription Status]]="Yes",1,IF(Table1[[#This Row],[Subscription Status]]="No",0))</f>
        <v>0</v>
      </c>
    </row>
    <row r="3525" spans="1:21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  <c r="S3525" t="str">
        <f>IF(Table1[[#This Row],[Age]]&lt;=25,"Young",IF(Table1[[#This Row],[Age]]&lt;=50,"Adult","Senior"))</f>
        <v>Adult</v>
      </c>
      <c r="T3525" s="1">
        <f>Table1[[#This Row],[Purchase Amount (USD)]]</f>
        <v>59</v>
      </c>
      <c r="U3525">
        <f>IF(Table1[[#This Row],[Subscription Status]]="Yes",1,IF(Table1[[#This Row],[Subscription Status]]="No",0))</f>
        <v>0</v>
      </c>
    </row>
    <row r="3526" spans="1:21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  <c r="S3526" t="str">
        <f>IF(Table1[[#This Row],[Age]]&lt;=25,"Young",IF(Table1[[#This Row],[Age]]&lt;=50,"Adult","Senior"))</f>
        <v>Senior</v>
      </c>
      <c r="T3526" s="1">
        <f>Table1[[#This Row],[Purchase Amount (USD)]]</f>
        <v>74</v>
      </c>
      <c r="U3526">
        <f>IF(Table1[[#This Row],[Subscription Status]]="Yes",1,IF(Table1[[#This Row],[Subscription Status]]="No",0))</f>
        <v>0</v>
      </c>
    </row>
    <row r="3527" spans="1:21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  <c r="S3527" t="str">
        <f>IF(Table1[[#This Row],[Age]]&lt;=25,"Young",IF(Table1[[#This Row],[Age]]&lt;=50,"Adult","Senior"))</f>
        <v>Adult</v>
      </c>
      <c r="T3527" s="1">
        <f>Table1[[#This Row],[Purchase Amount (USD)]]</f>
        <v>38</v>
      </c>
      <c r="U3527">
        <f>IF(Table1[[#This Row],[Subscription Status]]="Yes",1,IF(Table1[[#This Row],[Subscription Status]]="No",0))</f>
        <v>0</v>
      </c>
    </row>
    <row r="3528" spans="1:21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  <c r="S3528" t="str">
        <f>IF(Table1[[#This Row],[Age]]&lt;=25,"Young",IF(Table1[[#This Row],[Age]]&lt;=50,"Adult","Senior"))</f>
        <v>Young</v>
      </c>
      <c r="T3528" s="1">
        <f>Table1[[#This Row],[Purchase Amount (USD)]]</f>
        <v>99</v>
      </c>
      <c r="U3528">
        <f>IF(Table1[[#This Row],[Subscription Status]]="Yes",1,IF(Table1[[#This Row],[Subscription Status]]="No",0))</f>
        <v>0</v>
      </c>
    </row>
    <row r="3529" spans="1:21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  <c r="S3529" t="str">
        <f>IF(Table1[[#This Row],[Age]]&lt;=25,"Young",IF(Table1[[#This Row],[Age]]&lt;=50,"Adult","Senior"))</f>
        <v>Young</v>
      </c>
      <c r="T3529" s="1">
        <f>Table1[[#This Row],[Purchase Amount (USD)]]</f>
        <v>97</v>
      </c>
      <c r="U3529">
        <f>IF(Table1[[#This Row],[Subscription Status]]="Yes",1,IF(Table1[[#This Row],[Subscription Status]]="No",0))</f>
        <v>0</v>
      </c>
    </row>
    <row r="3530" spans="1:21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  <c r="S3530" t="str">
        <f>IF(Table1[[#This Row],[Age]]&lt;=25,"Young",IF(Table1[[#This Row],[Age]]&lt;=50,"Adult","Senior"))</f>
        <v>Adult</v>
      </c>
      <c r="T3530" s="1">
        <f>Table1[[#This Row],[Purchase Amount (USD)]]</f>
        <v>67</v>
      </c>
      <c r="U3530">
        <f>IF(Table1[[#This Row],[Subscription Status]]="Yes",1,IF(Table1[[#This Row],[Subscription Status]]="No",0))</f>
        <v>0</v>
      </c>
    </row>
    <row r="3531" spans="1:21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  <c r="S3531" t="str">
        <f>IF(Table1[[#This Row],[Age]]&lt;=25,"Young",IF(Table1[[#This Row],[Age]]&lt;=50,"Adult","Senior"))</f>
        <v>Senior</v>
      </c>
      <c r="T3531" s="1">
        <f>Table1[[#This Row],[Purchase Amount (USD)]]</f>
        <v>20</v>
      </c>
      <c r="U3531">
        <f>IF(Table1[[#This Row],[Subscription Status]]="Yes",1,IF(Table1[[#This Row],[Subscription Status]]="No",0))</f>
        <v>0</v>
      </c>
    </row>
    <row r="3532" spans="1:21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  <c r="S3532" t="str">
        <f>IF(Table1[[#This Row],[Age]]&lt;=25,"Young",IF(Table1[[#This Row],[Age]]&lt;=50,"Adult","Senior"))</f>
        <v>Senior</v>
      </c>
      <c r="T3532" s="1">
        <f>Table1[[#This Row],[Purchase Amount (USD)]]</f>
        <v>45</v>
      </c>
      <c r="U3532">
        <f>IF(Table1[[#This Row],[Subscription Status]]="Yes",1,IF(Table1[[#This Row],[Subscription Status]]="No",0))</f>
        <v>0</v>
      </c>
    </row>
    <row r="3533" spans="1:21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  <c r="S3533" t="str">
        <f>IF(Table1[[#This Row],[Age]]&lt;=25,"Young",IF(Table1[[#This Row],[Age]]&lt;=50,"Adult","Senior"))</f>
        <v>Senior</v>
      </c>
      <c r="T3533" s="1">
        <f>Table1[[#This Row],[Purchase Amount (USD)]]</f>
        <v>52</v>
      </c>
      <c r="U3533">
        <f>IF(Table1[[#This Row],[Subscription Status]]="Yes",1,IF(Table1[[#This Row],[Subscription Status]]="No",0))</f>
        <v>0</v>
      </c>
    </row>
    <row r="3534" spans="1:21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  <c r="S3534" t="str">
        <f>IF(Table1[[#This Row],[Age]]&lt;=25,"Young",IF(Table1[[#This Row],[Age]]&lt;=50,"Adult","Senior"))</f>
        <v>Senior</v>
      </c>
      <c r="T3534" s="1">
        <f>Table1[[#This Row],[Purchase Amount (USD)]]</f>
        <v>68</v>
      </c>
      <c r="U3534">
        <f>IF(Table1[[#This Row],[Subscription Status]]="Yes",1,IF(Table1[[#This Row],[Subscription Status]]="No",0))</f>
        <v>0</v>
      </c>
    </row>
    <row r="3535" spans="1:21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  <c r="S3535" t="str">
        <f>IF(Table1[[#This Row],[Age]]&lt;=25,"Young",IF(Table1[[#This Row],[Age]]&lt;=50,"Adult","Senior"))</f>
        <v>Adult</v>
      </c>
      <c r="T3535" s="1">
        <f>Table1[[#This Row],[Purchase Amount (USD)]]</f>
        <v>98</v>
      </c>
      <c r="U3535">
        <f>IF(Table1[[#This Row],[Subscription Status]]="Yes",1,IF(Table1[[#This Row],[Subscription Status]]="No",0))</f>
        <v>0</v>
      </c>
    </row>
    <row r="3536" spans="1:21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  <c r="S3536" t="str">
        <f>IF(Table1[[#This Row],[Age]]&lt;=25,"Young",IF(Table1[[#This Row],[Age]]&lt;=50,"Adult","Senior"))</f>
        <v>Senior</v>
      </c>
      <c r="T3536" s="1">
        <f>Table1[[#This Row],[Purchase Amount (USD)]]</f>
        <v>83</v>
      </c>
      <c r="U3536">
        <f>IF(Table1[[#This Row],[Subscription Status]]="Yes",1,IF(Table1[[#This Row],[Subscription Status]]="No",0))</f>
        <v>0</v>
      </c>
    </row>
    <row r="3537" spans="1:21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  <c r="S3537" t="str">
        <f>IF(Table1[[#This Row],[Age]]&lt;=25,"Young",IF(Table1[[#This Row],[Age]]&lt;=50,"Adult","Senior"))</f>
        <v>Senior</v>
      </c>
      <c r="T3537" s="1">
        <f>Table1[[#This Row],[Purchase Amount (USD)]]</f>
        <v>51</v>
      </c>
      <c r="U3537">
        <f>IF(Table1[[#This Row],[Subscription Status]]="Yes",1,IF(Table1[[#This Row],[Subscription Status]]="No",0))</f>
        <v>0</v>
      </c>
    </row>
    <row r="3538" spans="1:21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  <c r="S3538" t="str">
        <f>IF(Table1[[#This Row],[Age]]&lt;=25,"Young",IF(Table1[[#This Row],[Age]]&lt;=50,"Adult","Senior"))</f>
        <v>Senior</v>
      </c>
      <c r="T3538" s="1">
        <f>Table1[[#This Row],[Purchase Amount (USD)]]</f>
        <v>21</v>
      </c>
      <c r="U3538">
        <f>IF(Table1[[#This Row],[Subscription Status]]="Yes",1,IF(Table1[[#This Row],[Subscription Status]]="No",0))</f>
        <v>0</v>
      </c>
    </row>
    <row r="3539" spans="1:21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  <c r="S3539" t="str">
        <f>IF(Table1[[#This Row],[Age]]&lt;=25,"Young",IF(Table1[[#This Row],[Age]]&lt;=50,"Adult","Senior"))</f>
        <v>Senior</v>
      </c>
      <c r="T3539" s="1">
        <f>Table1[[#This Row],[Purchase Amount (USD)]]</f>
        <v>92</v>
      </c>
      <c r="U3539">
        <f>IF(Table1[[#This Row],[Subscription Status]]="Yes",1,IF(Table1[[#This Row],[Subscription Status]]="No",0))</f>
        <v>0</v>
      </c>
    </row>
    <row r="3540" spans="1:21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  <c r="S3540" t="str">
        <f>IF(Table1[[#This Row],[Age]]&lt;=25,"Young",IF(Table1[[#This Row],[Age]]&lt;=50,"Adult","Senior"))</f>
        <v>Senior</v>
      </c>
      <c r="T3540" s="1">
        <f>Table1[[#This Row],[Purchase Amount (USD)]]</f>
        <v>63</v>
      </c>
      <c r="U3540">
        <f>IF(Table1[[#This Row],[Subscription Status]]="Yes",1,IF(Table1[[#This Row],[Subscription Status]]="No",0))</f>
        <v>0</v>
      </c>
    </row>
    <row r="3541" spans="1:21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  <c r="S3541" t="str">
        <f>IF(Table1[[#This Row],[Age]]&lt;=25,"Young",IF(Table1[[#This Row],[Age]]&lt;=50,"Adult","Senior"))</f>
        <v>Adult</v>
      </c>
      <c r="T3541" s="1">
        <f>Table1[[#This Row],[Purchase Amount (USD)]]</f>
        <v>56</v>
      </c>
      <c r="U3541">
        <f>IF(Table1[[#This Row],[Subscription Status]]="Yes",1,IF(Table1[[#This Row],[Subscription Status]]="No",0))</f>
        <v>0</v>
      </c>
    </row>
    <row r="3542" spans="1:21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  <c r="S3542" t="str">
        <f>IF(Table1[[#This Row],[Age]]&lt;=25,"Young",IF(Table1[[#This Row],[Age]]&lt;=50,"Adult","Senior"))</f>
        <v>Young</v>
      </c>
      <c r="T3542" s="1">
        <f>Table1[[#This Row],[Purchase Amount (USD)]]</f>
        <v>95</v>
      </c>
      <c r="U3542">
        <f>IF(Table1[[#This Row],[Subscription Status]]="Yes",1,IF(Table1[[#This Row],[Subscription Status]]="No",0))</f>
        <v>0</v>
      </c>
    </row>
    <row r="3543" spans="1:21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  <c r="S3543" t="str">
        <f>IF(Table1[[#This Row],[Age]]&lt;=25,"Young",IF(Table1[[#This Row],[Age]]&lt;=50,"Adult","Senior"))</f>
        <v>Senior</v>
      </c>
      <c r="T3543" s="1">
        <f>Table1[[#This Row],[Purchase Amount (USD)]]</f>
        <v>66</v>
      </c>
      <c r="U3543">
        <f>IF(Table1[[#This Row],[Subscription Status]]="Yes",1,IF(Table1[[#This Row],[Subscription Status]]="No",0))</f>
        <v>0</v>
      </c>
    </row>
    <row r="3544" spans="1:21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  <c r="S3544" t="str">
        <f>IF(Table1[[#This Row],[Age]]&lt;=25,"Young",IF(Table1[[#This Row],[Age]]&lt;=50,"Adult","Senior"))</f>
        <v>Senior</v>
      </c>
      <c r="T3544" s="1">
        <f>Table1[[#This Row],[Purchase Amount (USD)]]</f>
        <v>28</v>
      </c>
      <c r="U3544">
        <f>IF(Table1[[#This Row],[Subscription Status]]="Yes",1,IF(Table1[[#This Row],[Subscription Status]]="No",0))</f>
        <v>0</v>
      </c>
    </row>
    <row r="3545" spans="1:21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  <c r="S3545" t="str">
        <f>IF(Table1[[#This Row],[Age]]&lt;=25,"Young",IF(Table1[[#This Row],[Age]]&lt;=50,"Adult","Senior"))</f>
        <v>Senior</v>
      </c>
      <c r="T3545" s="1">
        <f>Table1[[#This Row],[Purchase Amount (USD)]]</f>
        <v>83</v>
      </c>
      <c r="U3545">
        <f>IF(Table1[[#This Row],[Subscription Status]]="Yes",1,IF(Table1[[#This Row],[Subscription Status]]="No",0))</f>
        <v>0</v>
      </c>
    </row>
    <row r="3546" spans="1:21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  <c r="S3546" t="str">
        <f>IF(Table1[[#This Row],[Age]]&lt;=25,"Young",IF(Table1[[#This Row],[Age]]&lt;=50,"Adult","Senior"))</f>
        <v>Senior</v>
      </c>
      <c r="T3546" s="1">
        <f>Table1[[#This Row],[Purchase Amount (USD)]]</f>
        <v>55</v>
      </c>
      <c r="U3546">
        <f>IF(Table1[[#This Row],[Subscription Status]]="Yes",1,IF(Table1[[#This Row],[Subscription Status]]="No",0))</f>
        <v>0</v>
      </c>
    </row>
    <row r="3547" spans="1:21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  <c r="S3547" t="str">
        <f>IF(Table1[[#This Row],[Age]]&lt;=25,"Young",IF(Table1[[#This Row],[Age]]&lt;=50,"Adult","Senior"))</f>
        <v>Adult</v>
      </c>
      <c r="T3547" s="1">
        <f>Table1[[#This Row],[Purchase Amount (USD)]]</f>
        <v>28</v>
      </c>
      <c r="U3547">
        <f>IF(Table1[[#This Row],[Subscription Status]]="Yes",1,IF(Table1[[#This Row],[Subscription Status]]="No",0))</f>
        <v>0</v>
      </c>
    </row>
    <row r="3548" spans="1:21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  <c r="S3548" t="str">
        <f>IF(Table1[[#This Row],[Age]]&lt;=25,"Young",IF(Table1[[#This Row],[Age]]&lt;=50,"Adult","Senior"))</f>
        <v>Senior</v>
      </c>
      <c r="T3548" s="1">
        <f>Table1[[#This Row],[Purchase Amount (USD)]]</f>
        <v>79</v>
      </c>
      <c r="U3548">
        <f>IF(Table1[[#This Row],[Subscription Status]]="Yes",1,IF(Table1[[#This Row],[Subscription Status]]="No",0))</f>
        <v>0</v>
      </c>
    </row>
    <row r="3549" spans="1:21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  <c r="S3549" t="str">
        <f>IF(Table1[[#This Row],[Age]]&lt;=25,"Young",IF(Table1[[#This Row],[Age]]&lt;=50,"Adult","Senior"))</f>
        <v>Senior</v>
      </c>
      <c r="T3549" s="1">
        <f>Table1[[#This Row],[Purchase Amount (USD)]]</f>
        <v>31</v>
      </c>
      <c r="U3549">
        <f>IF(Table1[[#This Row],[Subscription Status]]="Yes",1,IF(Table1[[#This Row],[Subscription Status]]="No",0))</f>
        <v>0</v>
      </c>
    </row>
    <row r="3550" spans="1:21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  <c r="S3550" t="str">
        <f>IF(Table1[[#This Row],[Age]]&lt;=25,"Young",IF(Table1[[#This Row],[Age]]&lt;=50,"Adult","Senior"))</f>
        <v>Senior</v>
      </c>
      <c r="T3550" s="1">
        <f>Table1[[#This Row],[Purchase Amount (USD)]]</f>
        <v>37</v>
      </c>
      <c r="U3550">
        <f>IF(Table1[[#This Row],[Subscription Status]]="Yes",1,IF(Table1[[#This Row],[Subscription Status]]="No",0))</f>
        <v>0</v>
      </c>
    </row>
    <row r="3551" spans="1:21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  <c r="S3551" t="str">
        <f>IF(Table1[[#This Row],[Age]]&lt;=25,"Young",IF(Table1[[#This Row],[Age]]&lt;=50,"Adult","Senior"))</f>
        <v>Adult</v>
      </c>
      <c r="T3551" s="1">
        <f>Table1[[#This Row],[Purchase Amount (USD)]]</f>
        <v>34</v>
      </c>
      <c r="U3551">
        <f>IF(Table1[[#This Row],[Subscription Status]]="Yes",1,IF(Table1[[#This Row],[Subscription Status]]="No",0))</f>
        <v>0</v>
      </c>
    </row>
    <row r="3552" spans="1:21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  <c r="S3552" t="str">
        <f>IF(Table1[[#This Row],[Age]]&lt;=25,"Young",IF(Table1[[#This Row],[Age]]&lt;=50,"Adult","Senior"))</f>
        <v>Senior</v>
      </c>
      <c r="T3552" s="1">
        <f>Table1[[#This Row],[Purchase Amount (USD)]]</f>
        <v>74</v>
      </c>
      <c r="U3552">
        <f>IF(Table1[[#This Row],[Subscription Status]]="Yes",1,IF(Table1[[#This Row],[Subscription Status]]="No",0))</f>
        <v>0</v>
      </c>
    </row>
    <row r="3553" spans="1:21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  <c r="S3553" t="str">
        <f>IF(Table1[[#This Row],[Age]]&lt;=25,"Young",IF(Table1[[#This Row],[Age]]&lt;=50,"Adult","Senior"))</f>
        <v>Senior</v>
      </c>
      <c r="T3553" s="1">
        <f>Table1[[#This Row],[Purchase Amount (USD)]]</f>
        <v>31</v>
      </c>
      <c r="U3553">
        <f>IF(Table1[[#This Row],[Subscription Status]]="Yes",1,IF(Table1[[#This Row],[Subscription Status]]="No",0))</f>
        <v>0</v>
      </c>
    </row>
    <row r="3554" spans="1:21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  <c r="S3554" t="str">
        <f>IF(Table1[[#This Row],[Age]]&lt;=25,"Young",IF(Table1[[#This Row],[Age]]&lt;=50,"Adult","Senior"))</f>
        <v>Young</v>
      </c>
      <c r="T3554" s="1">
        <f>Table1[[#This Row],[Purchase Amount (USD)]]</f>
        <v>66</v>
      </c>
      <c r="U3554">
        <f>IF(Table1[[#This Row],[Subscription Status]]="Yes",1,IF(Table1[[#This Row],[Subscription Status]]="No",0))</f>
        <v>0</v>
      </c>
    </row>
    <row r="3555" spans="1:21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  <c r="S3555" t="str">
        <f>IF(Table1[[#This Row],[Age]]&lt;=25,"Young",IF(Table1[[#This Row],[Age]]&lt;=50,"Adult","Senior"))</f>
        <v>Senior</v>
      </c>
      <c r="T3555" s="1">
        <f>Table1[[#This Row],[Purchase Amount (USD)]]</f>
        <v>99</v>
      </c>
      <c r="U3555">
        <f>IF(Table1[[#This Row],[Subscription Status]]="Yes",1,IF(Table1[[#This Row],[Subscription Status]]="No",0))</f>
        <v>0</v>
      </c>
    </row>
    <row r="3556" spans="1:21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  <c r="S3556" t="str">
        <f>IF(Table1[[#This Row],[Age]]&lt;=25,"Young",IF(Table1[[#This Row],[Age]]&lt;=50,"Adult","Senior"))</f>
        <v>Adult</v>
      </c>
      <c r="T3556" s="1">
        <f>Table1[[#This Row],[Purchase Amount (USD)]]</f>
        <v>55</v>
      </c>
      <c r="U3556">
        <f>IF(Table1[[#This Row],[Subscription Status]]="Yes",1,IF(Table1[[#This Row],[Subscription Status]]="No",0))</f>
        <v>0</v>
      </c>
    </row>
    <row r="3557" spans="1:21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  <c r="S3557" t="str">
        <f>IF(Table1[[#This Row],[Age]]&lt;=25,"Young",IF(Table1[[#This Row],[Age]]&lt;=50,"Adult","Senior"))</f>
        <v>Young</v>
      </c>
      <c r="T3557" s="1">
        <f>Table1[[#This Row],[Purchase Amount (USD)]]</f>
        <v>23</v>
      </c>
      <c r="U3557">
        <f>IF(Table1[[#This Row],[Subscription Status]]="Yes",1,IF(Table1[[#This Row],[Subscription Status]]="No",0))</f>
        <v>0</v>
      </c>
    </row>
    <row r="3558" spans="1:21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  <c r="S3558" t="str">
        <f>IF(Table1[[#This Row],[Age]]&lt;=25,"Young",IF(Table1[[#This Row],[Age]]&lt;=50,"Adult","Senior"))</f>
        <v>Senior</v>
      </c>
      <c r="T3558" s="1">
        <f>Table1[[#This Row],[Purchase Amount (USD)]]</f>
        <v>88</v>
      </c>
      <c r="U3558">
        <f>IF(Table1[[#This Row],[Subscription Status]]="Yes",1,IF(Table1[[#This Row],[Subscription Status]]="No",0))</f>
        <v>0</v>
      </c>
    </row>
    <row r="3559" spans="1:21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  <c r="S3559" t="str">
        <f>IF(Table1[[#This Row],[Age]]&lt;=25,"Young",IF(Table1[[#This Row],[Age]]&lt;=50,"Adult","Senior"))</f>
        <v>Senior</v>
      </c>
      <c r="T3559" s="1">
        <f>Table1[[#This Row],[Purchase Amount (USD)]]</f>
        <v>26</v>
      </c>
      <c r="U3559">
        <f>IF(Table1[[#This Row],[Subscription Status]]="Yes",1,IF(Table1[[#This Row],[Subscription Status]]="No",0))</f>
        <v>0</v>
      </c>
    </row>
    <row r="3560" spans="1:21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  <c r="S3560" t="str">
        <f>IF(Table1[[#This Row],[Age]]&lt;=25,"Young",IF(Table1[[#This Row],[Age]]&lt;=50,"Adult","Senior"))</f>
        <v>Senior</v>
      </c>
      <c r="T3560" s="1">
        <f>Table1[[#This Row],[Purchase Amount (USD)]]</f>
        <v>94</v>
      </c>
      <c r="U3560">
        <f>IF(Table1[[#This Row],[Subscription Status]]="Yes",1,IF(Table1[[#This Row],[Subscription Status]]="No",0))</f>
        <v>0</v>
      </c>
    </row>
    <row r="3561" spans="1:21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  <c r="S3561" t="str">
        <f>IF(Table1[[#This Row],[Age]]&lt;=25,"Young",IF(Table1[[#This Row],[Age]]&lt;=50,"Adult","Senior"))</f>
        <v>Young</v>
      </c>
      <c r="T3561" s="1">
        <f>Table1[[#This Row],[Purchase Amount (USD)]]</f>
        <v>25</v>
      </c>
      <c r="U3561">
        <f>IF(Table1[[#This Row],[Subscription Status]]="Yes",1,IF(Table1[[#This Row],[Subscription Status]]="No",0))</f>
        <v>0</v>
      </c>
    </row>
    <row r="3562" spans="1:21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  <c r="S3562" t="str">
        <f>IF(Table1[[#This Row],[Age]]&lt;=25,"Young",IF(Table1[[#This Row],[Age]]&lt;=50,"Adult","Senior"))</f>
        <v>Young</v>
      </c>
      <c r="T3562" s="1">
        <f>Table1[[#This Row],[Purchase Amount (USD)]]</f>
        <v>96</v>
      </c>
      <c r="U3562">
        <f>IF(Table1[[#This Row],[Subscription Status]]="Yes",1,IF(Table1[[#This Row],[Subscription Status]]="No",0))</f>
        <v>0</v>
      </c>
    </row>
    <row r="3563" spans="1:21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  <c r="S3563" t="str">
        <f>IF(Table1[[#This Row],[Age]]&lt;=25,"Young",IF(Table1[[#This Row],[Age]]&lt;=50,"Adult","Senior"))</f>
        <v>Senior</v>
      </c>
      <c r="T3563" s="1">
        <f>Table1[[#This Row],[Purchase Amount (USD)]]</f>
        <v>29</v>
      </c>
      <c r="U3563">
        <f>IF(Table1[[#This Row],[Subscription Status]]="Yes",1,IF(Table1[[#This Row],[Subscription Status]]="No",0))</f>
        <v>0</v>
      </c>
    </row>
    <row r="3564" spans="1:21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  <c r="S3564" t="str">
        <f>IF(Table1[[#This Row],[Age]]&lt;=25,"Young",IF(Table1[[#This Row],[Age]]&lt;=50,"Adult","Senior"))</f>
        <v>Adult</v>
      </c>
      <c r="T3564" s="1">
        <f>Table1[[#This Row],[Purchase Amount (USD)]]</f>
        <v>36</v>
      </c>
      <c r="U3564">
        <f>IF(Table1[[#This Row],[Subscription Status]]="Yes",1,IF(Table1[[#This Row],[Subscription Status]]="No",0))</f>
        <v>0</v>
      </c>
    </row>
    <row r="3565" spans="1:21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  <c r="S3565" t="str">
        <f>IF(Table1[[#This Row],[Age]]&lt;=25,"Young",IF(Table1[[#This Row],[Age]]&lt;=50,"Adult","Senior"))</f>
        <v>Adult</v>
      </c>
      <c r="T3565" s="1">
        <f>Table1[[#This Row],[Purchase Amount (USD)]]</f>
        <v>90</v>
      </c>
      <c r="U3565">
        <f>IF(Table1[[#This Row],[Subscription Status]]="Yes",1,IF(Table1[[#This Row],[Subscription Status]]="No",0))</f>
        <v>0</v>
      </c>
    </row>
    <row r="3566" spans="1:21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  <c r="S3566" t="str">
        <f>IF(Table1[[#This Row],[Age]]&lt;=25,"Young",IF(Table1[[#This Row],[Age]]&lt;=50,"Adult","Senior"))</f>
        <v>Senior</v>
      </c>
      <c r="T3566" s="1">
        <f>Table1[[#This Row],[Purchase Amount (USD)]]</f>
        <v>38</v>
      </c>
      <c r="U3566">
        <f>IF(Table1[[#This Row],[Subscription Status]]="Yes",1,IF(Table1[[#This Row],[Subscription Status]]="No",0))</f>
        <v>0</v>
      </c>
    </row>
    <row r="3567" spans="1:21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  <c r="S3567" t="str">
        <f>IF(Table1[[#This Row],[Age]]&lt;=25,"Young",IF(Table1[[#This Row],[Age]]&lt;=50,"Adult","Senior"))</f>
        <v>Adult</v>
      </c>
      <c r="T3567" s="1">
        <f>Table1[[#This Row],[Purchase Amount (USD)]]</f>
        <v>52</v>
      </c>
      <c r="U3567">
        <f>IF(Table1[[#This Row],[Subscription Status]]="Yes",1,IF(Table1[[#This Row],[Subscription Status]]="No",0))</f>
        <v>0</v>
      </c>
    </row>
    <row r="3568" spans="1:21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  <c r="S3568" t="str">
        <f>IF(Table1[[#This Row],[Age]]&lt;=25,"Young",IF(Table1[[#This Row],[Age]]&lt;=50,"Adult","Senior"))</f>
        <v>Adult</v>
      </c>
      <c r="T3568" s="1">
        <f>Table1[[#This Row],[Purchase Amount (USD)]]</f>
        <v>88</v>
      </c>
      <c r="U3568">
        <f>IF(Table1[[#This Row],[Subscription Status]]="Yes",1,IF(Table1[[#This Row],[Subscription Status]]="No",0))</f>
        <v>0</v>
      </c>
    </row>
    <row r="3569" spans="1:21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  <c r="S3569" t="str">
        <f>IF(Table1[[#This Row],[Age]]&lt;=25,"Young",IF(Table1[[#This Row],[Age]]&lt;=50,"Adult","Senior"))</f>
        <v>Adult</v>
      </c>
      <c r="T3569" s="1">
        <f>Table1[[#This Row],[Purchase Amount (USD)]]</f>
        <v>56</v>
      </c>
      <c r="U3569">
        <f>IF(Table1[[#This Row],[Subscription Status]]="Yes",1,IF(Table1[[#This Row],[Subscription Status]]="No",0))</f>
        <v>0</v>
      </c>
    </row>
    <row r="3570" spans="1:21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  <c r="S3570" t="str">
        <f>IF(Table1[[#This Row],[Age]]&lt;=25,"Young",IF(Table1[[#This Row],[Age]]&lt;=50,"Adult","Senior"))</f>
        <v>Adult</v>
      </c>
      <c r="T3570" s="1">
        <f>Table1[[#This Row],[Purchase Amount (USD)]]</f>
        <v>71</v>
      </c>
      <c r="U3570">
        <f>IF(Table1[[#This Row],[Subscription Status]]="Yes",1,IF(Table1[[#This Row],[Subscription Status]]="No",0))</f>
        <v>0</v>
      </c>
    </row>
    <row r="3571" spans="1:21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  <c r="S3571" t="str">
        <f>IF(Table1[[#This Row],[Age]]&lt;=25,"Young",IF(Table1[[#This Row],[Age]]&lt;=50,"Adult","Senior"))</f>
        <v>Adult</v>
      </c>
      <c r="T3571" s="1">
        <f>Table1[[#This Row],[Purchase Amount (USD)]]</f>
        <v>94</v>
      </c>
      <c r="U3571">
        <f>IF(Table1[[#This Row],[Subscription Status]]="Yes",1,IF(Table1[[#This Row],[Subscription Status]]="No",0))</f>
        <v>0</v>
      </c>
    </row>
    <row r="3572" spans="1:21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  <c r="S3572" t="str">
        <f>IF(Table1[[#This Row],[Age]]&lt;=25,"Young",IF(Table1[[#This Row],[Age]]&lt;=50,"Adult","Senior"))</f>
        <v>Young</v>
      </c>
      <c r="T3572" s="1">
        <f>Table1[[#This Row],[Purchase Amount (USD)]]</f>
        <v>97</v>
      </c>
      <c r="U3572">
        <f>IF(Table1[[#This Row],[Subscription Status]]="Yes",1,IF(Table1[[#This Row],[Subscription Status]]="No",0))</f>
        <v>0</v>
      </c>
    </row>
    <row r="3573" spans="1:21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  <c r="S3573" t="str">
        <f>IF(Table1[[#This Row],[Age]]&lt;=25,"Young",IF(Table1[[#This Row],[Age]]&lt;=50,"Adult","Senior"))</f>
        <v>Senior</v>
      </c>
      <c r="T3573" s="1">
        <f>Table1[[#This Row],[Purchase Amount (USD)]]</f>
        <v>27</v>
      </c>
      <c r="U3573">
        <f>IF(Table1[[#This Row],[Subscription Status]]="Yes",1,IF(Table1[[#This Row],[Subscription Status]]="No",0))</f>
        <v>0</v>
      </c>
    </row>
    <row r="3574" spans="1:21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  <c r="S3574" t="str">
        <f>IF(Table1[[#This Row],[Age]]&lt;=25,"Young",IF(Table1[[#This Row],[Age]]&lt;=50,"Adult","Senior"))</f>
        <v>Young</v>
      </c>
      <c r="T3574" s="1">
        <f>Table1[[#This Row],[Purchase Amount (USD)]]</f>
        <v>28</v>
      </c>
      <c r="U3574">
        <f>IF(Table1[[#This Row],[Subscription Status]]="Yes",1,IF(Table1[[#This Row],[Subscription Status]]="No",0))</f>
        <v>0</v>
      </c>
    </row>
    <row r="3575" spans="1:21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  <c r="S3575" t="str">
        <f>IF(Table1[[#This Row],[Age]]&lt;=25,"Young",IF(Table1[[#This Row],[Age]]&lt;=50,"Adult","Senior"))</f>
        <v>Adult</v>
      </c>
      <c r="T3575" s="1">
        <f>Table1[[#This Row],[Purchase Amount (USD)]]</f>
        <v>67</v>
      </c>
      <c r="U3575">
        <f>IF(Table1[[#This Row],[Subscription Status]]="Yes",1,IF(Table1[[#This Row],[Subscription Status]]="No",0))</f>
        <v>0</v>
      </c>
    </row>
    <row r="3576" spans="1:21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  <c r="S3576" t="str">
        <f>IF(Table1[[#This Row],[Age]]&lt;=25,"Young",IF(Table1[[#This Row],[Age]]&lt;=50,"Adult","Senior"))</f>
        <v>Adult</v>
      </c>
      <c r="T3576" s="1">
        <f>Table1[[#This Row],[Purchase Amount (USD)]]</f>
        <v>70</v>
      </c>
      <c r="U3576">
        <f>IF(Table1[[#This Row],[Subscription Status]]="Yes",1,IF(Table1[[#This Row],[Subscription Status]]="No",0))</f>
        <v>0</v>
      </c>
    </row>
    <row r="3577" spans="1:21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  <c r="S3577" t="str">
        <f>IF(Table1[[#This Row],[Age]]&lt;=25,"Young",IF(Table1[[#This Row],[Age]]&lt;=50,"Adult","Senior"))</f>
        <v>Senior</v>
      </c>
      <c r="T3577" s="1">
        <f>Table1[[#This Row],[Purchase Amount (USD)]]</f>
        <v>95</v>
      </c>
      <c r="U3577">
        <f>IF(Table1[[#This Row],[Subscription Status]]="Yes",1,IF(Table1[[#This Row],[Subscription Status]]="No",0))</f>
        <v>0</v>
      </c>
    </row>
    <row r="3578" spans="1:21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  <c r="S3578" t="str">
        <f>IF(Table1[[#This Row],[Age]]&lt;=25,"Young",IF(Table1[[#This Row],[Age]]&lt;=50,"Adult","Senior"))</f>
        <v>Adult</v>
      </c>
      <c r="T3578" s="1">
        <f>Table1[[#This Row],[Purchase Amount (USD)]]</f>
        <v>24</v>
      </c>
      <c r="U3578">
        <f>IF(Table1[[#This Row],[Subscription Status]]="Yes",1,IF(Table1[[#This Row],[Subscription Status]]="No",0))</f>
        <v>0</v>
      </c>
    </row>
    <row r="3579" spans="1:21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  <c r="S3579" t="str">
        <f>IF(Table1[[#This Row],[Age]]&lt;=25,"Young",IF(Table1[[#This Row],[Age]]&lt;=50,"Adult","Senior"))</f>
        <v>Senior</v>
      </c>
      <c r="T3579" s="1">
        <f>Table1[[#This Row],[Purchase Amount (USD)]]</f>
        <v>35</v>
      </c>
      <c r="U3579">
        <f>IF(Table1[[#This Row],[Subscription Status]]="Yes",1,IF(Table1[[#This Row],[Subscription Status]]="No",0))</f>
        <v>0</v>
      </c>
    </row>
    <row r="3580" spans="1:21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  <c r="S3580" t="str">
        <f>IF(Table1[[#This Row],[Age]]&lt;=25,"Young",IF(Table1[[#This Row],[Age]]&lt;=50,"Adult","Senior"))</f>
        <v>Adult</v>
      </c>
      <c r="T3580" s="1">
        <f>Table1[[#This Row],[Purchase Amount (USD)]]</f>
        <v>22</v>
      </c>
      <c r="U3580">
        <f>IF(Table1[[#This Row],[Subscription Status]]="Yes",1,IF(Table1[[#This Row],[Subscription Status]]="No",0))</f>
        <v>0</v>
      </c>
    </row>
    <row r="3581" spans="1:21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  <c r="S3581" t="str">
        <f>IF(Table1[[#This Row],[Age]]&lt;=25,"Young",IF(Table1[[#This Row],[Age]]&lt;=50,"Adult","Senior"))</f>
        <v>Adult</v>
      </c>
      <c r="T3581" s="1">
        <f>Table1[[#This Row],[Purchase Amount (USD)]]</f>
        <v>66</v>
      </c>
      <c r="U3581">
        <f>IF(Table1[[#This Row],[Subscription Status]]="Yes",1,IF(Table1[[#This Row],[Subscription Status]]="No",0))</f>
        <v>0</v>
      </c>
    </row>
    <row r="3582" spans="1:21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  <c r="S3582" t="str">
        <f>IF(Table1[[#This Row],[Age]]&lt;=25,"Young",IF(Table1[[#This Row],[Age]]&lt;=50,"Adult","Senior"))</f>
        <v>Senior</v>
      </c>
      <c r="T3582" s="1">
        <f>Table1[[#This Row],[Purchase Amount (USD)]]</f>
        <v>83</v>
      </c>
      <c r="U3582">
        <f>IF(Table1[[#This Row],[Subscription Status]]="Yes",1,IF(Table1[[#This Row],[Subscription Status]]="No",0))</f>
        <v>0</v>
      </c>
    </row>
    <row r="3583" spans="1:21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  <c r="S3583" t="str">
        <f>IF(Table1[[#This Row],[Age]]&lt;=25,"Young",IF(Table1[[#This Row],[Age]]&lt;=50,"Adult","Senior"))</f>
        <v>Adult</v>
      </c>
      <c r="T3583" s="1">
        <f>Table1[[#This Row],[Purchase Amount (USD)]]</f>
        <v>95</v>
      </c>
      <c r="U3583">
        <f>IF(Table1[[#This Row],[Subscription Status]]="Yes",1,IF(Table1[[#This Row],[Subscription Status]]="No",0))</f>
        <v>0</v>
      </c>
    </row>
    <row r="3584" spans="1:21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  <c r="S3584" t="str">
        <f>IF(Table1[[#This Row],[Age]]&lt;=25,"Young",IF(Table1[[#This Row],[Age]]&lt;=50,"Adult","Senior"))</f>
        <v>Young</v>
      </c>
      <c r="T3584" s="1">
        <f>Table1[[#This Row],[Purchase Amount (USD)]]</f>
        <v>41</v>
      </c>
      <c r="U3584">
        <f>IF(Table1[[#This Row],[Subscription Status]]="Yes",1,IF(Table1[[#This Row],[Subscription Status]]="No",0))</f>
        <v>0</v>
      </c>
    </row>
    <row r="3585" spans="1:21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  <c r="S3585" t="str">
        <f>IF(Table1[[#This Row],[Age]]&lt;=25,"Young",IF(Table1[[#This Row],[Age]]&lt;=50,"Adult","Senior"))</f>
        <v>Senior</v>
      </c>
      <c r="T3585" s="1">
        <f>Table1[[#This Row],[Purchase Amount (USD)]]</f>
        <v>77</v>
      </c>
      <c r="U3585">
        <f>IF(Table1[[#This Row],[Subscription Status]]="Yes",1,IF(Table1[[#This Row],[Subscription Status]]="No",0))</f>
        <v>0</v>
      </c>
    </row>
    <row r="3586" spans="1:21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  <c r="S3586" t="str">
        <f>IF(Table1[[#This Row],[Age]]&lt;=25,"Young",IF(Table1[[#This Row],[Age]]&lt;=50,"Adult","Senior"))</f>
        <v>Adult</v>
      </c>
      <c r="T3586" s="1">
        <f>Table1[[#This Row],[Purchase Amount (USD)]]</f>
        <v>52</v>
      </c>
      <c r="U3586">
        <f>IF(Table1[[#This Row],[Subscription Status]]="Yes",1,IF(Table1[[#This Row],[Subscription Status]]="No",0))</f>
        <v>0</v>
      </c>
    </row>
    <row r="3587" spans="1:21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  <c r="S3587" t="str">
        <f>IF(Table1[[#This Row],[Age]]&lt;=25,"Young",IF(Table1[[#This Row],[Age]]&lt;=50,"Adult","Senior"))</f>
        <v>Adult</v>
      </c>
      <c r="T3587" s="1">
        <f>Table1[[#This Row],[Purchase Amount (USD)]]</f>
        <v>41</v>
      </c>
      <c r="U3587">
        <f>IF(Table1[[#This Row],[Subscription Status]]="Yes",1,IF(Table1[[#This Row],[Subscription Status]]="No",0))</f>
        <v>0</v>
      </c>
    </row>
    <row r="3588" spans="1:21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  <c r="S3588" t="str">
        <f>IF(Table1[[#This Row],[Age]]&lt;=25,"Young",IF(Table1[[#This Row],[Age]]&lt;=50,"Adult","Senior"))</f>
        <v>Adult</v>
      </c>
      <c r="T3588" s="1">
        <f>Table1[[#This Row],[Purchase Amount (USD)]]</f>
        <v>28</v>
      </c>
      <c r="U3588">
        <f>IF(Table1[[#This Row],[Subscription Status]]="Yes",1,IF(Table1[[#This Row],[Subscription Status]]="No",0))</f>
        <v>0</v>
      </c>
    </row>
    <row r="3589" spans="1:21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  <c r="S3589" t="str">
        <f>IF(Table1[[#This Row],[Age]]&lt;=25,"Young",IF(Table1[[#This Row],[Age]]&lt;=50,"Adult","Senior"))</f>
        <v>Adult</v>
      </c>
      <c r="T3589" s="1">
        <f>Table1[[#This Row],[Purchase Amount (USD)]]</f>
        <v>90</v>
      </c>
      <c r="U3589">
        <f>IF(Table1[[#This Row],[Subscription Status]]="Yes",1,IF(Table1[[#This Row],[Subscription Status]]="No",0))</f>
        <v>0</v>
      </c>
    </row>
    <row r="3590" spans="1:21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  <c r="S3590" t="str">
        <f>IF(Table1[[#This Row],[Age]]&lt;=25,"Young",IF(Table1[[#This Row],[Age]]&lt;=50,"Adult","Senior"))</f>
        <v>Young</v>
      </c>
      <c r="T3590" s="1">
        <f>Table1[[#This Row],[Purchase Amount (USD)]]</f>
        <v>55</v>
      </c>
      <c r="U3590">
        <f>IF(Table1[[#This Row],[Subscription Status]]="Yes",1,IF(Table1[[#This Row],[Subscription Status]]="No",0))</f>
        <v>0</v>
      </c>
    </row>
    <row r="3591" spans="1:21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  <c r="S3591" t="str">
        <f>IF(Table1[[#This Row],[Age]]&lt;=25,"Young",IF(Table1[[#This Row],[Age]]&lt;=50,"Adult","Senior"))</f>
        <v>Adult</v>
      </c>
      <c r="T3591" s="1">
        <f>Table1[[#This Row],[Purchase Amount (USD)]]</f>
        <v>73</v>
      </c>
      <c r="U3591">
        <f>IF(Table1[[#This Row],[Subscription Status]]="Yes",1,IF(Table1[[#This Row],[Subscription Status]]="No",0))</f>
        <v>0</v>
      </c>
    </row>
    <row r="3592" spans="1:21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  <c r="S3592" t="str">
        <f>IF(Table1[[#This Row],[Age]]&lt;=25,"Young",IF(Table1[[#This Row],[Age]]&lt;=50,"Adult","Senior"))</f>
        <v>Adult</v>
      </c>
      <c r="T3592" s="1">
        <f>Table1[[#This Row],[Purchase Amount (USD)]]</f>
        <v>87</v>
      </c>
      <c r="U3592">
        <f>IF(Table1[[#This Row],[Subscription Status]]="Yes",1,IF(Table1[[#This Row],[Subscription Status]]="No",0))</f>
        <v>0</v>
      </c>
    </row>
    <row r="3593" spans="1:21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  <c r="S3593" t="str">
        <f>IF(Table1[[#This Row],[Age]]&lt;=25,"Young",IF(Table1[[#This Row],[Age]]&lt;=50,"Adult","Senior"))</f>
        <v>Adult</v>
      </c>
      <c r="T3593" s="1">
        <f>Table1[[#This Row],[Purchase Amount (USD)]]</f>
        <v>89</v>
      </c>
      <c r="U3593">
        <f>IF(Table1[[#This Row],[Subscription Status]]="Yes",1,IF(Table1[[#This Row],[Subscription Status]]="No",0))</f>
        <v>0</v>
      </c>
    </row>
    <row r="3594" spans="1:21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  <c r="S3594" t="str">
        <f>IF(Table1[[#This Row],[Age]]&lt;=25,"Young",IF(Table1[[#This Row],[Age]]&lt;=50,"Adult","Senior"))</f>
        <v>Senior</v>
      </c>
      <c r="T3594" s="1">
        <f>Table1[[#This Row],[Purchase Amount (USD)]]</f>
        <v>82</v>
      </c>
      <c r="U3594">
        <f>IF(Table1[[#This Row],[Subscription Status]]="Yes",1,IF(Table1[[#This Row],[Subscription Status]]="No",0))</f>
        <v>0</v>
      </c>
    </row>
    <row r="3595" spans="1:21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  <c r="S3595" t="str">
        <f>IF(Table1[[#This Row],[Age]]&lt;=25,"Young",IF(Table1[[#This Row],[Age]]&lt;=50,"Adult","Senior"))</f>
        <v>Senior</v>
      </c>
      <c r="T3595" s="1">
        <f>Table1[[#This Row],[Purchase Amount (USD)]]</f>
        <v>80</v>
      </c>
      <c r="U3595">
        <f>IF(Table1[[#This Row],[Subscription Status]]="Yes",1,IF(Table1[[#This Row],[Subscription Status]]="No",0))</f>
        <v>0</v>
      </c>
    </row>
    <row r="3596" spans="1:21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  <c r="S3596" t="str">
        <f>IF(Table1[[#This Row],[Age]]&lt;=25,"Young",IF(Table1[[#This Row],[Age]]&lt;=50,"Adult","Senior"))</f>
        <v>Young</v>
      </c>
      <c r="T3596" s="1">
        <f>Table1[[#This Row],[Purchase Amount (USD)]]</f>
        <v>87</v>
      </c>
      <c r="U3596">
        <f>IF(Table1[[#This Row],[Subscription Status]]="Yes",1,IF(Table1[[#This Row],[Subscription Status]]="No",0))</f>
        <v>0</v>
      </c>
    </row>
    <row r="3597" spans="1:21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  <c r="S3597" t="str">
        <f>IF(Table1[[#This Row],[Age]]&lt;=25,"Young",IF(Table1[[#This Row],[Age]]&lt;=50,"Adult","Senior"))</f>
        <v>Young</v>
      </c>
      <c r="T3597" s="1">
        <f>Table1[[#This Row],[Purchase Amount (USD)]]</f>
        <v>41</v>
      </c>
      <c r="U3597">
        <f>IF(Table1[[#This Row],[Subscription Status]]="Yes",1,IF(Table1[[#This Row],[Subscription Status]]="No",0))</f>
        <v>0</v>
      </c>
    </row>
    <row r="3598" spans="1:21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  <c r="S3598" t="str">
        <f>IF(Table1[[#This Row],[Age]]&lt;=25,"Young",IF(Table1[[#This Row],[Age]]&lt;=50,"Adult","Senior"))</f>
        <v>Adult</v>
      </c>
      <c r="T3598" s="1">
        <f>Table1[[#This Row],[Purchase Amount (USD)]]</f>
        <v>83</v>
      </c>
      <c r="U3598">
        <f>IF(Table1[[#This Row],[Subscription Status]]="Yes",1,IF(Table1[[#This Row],[Subscription Status]]="No",0))</f>
        <v>0</v>
      </c>
    </row>
    <row r="3599" spans="1:21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  <c r="S3599" t="str">
        <f>IF(Table1[[#This Row],[Age]]&lt;=25,"Young",IF(Table1[[#This Row],[Age]]&lt;=50,"Adult","Senior"))</f>
        <v>Adult</v>
      </c>
      <c r="T3599" s="1">
        <f>Table1[[#This Row],[Purchase Amount (USD)]]</f>
        <v>71</v>
      </c>
      <c r="U3599">
        <f>IF(Table1[[#This Row],[Subscription Status]]="Yes",1,IF(Table1[[#This Row],[Subscription Status]]="No",0))</f>
        <v>0</v>
      </c>
    </row>
    <row r="3600" spans="1:21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  <c r="S3600" t="str">
        <f>IF(Table1[[#This Row],[Age]]&lt;=25,"Young",IF(Table1[[#This Row],[Age]]&lt;=50,"Adult","Senior"))</f>
        <v>Young</v>
      </c>
      <c r="T3600" s="1">
        <f>Table1[[#This Row],[Purchase Amount (USD)]]</f>
        <v>76</v>
      </c>
      <c r="U3600">
        <f>IF(Table1[[#This Row],[Subscription Status]]="Yes",1,IF(Table1[[#This Row],[Subscription Status]]="No",0))</f>
        <v>0</v>
      </c>
    </row>
    <row r="3601" spans="1:21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  <c r="S3601" t="str">
        <f>IF(Table1[[#This Row],[Age]]&lt;=25,"Young",IF(Table1[[#This Row],[Age]]&lt;=50,"Adult","Senior"))</f>
        <v>Adult</v>
      </c>
      <c r="T3601" s="1">
        <f>Table1[[#This Row],[Purchase Amount (USD)]]</f>
        <v>34</v>
      </c>
      <c r="U3601">
        <f>IF(Table1[[#This Row],[Subscription Status]]="Yes",1,IF(Table1[[#This Row],[Subscription Status]]="No",0))</f>
        <v>0</v>
      </c>
    </row>
    <row r="3602" spans="1:21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  <c r="S3602" t="str">
        <f>IF(Table1[[#This Row],[Age]]&lt;=25,"Young",IF(Table1[[#This Row],[Age]]&lt;=50,"Adult","Senior"))</f>
        <v>Senior</v>
      </c>
      <c r="T3602" s="1">
        <f>Table1[[#This Row],[Purchase Amount (USD)]]</f>
        <v>81</v>
      </c>
      <c r="U3602">
        <f>IF(Table1[[#This Row],[Subscription Status]]="Yes",1,IF(Table1[[#This Row],[Subscription Status]]="No",0))</f>
        <v>0</v>
      </c>
    </row>
    <row r="3603" spans="1:21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  <c r="S3603" t="str">
        <f>IF(Table1[[#This Row],[Age]]&lt;=25,"Young",IF(Table1[[#This Row],[Age]]&lt;=50,"Adult","Senior"))</f>
        <v>Adult</v>
      </c>
      <c r="T3603" s="1">
        <f>Table1[[#This Row],[Purchase Amount (USD)]]</f>
        <v>47</v>
      </c>
      <c r="U3603">
        <f>IF(Table1[[#This Row],[Subscription Status]]="Yes",1,IF(Table1[[#This Row],[Subscription Status]]="No",0))</f>
        <v>0</v>
      </c>
    </row>
    <row r="3604" spans="1:21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  <c r="S3604" t="str">
        <f>IF(Table1[[#This Row],[Age]]&lt;=25,"Young",IF(Table1[[#This Row],[Age]]&lt;=50,"Adult","Senior"))</f>
        <v>Senior</v>
      </c>
      <c r="T3604" s="1">
        <f>Table1[[#This Row],[Purchase Amount (USD)]]</f>
        <v>36</v>
      </c>
      <c r="U3604">
        <f>IF(Table1[[#This Row],[Subscription Status]]="Yes",1,IF(Table1[[#This Row],[Subscription Status]]="No",0))</f>
        <v>0</v>
      </c>
    </row>
    <row r="3605" spans="1:21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  <c r="S3605" t="str">
        <f>IF(Table1[[#This Row],[Age]]&lt;=25,"Young",IF(Table1[[#This Row],[Age]]&lt;=50,"Adult","Senior"))</f>
        <v>Adult</v>
      </c>
      <c r="T3605" s="1">
        <f>Table1[[#This Row],[Purchase Amount (USD)]]</f>
        <v>51</v>
      </c>
      <c r="U3605">
        <f>IF(Table1[[#This Row],[Subscription Status]]="Yes",1,IF(Table1[[#This Row],[Subscription Status]]="No",0))</f>
        <v>0</v>
      </c>
    </row>
    <row r="3606" spans="1:21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  <c r="S3606" t="str">
        <f>IF(Table1[[#This Row],[Age]]&lt;=25,"Young",IF(Table1[[#This Row],[Age]]&lt;=50,"Adult","Senior"))</f>
        <v>Senior</v>
      </c>
      <c r="T3606" s="1">
        <f>Table1[[#This Row],[Purchase Amount (USD)]]</f>
        <v>86</v>
      </c>
      <c r="U3606">
        <f>IF(Table1[[#This Row],[Subscription Status]]="Yes",1,IF(Table1[[#This Row],[Subscription Status]]="No",0))</f>
        <v>0</v>
      </c>
    </row>
    <row r="3607" spans="1:21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  <c r="S3607" t="str">
        <f>IF(Table1[[#This Row],[Age]]&lt;=25,"Young",IF(Table1[[#This Row],[Age]]&lt;=50,"Adult","Senior"))</f>
        <v>Senior</v>
      </c>
      <c r="T3607" s="1">
        <f>Table1[[#This Row],[Purchase Amount (USD)]]</f>
        <v>41</v>
      </c>
      <c r="U3607">
        <f>IF(Table1[[#This Row],[Subscription Status]]="Yes",1,IF(Table1[[#This Row],[Subscription Status]]="No",0))</f>
        <v>0</v>
      </c>
    </row>
    <row r="3608" spans="1:21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  <c r="S3608" t="str">
        <f>IF(Table1[[#This Row],[Age]]&lt;=25,"Young",IF(Table1[[#This Row],[Age]]&lt;=50,"Adult","Senior"))</f>
        <v>Adult</v>
      </c>
      <c r="T3608" s="1">
        <f>Table1[[#This Row],[Purchase Amount (USD)]]</f>
        <v>90</v>
      </c>
      <c r="U3608">
        <f>IF(Table1[[#This Row],[Subscription Status]]="Yes",1,IF(Table1[[#This Row],[Subscription Status]]="No",0))</f>
        <v>0</v>
      </c>
    </row>
    <row r="3609" spans="1:21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  <c r="S3609" t="str">
        <f>IF(Table1[[#This Row],[Age]]&lt;=25,"Young",IF(Table1[[#This Row],[Age]]&lt;=50,"Adult","Senior"))</f>
        <v>Adult</v>
      </c>
      <c r="T3609" s="1">
        <f>Table1[[#This Row],[Purchase Amount (USD)]]</f>
        <v>93</v>
      </c>
      <c r="U3609">
        <f>IF(Table1[[#This Row],[Subscription Status]]="Yes",1,IF(Table1[[#This Row],[Subscription Status]]="No",0))</f>
        <v>0</v>
      </c>
    </row>
    <row r="3610" spans="1:21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  <c r="S3610" t="str">
        <f>IF(Table1[[#This Row],[Age]]&lt;=25,"Young",IF(Table1[[#This Row],[Age]]&lt;=50,"Adult","Senior"))</f>
        <v>Young</v>
      </c>
      <c r="T3610" s="1">
        <f>Table1[[#This Row],[Purchase Amount (USD)]]</f>
        <v>56</v>
      </c>
      <c r="U3610">
        <f>IF(Table1[[#This Row],[Subscription Status]]="Yes",1,IF(Table1[[#This Row],[Subscription Status]]="No",0))</f>
        <v>0</v>
      </c>
    </row>
    <row r="3611" spans="1:21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  <c r="S3611" t="str">
        <f>IF(Table1[[#This Row],[Age]]&lt;=25,"Young",IF(Table1[[#This Row],[Age]]&lt;=50,"Adult","Senior"))</f>
        <v>Young</v>
      </c>
      <c r="T3611" s="1">
        <f>Table1[[#This Row],[Purchase Amount (USD)]]</f>
        <v>39</v>
      </c>
      <c r="U3611">
        <f>IF(Table1[[#This Row],[Subscription Status]]="Yes",1,IF(Table1[[#This Row],[Subscription Status]]="No",0))</f>
        <v>0</v>
      </c>
    </row>
    <row r="3612" spans="1:21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  <c r="S3612" t="str">
        <f>IF(Table1[[#This Row],[Age]]&lt;=25,"Young",IF(Table1[[#This Row],[Age]]&lt;=50,"Adult","Senior"))</f>
        <v>Young</v>
      </c>
      <c r="T3612" s="1">
        <f>Table1[[#This Row],[Purchase Amount (USD)]]</f>
        <v>86</v>
      </c>
      <c r="U3612">
        <f>IF(Table1[[#This Row],[Subscription Status]]="Yes",1,IF(Table1[[#This Row],[Subscription Status]]="No",0))</f>
        <v>0</v>
      </c>
    </row>
    <row r="3613" spans="1:21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  <c r="S3613" t="str">
        <f>IF(Table1[[#This Row],[Age]]&lt;=25,"Young",IF(Table1[[#This Row],[Age]]&lt;=50,"Adult","Senior"))</f>
        <v>Senior</v>
      </c>
      <c r="T3613" s="1">
        <f>Table1[[#This Row],[Purchase Amount (USD)]]</f>
        <v>82</v>
      </c>
      <c r="U3613">
        <f>IF(Table1[[#This Row],[Subscription Status]]="Yes",1,IF(Table1[[#This Row],[Subscription Status]]="No",0))</f>
        <v>0</v>
      </c>
    </row>
    <row r="3614" spans="1:21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  <c r="S3614" t="str">
        <f>IF(Table1[[#This Row],[Age]]&lt;=25,"Young",IF(Table1[[#This Row],[Age]]&lt;=50,"Adult","Senior"))</f>
        <v>Adult</v>
      </c>
      <c r="T3614" s="1">
        <f>Table1[[#This Row],[Purchase Amount (USD)]]</f>
        <v>29</v>
      </c>
      <c r="U3614">
        <f>IF(Table1[[#This Row],[Subscription Status]]="Yes",1,IF(Table1[[#This Row],[Subscription Status]]="No",0))</f>
        <v>0</v>
      </c>
    </row>
    <row r="3615" spans="1:21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  <c r="S3615" t="str">
        <f>IF(Table1[[#This Row],[Age]]&lt;=25,"Young",IF(Table1[[#This Row],[Age]]&lt;=50,"Adult","Senior"))</f>
        <v>Senior</v>
      </c>
      <c r="T3615" s="1">
        <f>Table1[[#This Row],[Purchase Amount (USD)]]</f>
        <v>27</v>
      </c>
      <c r="U3615">
        <f>IF(Table1[[#This Row],[Subscription Status]]="Yes",1,IF(Table1[[#This Row],[Subscription Status]]="No",0))</f>
        <v>0</v>
      </c>
    </row>
    <row r="3616" spans="1:21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  <c r="S3616" t="str">
        <f>IF(Table1[[#This Row],[Age]]&lt;=25,"Young",IF(Table1[[#This Row],[Age]]&lt;=50,"Adult","Senior"))</f>
        <v>Adult</v>
      </c>
      <c r="T3616" s="1">
        <f>Table1[[#This Row],[Purchase Amount (USD)]]</f>
        <v>25</v>
      </c>
      <c r="U3616">
        <f>IF(Table1[[#This Row],[Subscription Status]]="Yes",1,IF(Table1[[#This Row],[Subscription Status]]="No",0))</f>
        <v>0</v>
      </c>
    </row>
    <row r="3617" spans="1:21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  <c r="S3617" t="str">
        <f>IF(Table1[[#This Row],[Age]]&lt;=25,"Young",IF(Table1[[#This Row],[Age]]&lt;=50,"Adult","Senior"))</f>
        <v>Adult</v>
      </c>
      <c r="T3617" s="1">
        <f>Table1[[#This Row],[Purchase Amount (USD)]]</f>
        <v>31</v>
      </c>
      <c r="U3617">
        <f>IF(Table1[[#This Row],[Subscription Status]]="Yes",1,IF(Table1[[#This Row],[Subscription Status]]="No",0))</f>
        <v>0</v>
      </c>
    </row>
    <row r="3618" spans="1:21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  <c r="S3618" t="str">
        <f>IF(Table1[[#This Row],[Age]]&lt;=25,"Young",IF(Table1[[#This Row],[Age]]&lt;=50,"Adult","Senior"))</f>
        <v>Adult</v>
      </c>
      <c r="T3618" s="1">
        <f>Table1[[#This Row],[Purchase Amount (USD)]]</f>
        <v>23</v>
      </c>
      <c r="U3618">
        <f>IF(Table1[[#This Row],[Subscription Status]]="Yes",1,IF(Table1[[#This Row],[Subscription Status]]="No",0))</f>
        <v>0</v>
      </c>
    </row>
    <row r="3619" spans="1:21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  <c r="S3619" t="str">
        <f>IF(Table1[[#This Row],[Age]]&lt;=25,"Young",IF(Table1[[#This Row],[Age]]&lt;=50,"Adult","Senior"))</f>
        <v>Adult</v>
      </c>
      <c r="T3619" s="1">
        <f>Table1[[#This Row],[Purchase Amount (USD)]]</f>
        <v>47</v>
      </c>
      <c r="U3619">
        <f>IF(Table1[[#This Row],[Subscription Status]]="Yes",1,IF(Table1[[#This Row],[Subscription Status]]="No",0))</f>
        <v>0</v>
      </c>
    </row>
    <row r="3620" spans="1:21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  <c r="S3620" t="str">
        <f>IF(Table1[[#This Row],[Age]]&lt;=25,"Young",IF(Table1[[#This Row],[Age]]&lt;=50,"Adult","Senior"))</f>
        <v>Adult</v>
      </c>
      <c r="T3620" s="1">
        <f>Table1[[#This Row],[Purchase Amount (USD)]]</f>
        <v>67</v>
      </c>
      <c r="U3620">
        <f>IF(Table1[[#This Row],[Subscription Status]]="Yes",1,IF(Table1[[#This Row],[Subscription Status]]="No",0))</f>
        <v>0</v>
      </c>
    </row>
    <row r="3621" spans="1:21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  <c r="S3621" t="str">
        <f>IF(Table1[[#This Row],[Age]]&lt;=25,"Young",IF(Table1[[#This Row],[Age]]&lt;=50,"Adult","Senior"))</f>
        <v>Adult</v>
      </c>
      <c r="T3621" s="1">
        <f>Table1[[#This Row],[Purchase Amount (USD)]]</f>
        <v>75</v>
      </c>
      <c r="U3621">
        <f>IF(Table1[[#This Row],[Subscription Status]]="Yes",1,IF(Table1[[#This Row],[Subscription Status]]="No",0))</f>
        <v>0</v>
      </c>
    </row>
    <row r="3622" spans="1:21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  <c r="S3622" t="str">
        <f>IF(Table1[[#This Row],[Age]]&lt;=25,"Young",IF(Table1[[#This Row],[Age]]&lt;=50,"Adult","Senior"))</f>
        <v>Senior</v>
      </c>
      <c r="T3622" s="1">
        <f>Table1[[#This Row],[Purchase Amount (USD)]]</f>
        <v>82</v>
      </c>
      <c r="U3622">
        <f>IF(Table1[[#This Row],[Subscription Status]]="Yes",1,IF(Table1[[#This Row],[Subscription Status]]="No",0))</f>
        <v>0</v>
      </c>
    </row>
    <row r="3623" spans="1:21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  <c r="S3623" t="str">
        <f>IF(Table1[[#This Row],[Age]]&lt;=25,"Young",IF(Table1[[#This Row],[Age]]&lt;=50,"Adult","Senior"))</f>
        <v>Adult</v>
      </c>
      <c r="T3623" s="1">
        <f>Table1[[#This Row],[Purchase Amount (USD)]]</f>
        <v>32</v>
      </c>
      <c r="U3623">
        <f>IF(Table1[[#This Row],[Subscription Status]]="Yes",1,IF(Table1[[#This Row],[Subscription Status]]="No",0))</f>
        <v>0</v>
      </c>
    </row>
    <row r="3624" spans="1:21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  <c r="S3624" t="str">
        <f>IF(Table1[[#This Row],[Age]]&lt;=25,"Young",IF(Table1[[#This Row],[Age]]&lt;=50,"Adult","Senior"))</f>
        <v>Adult</v>
      </c>
      <c r="T3624" s="1">
        <f>Table1[[#This Row],[Purchase Amount (USD)]]</f>
        <v>41</v>
      </c>
      <c r="U3624">
        <f>IF(Table1[[#This Row],[Subscription Status]]="Yes",1,IF(Table1[[#This Row],[Subscription Status]]="No",0))</f>
        <v>0</v>
      </c>
    </row>
    <row r="3625" spans="1:21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  <c r="S3625" t="str">
        <f>IF(Table1[[#This Row],[Age]]&lt;=25,"Young",IF(Table1[[#This Row],[Age]]&lt;=50,"Adult","Senior"))</f>
        <v>Adult</v>
      </c>
      <c r="T3625" s="1">
        <f>Table1[[#This Row],[Purchase Amount (USD)]]</f>
        <v>89</v>
      </c>
      <c r="U3625">
        <f>IF(Table1[[#This Row],[Subscription Status]]="Yes",1,IF(Table1[[#This Row],[Subscription Status]]="No",0))</f>
        <v>0</v>
      </c>
    </row>
    <row r="3626" spans="1:21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  <c r="S3626" t="str">
        <f>IF(Table1[[#This Row],[Age]]&lt;=25,"Young",IF(Table1[[#This Row],[Age]]&lt;=50,"Adult","Senior"))</f>
        <v>Young</v>
      </c>
      <c r="T3626" s="1">
        <f>Table1[[#This Row],[Purchase Amount (USD)]]</f>
        <v>82</v>
      </c>
      <c r="U3626">
        <f>IF(Table1[[#This Row],[Subscription Status]]="Yes",1,IF(Table1[[#This Row],[Subscription Status]]="No",0))</f>
        <v>0</v>
      </c>
    </row>
    <row r="3627" spans="1:21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  <c r="S3627" t="str">
        <f>IF(Table1[[#This Row],[Age]]&lt;=25,"Young",IF(Table1[[#This Row],[Age]]&lt;=50,"Adult","Senior"))</f>
        <v>Adult</v>
      </c>
      <c r="T3627" s="1">
        <f>Table1[[#This Row],[Purchase Amount (USD)]]</f>
        <v>99</v>
      </c>
      <c r="U3627">
        <f>IF(Table1[[#This Row],[Subscription Status]]="Yes",1,IF(Table1[[#This Row],[Subscription Status]]="No",0))</f>
        <v>0</v>
      </c>
    </row>
    <row r="3628" spans="1:21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  <c r="S3628" t="str">
        <f>IF(Table1[[#This Row],[Age]]&lt;=25,"Young",IF(Table1[[#This Row],[Age]]&lt;=50,"Adult","Senior"))</f>
        <v>Senior</v>
      </c>
      <c r="T3628" s="1">
        <f>Table1[[#This Row],[Purchase Amount (USD)]]</f>
        <v>98</v>
      </c>
      <c r="U3628">
        <f>IF(Table1[[#This Row],[Subscription Status]]="Yes",1,IF(Table1[[#This Row],[Subscription Status]]="No",0))</f>
        <v>0</v>
      </c>
    </row>
    <row r="3629" spans="1:21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  <c r="S3629" t="str">
        <f>IF(Table1[[#This Row],[Age]]&lt;=25,"Young",IF(Table1[[#This Row],[Age]]&lt;=50,"Adult","Senior"))</f>
        <v>Adult</v>
      </c>
      <c r="T3629" s="1">
        <f>Table1[[#This Row],[Purchase Amount (USD)]]</f>
        <v>54</v>
      </c>
      <c r="U3629">
        <f>IF(Table1[[#This Row],[Subscription Status]]="Yes",1,IF(Table1[[#This Row],[Subscription Status]]="No",0))</f>
        <v>0</v>
      </c>
    </row>
    <row r="3630" spans="1:21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  <c r="S3630" t="str">
        <f>IF(Table1[[#This Row],[Age]]&lt;=25,"Young",IF(Table1[[#This Row],[Age]]&lt;=50,"Adult","Senior"))</f>
        <v>Senior</v>
      </c>
      <c r="T3630" s="1">
        <f>Table1[[#This Row],[Purchase Amount (USD)]]</f>
        <v>88</v>
      </c>
      <c r="U3630">
        <f>IF(Table1[[#This Row],[Subscription Status]]="Yes",1,IF(Table1[[#This Row],[Subscription Status]]="No",0))</f>
        <v>0</v>
      </c>
    </row>
    <row r="3631" spans="1:21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  <c r="S3631" t="str">
        <f>IF(Table1[[#This Row],[Age]]&lt;=25,"Young",IF(Table1[[#This Row],[Age]]&lt;=50,"Adult","Senior"))</f>
        <v>Senior</v>
      </c>
      <c r="T3631" s="1">
        <f>Table1[[#This Row],[Purchase Amount (USD)]]</f>
        <v>43</v>
      </c>
      <c r="U3631">
        <f>IF(Table1[[#This Row],[Subscription Status]]="Yes",1,IF(Table1[[#This Row],[Subscription Status]]="No",0))</f>
        <v>0</v>
      </c>
    </row>
    <row r="3632" spans="1:21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  <c r="S3632" t="str">
        <f>IF(Table1[[#This Row],[Age]]&lt;=25,"Young",IF(Table1[[#This Row],[Age]]&lt;=50,"Adult","Senior"))</f>
        <v>Senior</v>
      </c>
      <c r="T3632" s="1">
        <f>Table1[[#This Row],[Purchase Amount (USD)]]</f>
        <v>73</v>
      </c>
      <c r="U3632">
        <f>IF(Table1[[#This Row],[Subscription Status]]="Yes",1,IF(Table1[[#This Row],[Subscription Status]]="No",0))</f>
        <v>0</v>
      </c>
    </row>
    <row r="3633" spans="1:21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  <c r="S3633" t="str">
        <f>IF(Table1[[#This Row],[Age]]&lt;=25,"Young",IF(Table1[[#This Row],[Age]]&lt;=50,"Adult","Senior"))</f>
        <v>Adult</v>
      </c>
      <c r="T3633" s="1">
        <f>Table1[[#This Row],[Purchase Amount (USD)]]</f>
        <v>50</v>
      </c>
      <c r="U3633">
        <f>IF(Table1[[#This Row],[Subscription Status]]="Yes",1,IF(Table1[[#This Row],[Subscription Status]]="No",0))</f>
        <v>0</v>
      </c>
    </row>
    <row r="3634" spans="1:21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  <c r="S3634" t="str">
        <f>IF(Table1[[#This Row],[Age]]&lt;=25,"Young",IF(Table1[[#This Row],[Age]]&lt;=50,"Adult","Senior"))</f>
        <v>Adult</v>
      </c>
      <c r="T3634" s="1">
        <f>Table1[[#This Row],[Purchase Amount (USD)]]</f>
        <v>73</v>
      </c>
      <c r="U3634">
        <f>IF(Table1[[#This Row],[Subscription Status]]="Yes",1,IF(Table1[[#This Row],[Subscription Status]]="No",0))</f>
        <v>0</v>
      </c>
    </row>
    <row r="3635" spans="1:21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  <c r="S3635" t="str">
        <f>IF(Table1[[#This Row],[Age]]&lt;=25,"Young",IF(Table1[[#This Row],[Age]]&lt;=50,"Adult","Senior"))</f>
        <v>Adult</v>
      </c>
      <c r="T3635" s="1">
        <f>Table1[[#This Row],[Purchase Amount (USD)]]</f>
        <v>51</v>
      </c>
      <c r="U3635">
        <f>IF(Table1[[#This Row],[Subscription Status]]="Yes",1,IF(Table1[[#This Row],[Subscription Status]]="No",0))</f>
        <v>0</v>
      </c>
    </row>
    <row r="3636" spans="1:21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  <c r="S3636" t="str">
        <f>IF(Table1[[#This Row],[Age]]&lt;=25,"Young",IF(Table1[[#This Row],[Age]]&lt;=50,"Adult","Senior"))</f>
        <v>Senior</v>
      </c>
      <c r="T3636" s="1">
        <f>Table1[[#This Row],[Purchase Amount (USD)]]</f>
        <v>22</v>
      </c>
      <c r="U3636">
        <f>IF(Table1[[#This Row],[Subscription Status]]="Yes",1,IF(Table1[[#This Row],[Subscription Status]]="No",0))</f>
        <v>0</v>
      </c>
    </row>
    <row r="3637" spans="1:21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  <c r="S3637" t="str">
        <f>IF(Table1[[#This Row],[Age]]&lt;=25,"Young",IF(Table1[[#This Row],[Age]]&lt;=50,"Adult","Senior"))</f>
        <v>Senior</v>
      </c>
      <c r="T3637" s="1">
        <f>Table1[[#This Row],[Purchase Amount (USD)]]</f>
        <v>32</v>
      </c>
      <c r="U3637">
        <f>IF(Table1[[#This Row],[Subscription Status]]="Yes",1,IF(Table1[[#This Row],[Subscription Status]]="No",0))</f>
        <v>0</v>
      </c>
    </row>
    <row r="3638" spans="1:21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  <c r="S3638" t="str">
        <f>IF(Table1[[#This Row],[Age]]&lt;=25,"Young",IF(Table1[[#This Row],[Age]]&lt;=50,"Adult","Senior"))</f>
        <v>Adult</v>
      </c>
      <c r="T3638" s="1">
        <f>Table1[[#This Row],[Purchase Amount (USD)]]</f>
        <v>38</v>
      </c>
      <c r="U3638">
        <f>IF(Table1[[#This Row],[Subscription Status]]="Yes",1,IF(Table1[[#This Row],[Subscription Status]]="No",0))</f>
        <v>0</v>
      </c>
    </row>
    <row r="3639" spans="1:21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  <c r="S3639" t="str">
        <f>IF(Table1[[#This Row],[Age]]&lt;=25,"Young",IF(Table1[[#This Row],[Age]]&lt;=50,"Adult","Senior"))</f>
        <v>Adult</v>
      </c>
      <c r="T3639" s="1">
        <f>Table1[[#This Row],[Purchase Amount (USD)]]</f>
        <v>66</v>
      </c>
      <c r="U3639">
        <f>IF(Table1[[#This Row],[Subscription Status]]="Yes",1,IF(Table1[[#This Row],[Subscription Status]]="No",0))</f>
        <v>0</v>
      </c>
    </row>
    <row r="3640" spans="1:21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  <c r="S3640" t="str">
        <f>IF(Table1[[#This Row],[Age]]&lt;=25,"Young",IF(Table1[[#This Row],[Age]]&lt;=50,"Adult","Senior"))</f>
        <v>Adult</v>
      </c>
      <c r="T3640" s="1">
        <f>Table1[[#This Row],[Purchase Amount (USD)]]</f>
        <v>20</v>
      </c>
      <c r="U3640">
        <f>IF(Table1[[#This Row],[Subscription Status]]="Yes",1,IF(Table1[[#This Row],[Subscription Status]]="No",0))</f>
        <v>0</v>
      </c>
    </row>
    <row r="3641" spans="1:21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  <c r="S3641" t="str">
        <f>IF(Table1[[#This Row],[Age]]&lt;=25,"Young",IF(Table1[[#This Row],[Age]]&lt;=50,"Adult","Senior"))</f>
        <v>Adult</v>
      </c>
      <c r="T3641" s="1">
        <f>Table1[[#This Row],[Purchase Amount (USD)]]</f>
        <v>44</v>
      </c>
      <c r="U3641">
        <f>IF(Table1[[#This Row],[Subscription Status]]="Yes",1,IF(Table1[[#This Row],[Subscription Status]]="No",0))</f>
        <v>0</v>
      </c>
    </row>
    <row r="3642" spans="1:21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  <c r="S3642" t="str">
        <f>IF(Table1[[#This Row],[Age]]&lt;=25,"Young",IF(Table1[[#This Row],[Age]]&lt;=50,"Adult","Senior"))</f>
        <v>Adult</v>
      </c>
      <c r="T3642" s="1">
        <f>Table1[[#This Row],[Purchase Amount (USD)]]</f>
        <v>31</v>
      </c>
      <c r="U3642">
        <f>IF(Table1[[#This Row],[Subscription Status]]="Yes",1,IF(Table1[[#This Row],[Subscription Status]]="No",0))</f>
        <v>0</v>
      </c>
    </row>
    <row r="3643" spans="1:21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  <c r="S3643" t="str">
        <f>IF(Table1[[#This Row],[Age]]&lt;=25,"Young",IF(Table1[[#This Row],[Age]]&lt;=50,"Adult","Senior"))</f>
        <v>Senior</v>
      </c>
      <c r="T3643" s="1">
        <f>Table1[[#This Row],[Purchase Amount (USD)]]</f>
        <v>45</v>
      </c>
      <c r="U3643">
        <f>IF(Table1[[#This Row],[Subscription Status]]="Yes",1,IF(Table1[[#This Row],[Subscription Status]]="No",0))</f>
        <v>0</v>
      </c>
    </row>
    <row r="3644" spans="1:21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  <c r="S3644" t="str">
        <f>IF(Table1[[#This Row],[Age]]&lt;=25,"Young",IF(Table1[[#This Row],[Age]]&lt;=50,"Adult","Senior"))</f>
        <v>Adult</v>
      </c>
      <c r="T3644" s="1">
        <f>Table1[[#This Row],[Purchase Amount (USD)]]</f>
        <v>71</v>
      </c>
      <c r="U3644">
        <f>IF(Table1[[#This Row],[Subscription Status]]="Yes",1,IF(Table1[[#This Row],[Subscription Status]]="No",0))</f>
        <v>0</v>
      </c>
    </row>
    <row r="3645" spans="1:21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  <c r="S3645" t="str">
        <f>IF(Table1[[#This Row],[Age]]&lt;=25,"Young",IF(Table1[[#This Row],[Age]]&lt;=50,"Adult","Senior"))</f>
        <v>Senior</v>
      </c>
      <c r="T3645" s="1">
        <f>Table1[[#This Row],[Purchase Amount (USD)]]</f>
        <v>96</v>
      </c>
      <c r="U3645">
        <f>IF(Table1[[#This Row],[Subscription Status]]="Yes",1,IF(Table1[[#This Row],[Subscription Status]]="No",0))</f>
        <v>0</v>
      </c>
    </row>
    <row r="3646" spans="1:21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  <c r="S3646" t="str">
        <f>IF(Table1[[#This Row],[Age]]&lt;=25,"Young",IF(Table1[[#This Row],[Age]]&lt;=50,"Adult","Senior"))</f>
        <v>Adult</v>
      </c>
      <c r="T3646" s="1">
        <f>Table1[[#This Row],[Purchase Amount (USD)]]</f>
        <v>32</v>
      </c>
      <c r="U3646">
        <f>IF(Table1[[#This Row],[Subscription Status]]="Yes",1,IF(Table1[[#This Row],[Subscription Status]]="No",0))</f>
        <v>0</v>
      </c>
    </row>
    <row r="3647" spans="1:21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  <c r="S3647" t="str">
        <f>IF(Table1[[#This Row],[Age]]&lt;=25,"Young",IF(Table1[[#This Row],[Age]]&lt;=50,"Adult","Senior"))</f>
        <v>Adult</v>
      </c>
      <c r="T3647" s="1">
        <f>Table1[[#This Row],[Purchase Amount (USD)]]</f>
        <v>90</v>
      </c>
      <c r="U3647">
        <f>IF(Table1[[#This Row],[Subscription Status]]="Yes",1,IF(Table1[[#This Row],[Subscription Status]]="No",0))</f>
        <v>0</v>
      </c>
    </row>
    <row r="3648" spans="1:21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  <c r="S3648" t="str">
        <f>IF(Table1[[#This Row],[Age]]&lt;=25,"Young",IF(Table1[[#This Row],[Age]]&lt;=50,"Adult","Senior"))</f>
        <v>Senior</v>
      </c>
      <c r="T3648" s="1">
        <f>Table1[[#This Row],[Purchase Amount (USD)]]</f>
        <v>68</v>
      </c>
      <c r="U3648">
        <f>IF(Table1[[#This Row],[Subscription Status]]="Yes",1,IF(Table1[[#This Row],[Subscription Status]]="No",0))</f>
        <v>0</v>
      </c>
    </row>
    <row r="3649" spans="1:21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  <c r="S3649" t="str">
        <f>IF(Table1[[#This Row],[Age]]&lt;=25,"Young",IF(Table1[[#This Row],[Age]]&lt;=50,"Adult","Senior"))</f>
        <v>Adult</v>
      </c>
      <c r="T3649" s="1">
        <f>Table1[[#This Row],[Purchase Amount (USD)]]</f>
        <v>45</v>
      </c>
      <c r="U3649">
        <f>IF(Table1[[#This Row],[Subscription Status]]="Yes",1,IF(Table1[[#This Row],[Subscription Status]]="No",0))</f>
        <v>0</v>
      </c>
    </row>
    <row r="3650" spans="1:21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  <c r="S3650" t="str">
        <f>IF(Table1[[#This Row],[Age]]&lt;=25,"Young",IF(Table1[[#This Row],[Age]]&lt;=50,"Adult","Senior"))</f>
        <v>Adult</v>
      </c>
      <c r="T3650" s="1">
        <f>Table1[[#This Row],[Purchase Amount (USD)]]</f>
        <v>67</v>
      </c>
      <c r="U3650">
        <f>IF(Table1[[#This Row],[Subscription Status]]="Yes",1,IF(Table1[[#This Row],[Subscription Status]]="No",0))</f>
        <v>0</v>
      </c>
    </row>
    <row r="3651" spans="1:21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  <c r="S3651" t="str">
        <f>IF(Table1[[#This Row],[Age]]&lt;=25,"Young",IF(Table1[[#This Row],[Age]]&lt;=50,"Adult","Senior"))</f>
        <v>Senior</v>
      </c>
      <c r="T3651" s="1">
        <f>Table1[[#This Row],[Purchase Amount (USD)]]</f>
        <v>57</v>
      </c>
      <c r="U3651">
        <f>IF(Table1[[#This Row],[Subscription Status]]="Yes",1,IF(Table1[[#This Row],[Subscription Status]]="No",0))</f>
        <v>0</v>
      </c>
    </row>
    <row r="3652" spans="1:21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  <c r="S3652" t="str">
        <f>IF(Table1[[#This Row],[Age]]&lt;=25,"Young",IF(Table1[[#This Row],[Age]]&lt;=50,"Adult","Senior"))</f>
        <v>Senior</v>
      </c>
      <c r="T3652" s="1">
        <f>Table1[[#This Row],[Purchase Amount (USD)]]</f>
        <v>60</v>
      </c>
      <c r="U3652">
        <f>IF(Table1[[#This Row],[Subscription Status]]="Yes",1,IF(Table1[[#This Row],[Subscription Status]]="No",0))</f>
        <v>0</v>
      </c>
    </row>
    <row r="3653" spans="1:21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  <c r="S3653" t="str">
        <f>IF(Table1[[#This Row],[Age]]&lt;=25,"Young",IF(Table1[[#This Row],[Age]]&lt;=50,"Adult","Senior"))</f>
        <v>Young</v>
      </c>
      <c r="T3653" s="1">
        <f>Table1[[#This Row],[Purchase Amount (USD)]]</f>
        <v>32</v>
      </c>
      <c r="U3653">
        <f>IF(Table1[[#This Row],[Subscription Status]]="Yes",1,IF(Table1[[#This Row],[Subscription Status]]="No",0))</f>
        <v>0</v>
      </c>
    </row>
    <row r="3654" spans="1:21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  <c r="S3654" t="str">
        <f>IF(Table1[[#This Row],[Age]]&lt;=25,"Young",IF(Table1[[#This Row],[Age]]&lt;=50,"Adult","Senior"))</f>
        <v>Adult</v>
      </c>
      <c r="T3654" s="1">
        <f>Table1[[#This Row],[Purchase Amount (USD)]]</f>
        <v>29</v>
      </c>
      <c r="U3654">
        <f>IF(Table1[[#This Row],[Subscription Status]]="Yes",1,IF(Table1[[#This Row],[Subscription Status]]="No",0))</f>
        <v>0</v>
      </c>
    </row>
    <row r="3655" spans="1:21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  <c r="S3655" t="str">
        <f>IF(Table1[[#This Row],[Age]]&lt;=25,"Young",IF(Table1[[#This Row],[Age]]&lt;=50,"Adult","Senior"))</f>
        <v>Senior</v>
      </c>
      <c r="T3655" s="1">
        <f>Table1[[#This Row],[Purchase Amount (USD)]]</f>
        <v>20</v>
      </c>
      <c r="U3655">
        <f>IF(Table1[[#This Row],[Subscription Status]]="Yes",1,IF(Table1[[#This Row],[Subscription Status]]="No",0))</f>
        <v>0</v>
      </c>
    </row>
    <row r="3656" spans="1:21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  <c r="S3656" t="str">
        <f>IF(Table1[[#This Row],[Age]]&lt;=25,"Young",IF(Table1[[#This Row],[Age]]&lt;=50,"Adult","Senior"))</f>
        <v>Young</v>
      </c>
      <c r="T3656" s="1">
        <f>Table1[[#This Row],[Purchase Amount (USD)]]</f>
        <v>98</v>
      </c>
      <c r="U3656">
        <f>IF(Table1[[#This Row],[Subscription Status]]="Yes",1,IF(Table1[[#This Row],[Subscription Status]]="No",0))</f>
        <v>0</v>
      </c>
    </row>
    <row r="3657" spans="1:21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  <c r="S3657" t="str">
        <f>IF(Table1[[#This Row],[Age]]&lt;=25,"Young",IF(Table1[[#This Row],[Age]]&lt;=50,"Adult","Senior"))</f>
        <v>Young</v>
      </c>
      <c r="T3657" s="1">
        <f>Table1[[#This Row],[Purchase Amount (USD)]]</f>
        <v>27</v>
      </c>
      <c r="U3657">
        <f>IF(Table1[[#This Row],[Subscription Status]]="Yes",1,IF(Table1[[#This Row],[Subscription Status]]="No",0))</f>
        <v>0</v>
      </c>
    </row>
    <row r="3658" spans="1:21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  <c r="S3658" t="str">
        <f>IF(Table1[[#This Row],[Age]]&lt;=25,"Young",IF(Table1[[#This Row],[Age]]&lt;=50,"Adult","Senior"))</f>
        <v>Adult</v>
      </c>
      <c r="T3658" s="1">
        <f>Table1[[#This Row],[Purchase Amount (USD)]]</f>
        <v>67</v>
      </c>
      <c r="U3658">
        <f>IF(Table1[[#This Row],[Subscription Status]]="Yes",1,IF(Table1[[#This Row],[Subscription Status]]="No",0))</f>
        <v>0</v>
      </c>
    </row>
    <row r="3659" spans="1:21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  <c r="S3659" t="str">
        <f>IF(Table1[[#This Row],[Age]]&lt;=25,"Young",IF(Table1[[#This Row],[Age]]&lt;=50,"Adult","Senior"))</f>
        <v>Senior</v>
      </c>
      <c r="T3659" s="1">
        <f>Table1[[#This Row],[Purchase Amount (USD)]]</f>
        <v>82</v>
      </c>
      <c r="U3659">
        <f>IF(Table1[[#This Row],[Subscription Status]]="Yes",1,IF(Table1[[#This Row],[Subscription Status]]="No",0))</f>
        <v>0</v>
      </c>
    </row>
    <row r="3660" spans="1:21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  <c r="S3660" t="str">
        <f>IF(Table1[[#This Row],[Age]]&lt;=25,"Young",IF(Table1[[#This Row],[Age]]&lt;=50,"Adult","Senior"))</f>
        <v>Adult</v>
      </c>
      <c r="T3660" s="1">
        <f>Table1[[#This Row],[Purchase Amount (USD)]]</f>
        <v>72</v>
      </c>
      <c r="U3660">
        <f>IF(Table1[[#This Row],[Subscription Status]]="Yes",1,IF(Table1[[#This Row],[Subscription Status]]="No",0))</f>
        <v>0</v>
      </c>
    </row>
    <row r="3661" spans="1:21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  <c r="S3661" t="str">
        <f>IF(Table1[[#This Row],[Age]]&lt;=25,"Young",IF(Table1[[#This Row],[Age]]&lt;=50,"Adult","Senior"))</f>
        <v>Adult</v>
      </c>
      <c r="T3661" s="1">
        <f>Table1[[#This Row],[Purchase Amount (USD)]]</f>
        <v>77</v>
      </c>
      <c r="U3661">
        <f>IF(Table1[[#This Row],[Subscription Status]]="Yes",1,IF(Table1[[#This Row],[Subscription Status]]="No",0))</f>
        <v>0</v>
      </c>
    </row>
    <row r="3662" spans="1:21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  <c r="S3662" t="str">
        <f>IF(Table1[[#This Row],[Age]]&lt;=25,"Young",IF(Table1[[#This Row],[Age]]&lt;=50,"Adult","Senior"))</f>
        <v>Young</v>
      </c>
      <c r="T3662" s="1">
        <f>Table1[[#This Row],[Purchase Amount (USD)]]</f>
        <v>74</v>
      </c>
      <c r="U3662">
        <f>IF(Table1[[#This Row],[Subscription Status]]="Yes",1,IF(Table1[[#This Row],[Subscription Status]]="No",0))</f>
        <v>0</v>
      </c>
    </row>
    <row r="3663" spans="1:21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  <c r="S3663" t="str">
        <f>IF(Table1[[#This Row],[Age]]&lt;=25,"Young",IF(Table1[[#This Row],[Age]]&lt;=50,"Adult","Senior"))</f>
        <v>Senior</v>
      </c>
      <c r="T3663" s="1">
        <f>Table1[[#This Row],[Purchase Amount (USD)]]</f>
        <v>39</v>
      </c>
      <c r="U3663">
        <f>IF(Table1[[#This Row],[Subscription Status]]="Yes",1,IF(Table1[[#This Row],[Subscription Status]]="No",0))</f>
        <v>0</v>
      </c>
    </row>
    <row r="3664" spans="1:21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  <c r="S3664" t="str">
        <f>IF(Table1[[#This Row],[Age]]&lt;=25,"Young",IF(Table1[[#This Row],[Age]]&lt;=50,"Adult","Senior"))</f>
        <v>Senior</v>
      </c>
      <c r="T3664" s="1">
        <f>Table1[[#This Row],[Purchase Amount (USD)]]</f>
        <v>80</v>
      </c>
      <c r="U3664">
        <f>IF(Table1[[#This Row],[Subscription Status]]="Yes",1,IF(Table1[[#This Row],[Subscription Status]]="No",0))</f>
        <v>0</v>
      </c>
    </row>
    <row r="3665" spans="1:21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  <c r="S3665" t="str">
        <f>IF(Table1[[#This Row],[Age]]&lt;=25,"Young",IF(Table1[[#This Row],[Age]]&lt;=50,"Adult","Senior"))</f>
        <v>Senior</v>
      </c>
      <c r="T3665" s="1">
        <f>Table1[[#This Row],[Purchase Amount (USD)]]</f>
        <v>59</v>
      </c>
      <c r="U3665">
        <f>IF(Table1[[#This Row],[Subscription Status]]="Yes",1,IF(Table1[[#This Row],[Subscription Status]]="No",0))</f>
        <v>0</v>
      </c>
    </row>
    <row r="3666" spans="1:21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  <c r="S3666" t="str">
        <f>IF(Table1[[#This Row],[Age]]&lt;=25,"Young",IF(Table1[[#This Row],[Age]]&lt;=50,"Adult","Senior"))</f>
        <v>Senior</v>
      </c>
      <c r="T3666" s="1">
        <f>Table1[[#This Row],[Purchase Amount (USD)]]</f>
        <v>68</v>
      </c>
      <c r="U3666">
        <f>IF(Table1[[#This Row],[Subscription Status]]="Yes",1,IF(Table1[[#This Row],[Subscription Status]]="No",0))</f>
        <v>0</v>
      </c>
    </row>
    <row r="3667" spans="1:21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  <c r="S3667" t="str">
        <f>IF(Table1[[#This Row],[Age]]&lt;=25,"Young",IF(Table1[[#This Row],[Age]]&lt;=50,"Adult","Senior"))</f>
        <v>Adult</v>
      </c>
      <c r="T3667" s="1">
        <f>Table1[[#This Row],[Purchase Amount (USD)]]</f>
        <v>77</v>
      </c>
      <c r="U3667">
        <f>IF(Table1[[#This Row],[Subscription Status]]="Yes",1,IF(Table1[[#This Row],[Subscription Status]]="No",0))</f>
        <v>0</v>
      </c>
    </row>
    <row r="3668" spans="1:21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  <c r="S3668" t="str">
        <f>IF(Table1[[#This Row],[Age]]&lt;=25,"Young",IF(Table1[[#This Row],[Age]]&lt;=50,"Adult","Senior"))</f>
        <v>Senior</v>
      </c>
      <c r="T3668" s="1">
        <f>Table1[[#This Row],[Purchase Amount (USD)]]</f>
        <v>50</v>
      </c>
      <c r="U3668">
        <f>IF(Table1[[#This Row],[Subscription Status]]="Yes",1,IF(Table1[[#This Row],[Subscription Status]]="No",0))</f>
        <v>0</v>
      </c>
    </row>
    <row r="3669" spans="1:21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  <c r="S3669" t="str">
        <f>IF(Table1[[#This Row],[Age]]&lt;=25,"Young",IF(Table1[[#This Row],[Age]]&lt;=50,"Adult","Senior"))</f>
        <v>Senior</v>
      </c>
      <c r="T3669" s="1">
        <f>Table1[[#This Row],[Purchase Amount (USD)]]</f>
        <v>45</v>
      </c>
      <c r="U3669">
        <f>IF(Table1[[#This Row],[Subscription Status]]="Yes",1,IF(Table1[[#This Row],[Subscription Status]]="No",0))</f>
        <v>0</v>
      </c>
    </row>
    <row r="3670" spans="1:21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  <c r="S3670" t="str">
        <f>IF(Table1[[#This Row],[Age]]&lt;=25,"Young",IF(Table1[[#This Row],[Age]]&lt;=50,"Adult","Senior"))</f>
        <v>Senior</v>
      </c>
      <c r="T3670" s="1">
        <f>Table1[[#This Row],[Purchase Amount (USD)]]</f>
        <v>71</v>
      </c>
      <c r="U3670">
        <f>IF(Table1[[#This Row],[Subscription Status]]="Yes",1,IF(Table1[[#This Row],[Subscription Status]]="No",0))</f>
        <v>0</v>
      </c>
    </row>
    <row r="3671" spans="1:21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  <c r="S3671" t="str">
        <f>IF(Table1[[#This Row],[Age]]&lt;=25,"Young",IF(Table1[[#This Row],[Age]]&lt;=50,"Adult","Senior"))</f>
        <v>Young</v>
      </c>
      <c r="T3671" s="1">
        <f>Table1[[#This Row],[Purchase Amount (USD)]]</f>
        <v>52</v>
      </c>
      <c r="U3671">
        <f>IF(Table1[[#This Row],[Subscription Status]]="Yes",1,IF(Table1[[#This Row],[Subscription Status]]="No",0))</f>
        <v>0</v>
      </c>
    </row>
    <row r="3672" spans="1:21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  <c r="S3672" t="str">
        <f>IF(Table1[[#This Row],[Age]]&lt;=25,"Young",IF(Table1[[#This Row],[Age]]&lt;=50,"Adult","Senior"))</f>
        <v>Adult</v>
      </c>
      <c r="T3672" s="1">
        <f>Table1[[#This Row],[Purchase Amount (USD)]]</f>
        <v>50</v>
      </c>
      <c r="U3672">
        <f>IF(Table1[[#This Row],[Subscription Status]]="Yes",1,IF(Table1[[#This Row],[Subscription Status]]="No",0))</f>
        <v>0</v>
      </c>
    </row>
    <row r="3673" spans="1:21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  <c r="S3673" t="str">
        <f>IF(Table1[[#This Row],[Age]]&lt;=25,"Young",IF(Table1[[#This Row],[Age]]&lt;=50,"Adult","Senior"))</f>
        <v>Senior</v>
      </c>
      <c r="T3673" s="1">
        <f>Table1[[#This Row],[Purchase Amount (USD)]]</f>
        <v>66</v>
      </c>
      <c r="U3673">
        <f>IF(Table1[[#This Row],[Subscription Status]]="Yes",1,IF(Table1[[#This Row],[Subscription Status]]="No",0))</f>
        <v>0</v>
      </c>
    </row>
    <row r="3674" spans="1:21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  <c r="S3674" t="str">
        <f>IF(Table1[[#This Row],[Age]]&lt;=25,"Young",IF(Table1[[#This Row],[Age]]&lt;=50,"Adult","Senior"))</f>
        <v>Senior</v>
      </c>
      <c r="T3674" s="1">
        <f>Table1[[#This Row],[Purchase Amount (USD)]]</f>
        <v>81</v>
      </c>
      <c r="U3674">
        <f>IF(Table1[[#This Row],[Subscription Status]]="Yes",1,IF(Table1[[#This Row],[Subscription Status]]="No",0))</f>
        <v>0</v>
      </c>
    </row>
    <row r="3675" spans="1:21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  <c r="S3675" t="str">
        <f>IF(Table1[[#This Row],[Age]]&lt;=25,"Young",IF(Table1[[#This Row],[Age]]&lt;=50,"Adult","Senior"))</f>
        <v>Adult</v>
      </c>
      <c r="T3675" s="1">
        <f>Table1[[#This Row],[Purchase Amount (USD)]]</f>
        <v>28</v>
      </c>
      <c r="U3675">
        <f>IF(Table1[[#This Row],[Subscription Status]]="Yes",1,IF(Table1[[#This Row],[Subscription Status]]="No",0))</f>
        <v>0</v>
      </c>
    </row>
    <row r="3676" spans="1:21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  <c r="S3676" t="str">
        <f>IF(Table1[[#This Row],[Age]]&lt;=25,"Young",IF(Table1[[#This Row],[Age]]&lt;=50,"Adult","Senior"))</f>
        <v>Adult</v>
      </c>
      <c r="T3676" s="1">
        <f>Table1[[#This Row],[Purchase Amount (USD)]]</f>
        <v>65</v>
      </c>
      <c r="U3676">
        <f>IF(Table1[[#This Row],[Subscription Status]]="Yes",1,IF(Table1[[#This Row],[Subscription Status]]="No",0))</f>
        <v>0</v>
      </c>
    </row>
    <row r="3677" spans="1:21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  <c r="S3677" t="str">
        <f>IF(Table1[[#This Row],[Age]]&lt;=25,"Young",IF(Table1[[#This Row],[Age]]&lt;=50,"Adult","Senior"))</f>
        <v>Senior</v>
      </c>
      <c r="T3677" s="1">
        <f>Table1[[#This Row],[Purchase Amount (USD)]]</f>
        <v>80</v>
      </c>
      <c r="U3677">
        <f>IF(Table1[[#This Row],[Subscription Status]]="Yes",1,IF(Table1[[#This Row],[Subscription Status]]="No",0))</f>
        <v>0</v>
      </c>
    </row>
    <row r="3678" spans="1:21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  <c r="S3678" t="str">
        <f>IF(Table1[[#This Row],[Age]]&lt;=25,"Young",IF(Table1[[#This Row],[Age]]&lt;=50,"Adult","Senior"))</f>
        <v>Young</v>
      </c>
      <c r="T3678" s="1">
        <f>Table1[[#This Row],[Purchase Amount (USD)]]</f>
        <v>94</v>
      </c>
      <c r="U3678">
        <f>IF(Table1[[#This Row],[Subscription Status]]="Yes",1,IF(Table1[[#This Row],[Subscription Status]]="No",0))</f>
        <v>0</v>
      </c>
    </row>
    <row r="3679" spans="1:21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  <c r="S3679" t="str">
        <f>IF(Table1[[#This Row],[Age]]&lt;=25,"Young",IF(Table1[[#This Row],[Age]]&lt;=50,"Adult","Senior"))</f>
        <v>Adult</v>
      </c>
      <c r="T3679" s="1">
        <f>Table1[[#This Row],[Purchase Amount (USD)]]</f>
        <v>30</v>
      </c>
      <c r="U3679">
        <f>IF(Table1[[#This Row],[Subscription Status]]="Yes",1,IF(Table1[[#This Row],[Subscription Status]]="No",0))</f>
        <v>0</v>
      </c>
    </row>
    <row r="3680" spans="1:21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  <c r="S3680" t="str">
        <f>IF(Table1[[#This Row],[Age]]&lt;=25,"Young",IF(Table1[[#This Row],[Age]]&lt;=50,"Adult","Senior"))</f>
        <v>Senior</v>
      </c>
      <c r="T3680" s="1">
        <f>Table1[[#This Row],[Purchase Amount (USD)]]</f>
        <v>45</v>
      </c>
      <c r="U3680">
        <f>IF(Table1[[#This Row],[Subscription Status]]="Yes",1,IF(Table1[[#This Row],[Subscription Status]]="No",0))</f>
        <v>0</v>
      </c>
    </row>
    <row r="3681" spans="1:21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  <c r="S3681" t="str">
        <f>IF(Table1[[#This Row],[Age]]&lt;=25,"Young",IF(Table1[[#This Row],[Age]]&lt;=50,"Adult","Senior"))</f>
        <v>Senior</v>
      </c>
      <c r="T3681" s="1">
        <f>Table1[[#This Row],[Purchase Amount (USD)]]</f>
        <v>91</v>
      </c>
      <c r="U3681">
        <f>IF(Table1[[#This Row],[Subscription Status]]="Yes",1,IF(Table1[[#This Row],[Subscription Status]]="No",0))</f>
        <v>0</v>
      </c>
    </row>
    <row r="3682" spans="1:21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  <c r="S3682" t="str">
        <f>IF(Table1[[#This Row],[Age]]&lt;=25,"Young",IF(Table1[[#This Row],[Age]]&lt;=50,"Adult","Senior"))</f>
        <v>Young</v>
      </c>
      <c r="T3682" s="1">
        <f>Table1[[#This Row],[Purchase Amount (USD)]]</f>
        <v>36</v>
      </c>
      <c r="U3682">
        <f>IF(Table1[[#This Row],[Subscription Status]]="Yes",1,IF(Table1[[#This Row],[Subscription Status]]="No",0))</f>
        <v>0</v>
      </c>
    </row>
    <row r="3683" spans="1:21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  <c r="S3683" t="str">
        <f>IF(Table1[[#This Row],[Age]]&lt;=25,"Young",IF(Table1[[#This Row],[Age]]&lt;=50,"Adult","Senior"))</f>
        <v>Adult</v>
      </c>
      <c r="T3683" s="1">
        <f>Table1[[#This Row],[Purchase Amount (USD)]]</f>
        <v>73</v>
      </c>
      <c r="U3683">
        <f>IF(Table1[[#This Row],[Subscription Status]]="Yes",1,IF(Table1[[#This Row],[Subscription Status]]="No",0))</f>
        <v>0</v>
      </c>
    </row>
    <row r="3684" spans="1:21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  <c r="S3684" t="str">
        <f>IF(Table1[[#This Row],[Age]]&lt;=25,"Young",IF(Table1[[#This Row],[Age]]&lt;=50,"Adult","Senior"))</f>
        <v>Adult</v>
      </c>
      <c r="T3684" s="1">
        <f>Table1[[#This Row],[Purchase Amount (USD)]]</f>
        <v>60</v>
      </c>
      <c r="U3684">
        <f>IF(Table1[[#This Row],[Subscription Status]]="Yes",1,IF(Table1[[#This Row],[Subscription Status]]="No",0))</f>
        <v>0</v>
      </c>
    </row>
    <row r="3685" spans="1:21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  <c r="S3685" t="str">
        <f>IF(Table1[[#This Row],[Age]]&lt;=25,"Young",IF(Table1[[#This Row],[Age]]&lt;=50,"Adult","Senior"))</f>
        <v>Adult</v>
      </c>
      <c r="T3685" s="1">
        <f>Table1[[#This Row],[Purchase Amount (USD)]]</f>
        <v>77</v>
      </c>
      <c r="U3685">
        <f>IF(Table1[[#This Row],[Subscription Status]]="Yes",1,IF(Table1[[#This Row],[Subscription Status]]="No",0))</f>
        <v>0</v>
      </c>
    </row>
    <row r="3686" spans="1:21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  <c r="S3686" t="str">
        <f>IF(Table1[[#This Row],[Age]]&lt;=25,"Young",IF(Table1[[#This Row],[Age]]&lt;=50,"Adult","Senior"))</f>
        <v>Adult</v>
      </c>
      <c r="T3686" s="1">
        <f>Table1[[#This Row],[Purchase Amount (USD)]]</f>
        <v>86</v>
      </c>
      <c r="U3686">
        <f>IF(Table1[[#This Row],[Subscription Status]]="Yes",1,IF(Table1[[#This Row],[Subscription Status]]="No",0))</f>
        <v>0</v>
      </c>
    </row>
    <row r="3687" spans="1:21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  <c r="S3687" t="str">
        <f>IF(Table1[[#This Row],[Age]]&lt;=25,"Young",IF(Table1[[#This Row],[Age]]&lt;=50,"Adult","Senior"))</f>
        <v>Adult</v>
      </c>
      <c r="T3687" s="1">
        <f>Table1[[#This Row],[Purchase Amount (USD)]]</f>
        <v>42</v>
      </c>
      <c r="U3687">
        <f>IF(Table1[[#This Row],[Subscription Status]]="Yes",1,IF(Table1[[#This Row],[Subscription Status]]="No",0))</f>
        <v>0</v>
      </c>
    </row>
    <row r="3688" spans="1:21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  <c r="S3688" t="str">
        <f>IF(Table1[[#This Row],[Age]]&lt;=25,"Young",IF(Table1[[#This Row],[Age]]&lt;=50,"Adult","Senior"))</f>
        <v>Senior</v>
      </c>
      <c r="T3688" s="1">
        <f>Table1[[#This Row],[Purchase Amount (USD)]]</f>
        <v>70</v>
      </c>
      <c r="U3688">
        <f>IF(Table1[[#This Row],[Subscription Status]]="Yes",1,IF(Table1[[#This Row],[Subscription Status]]="No",0))</f>
        <v>0</v>
      </c>
    </row>
    <row r="3689" spans="1:21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  <c r="S3689" t="str">
        <f>IF(Table1[[#This Row],[Age]]&lt;=25,"Young",IF(Table1[[#This Row],[Age]]&lt;=50,"Adult","Senior"))</f>
        <v>Adult</v>
      </c>
      <c r="T3689" s="1">
        <f>Table1[[#This Row],[Purchase Amount (USD)]]</f>
        <v>44</v>
      </c>
      <c r="U3689">
        <f>IF(Table1[[#This Row],[Subscription Status]]="Yes",1,IF(Table1[[#This Row],[Subscription Status]]="No",0))</f>
        <v>0</v>
      </c>
    </row>
    <row r="3690" spans="1:21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  <c r="S3690" t="str">
        <f>IF(Table1[[#This Row],[Age]]&lt;=25,"Young",IF(Table1[[#This Row],[Age]]&lt;=50,"Adult","Senior"))</f>
        <v>Senior</v>
      </c>
      <c r="T3690" s="1">
        <f>Table1[[#This Row],[Purchase Amount (USD)]]</f>
        <v>91</v>
      </c>
      <c r="U3690">
        <f>IF(Table1[[#This Row],[Subscription Status]]="Yes",1,IF(Table1[[#This Row],[Subscription Status]]="No",0))</f>
        <v>0</v>
      </c>
    </row>
    <row r="3691" spans="1:21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  <c r="S3691" t="str">
        <f>IF(Table1[[#This Row],[Age]]&lt;=25,"Young",IF(Table1[[#This Row],[Age]]&lt;=50,"Adult","Senior"))</f>
        <v>Adult</v>
      </c>
      <c r="T3691" s="1">
        <f>Table1[[#This Row],[Purchase Amount (USD)]]</f>
        <v>30</v>
      </c>
      <c r="U3691">
        <f>IF(Table1[[#This Row],[Subscription Status]]="Yes",1,IF(Table1[[#This Row],[Subscription Status]]="No",0))</f>
        <v>0</v>
      </c>
    </row>
    <row r="3692" spans="1:21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  <c r="S3692" t="str">
        <f>IF(Table1[[#This Row],[Age]]&lt;=25,"Young",IF(Table1[[#This Row],[Age]]&lt;=50,"Adult","Senior"))</f>
        <v>Young</v>
      </c>
      <c r="T3692" s="1">
        <f>Table1[[#This Row],[Purchase Amount (USD)]]</f>
        <v>23</v>
      </c>
      <c r="U3692">
        <f>IF(Table1[[#This Row],[Subscription Status]]="Yes",1,IF(Table1[[#This Row],[Subscription Status]]="No",0))</f>
        <v>0</v>
      </c>
    </row>
    <row r="3693" spans="1:21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  <c r="S3693" t="str">
        <f>IF(Table1[[#This Row],[Age]]&lt;=25,"Young",IF(Table1[[#This Row],[Age]]&lt;=50,"Adult","Senior"))</f>
        <v>Senior</v>
      </c>
      <c r="T3693" s="1">
        <f>Table1[[#This Row],[Purchase Amount (USD)]]</f>
        <v>21</v>
      </c>
      <c r="U3693">
        <f>IF(Table1[[#This Row],[Subscription Status]]="Yes",1,IF(Table1[[#This Row],[Subscription Status]]="No",0))</f>
        <v>0</v>
      </c>
    </row>
    <row r="3694" spans="1:21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  <c r="S3694" t="str">
        <f>IF(Table1[[#This Row],[Age]]&lt;=25,"Young",IF(Table1[[#This Row],[Age]]&lt;=50,"Adult","Senior"))</f>
        <v>Senior</v>
      </c>
      <c r="T3694" s="1">
        <f>Table1[[#This Row],[Purchase Amount (USD)]]</f>
        <v>34</v>
      </c>
      <c r="U3694">
        <f>IF(Table1[[#This Row],[Subscription Status]]="Yes",1,IF(Table1[[#This Row],[Subscription Status]]="No",0))</f>
        <v>0</v>
      </c>
    </row>
    <row r="3695" spans="1:21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  <c r="S3695" t="str">
        <f>IF(Table1[[#This Row],[Age]]&lt;=25,"Young",IF(Table1[[#This Row],[Age]]&lt;=50,"Adult","Senior"))</f>
        <v>Senior</v>
      </c>
      <c r="T3695" s="1">
        <f>Table1[[#This Row],[Purchase Amount (USD)]]</f>
        <v>46</v>
      </c>
      <c r="U3695">
        <f>IF(Table1[[#This Row],[Subscription Status]]="Yes",1,IF(Table1[[#This Row],[Subscription Status]]="No",0))</f>
        <v>0</v>
      </c>
    </row>
    <row r="3696" spans="1:21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  <c r="S3696" t="str">
        <f>IF(Table1[[#This Row],[Age]]&lt;=25,"Young",IF(Table1[[#This Row],[Age]]&lt;=50,"Adult","Senior"))</f>
        <v>Adult</v>
      </c>
      <c r="T3696" s="1">
        <f>Table1[[#This Row],[Purchase Amount (USD)]]</f>
        <v>41</v>
      </c>
      <c r="U3696">
        <f>IF(Table1[[#This Row],[Subscription Status]]="Yes",1,IF(Table1[[#This Row],[Subscription Status]]="No",0))</f>
        <v>0</v>
      </c>
    </row>
    <row r="3697" spans="1:21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  <c r="S3697" t="str">
        <f>IF(Table1[[#This Row],[Age]]&lt;=25,"Young",IF(Table1[[#This Row],[Age]]&lt;=50,"Adult","Senior"))</f>
        <v>Adult</v>
      </c>
      <c r="T3697" s="1">
        <f>Table1[[#This Row],[Purchase Amount (USD)]]</f>
        <v>33</v>
      </c>
      <c r="U3697">
        <f>IF(Table1[[#This Row],[Subscription Status]]="Yes",1,IF(Table1[[#This Row],[Subscription Status]]="No",0))</f>
        <v>0</v>
      </c>
    </row>
    <row r="3698" spans="1:21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  <c r="S3698" t="str">
        <f>IF(Table1[[#This Row],[Age]]&lt;=25,"Young",IF(Table1[[#This Row],[Age]]&lt;=50,"Adult","Senior"))</f>
        <v>Senior</v>
      </c>
      <c r="T3698" s="1">
        <f>Table1[[#This Row],[Purchase Amount (USD)]]</f>
        <v>48</v>
      </c>
      <c r="U3698">
        <f>IF(Table1[[#This Row],[Subscription Status]]="Yes",1,IF(Table1[[#This Row],[Subscription Status]]="No",0))</f>
        <v>0</v>
      </c>
    </row>
    <row r="3699" spans="1:21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  <c r="S3699" t="str">
        <f>IF(Table1[[#This Row],[Age]]&lt;=25,"Young",IF(Table1[[#This Row],[Age]]&lt;=50,"Adult","Senior"))</f>
        <v>Senior</v>
      </c>
      <c r="T3699" s="1">
        <f>Table1[[#This Row],[Purchase Amount (USD)]]</f>
        <v>66</v>
      </c>
      <c r="U3699">
        <f>IF(Table1[[#This Row],[Subscription Status]]="Yes",1,IF(Table1[[#This Row],[Subscription Status]]="No",0))</f>
        <v>0</v>
      </c>
    </row>
    <row r="3700" spans="1:21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  <c r="S3700" t="str">
        <f>IF(Table1[[#This Row],[Age]]&lt;=25,"Young",IF(Table1[[#This Row],[Age]]&lt;=50,"Adult","Senior"))</f>
        <v>Young</v>
      </c>
      <c r="T3700" s="1">
        <f>Table1[[#This Row],[Purchase Amount (USD)]]</f>
        <v>54</v>
      </c>
      <c r="U3700">
        <f>IF(Table1[[#This Row],[Subscription Status]]="Yes",1,IF(Table1[[#This Row],[Subscription Status]]="No",0))</f>
        <v>0</v>
      </c>
    </row>
    <row r="3701" spans="1:21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  <c r="S3701" t="str">
        <f>IF(Table1[[#This Row],[Age]]&lt;=25,"Young",IF(Table1[[#This Row],[Age]]&lt;=50,"Adult","Senior"))</f>
        <v>Senior</v>
      </c>
      <c r="T3701" s="1">
        <f>Table1[[#This Row],[Purchase Amount (USD)]]</f>
        <v>55</v>
      </c>
      <c r="U3701">
        <f>IF(Table1[[#This Row],[Subscription Status]]="Yes",1,IF(Table1[[#This Row],[Subscription Status]]="No",0))</f>
        <v>0</v>
      </c>
    </row>
    <row r="3702" spans="1:21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  <c r="S3702" t="str">
        <f>IF(Table1[[#This Row],[Age]]&lt;=25,"Young",IF(Table1[[#This Row],[Age]]&lt;=50,"Adult","Senior"))</f>
        <v>Adult</v>
      </c>
      <c r="T3702" s="1">
        <f>Table1[[#This Row],[Purchase Amount (USD)]]</f>
        <v>84</v>
      </c>
      <c r="U3702">
        <f>IF(Table1[[#This Row],[Subscription Status]]="Yes",1,IF(Table1[[#This Row],[Subscription Status]]="No",0))</f>
        <v>0</v>
      </c>
    </row>
    <row r="3703" spans="1:21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  <c r="S3703" t="str">
        <f>IF(Table1[[#This Row],[Age]]&lt;=25,"Young",IF(Table1[[#This Row],[Age]]&lt;=50,"Adult","Senior"))</f>
        <v>Adult</v>
      </c>
      <c r="T3703" s="1">
        <f>Table1[[#This Row],[Purchase Amount (USD)]]</f>
        <v>66</v>
      </c>
      <c r="U3703">
        <f>IF(Table1[[#This Row],[Subscription Status]]="Yes",1,IF(Table1[[#This Row],[Subscription Status]]="No",0))</f>
        <v>0</v>
      </c>
    </row>
    <row r="3704" spans="1:21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  <c r="S3704" t="str">
        <f>IF(Table1[[#This Row],[Age]]&lt;=25,"Young",IF(Table1[[#This Row],[Age]]&lt;=50,"Adult","Senior"))</f>
        <v>Senior</v>
      </c>
      <c r="T3704" s="1">
        <f>Table1[[#This Row],[Purchase Amount (USD)]]</f>
        <v>65</v>
      </c>
      <c r="U3704">
        <f>IF(Table1[[#This Row],[Subscription Status]]="Yes",1,IF(Table1[[#This Row],[Subscription Status]]="No",0))</f>
        <v>0</v>
      </c>
    </row>
    <row r="3705" spans="1:21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  <c r="S3705" t="str">
        <f>IF(Table1[[#This Row],[Age]]&lt;=25,"Young",IF(Table1[[#This Row],[Age]]&lt;=50,"Adult","Senior"))</f>
        <v>Adult</v>
      </c>
      <c r="T3705" s="1">
        <f>Table1[[#This Row],[Purchase Amount (USD)]]</f>
        <v>83</v>
      </c>
      <c r="U3705">
        <f>IF(Table1[[#This Row],[Subscription Status]]="Yes",1,IF(Table1[[#This Row],[Subscription Status]]="No",0))</f>
        <v>0</v>
      </c>
    </row>
    <row r="3706" spans="1:21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  <c r="S3706" t="str">
        <f>IF(Table1[[#This Row],[Age]]&lt;=25,"Young",IF(Table1[[#This Row],[Age]]&lt;=50,"Adult","Senior"))</f>
        <v>Senior</v>
      </c>
      <c r="T3706" s="1">
        <f>Table1[[#This Row],[Purchase Amount (USD)]]</f>
        <v>61</v>
      </c>
      <c r="U3706">
        <f>IF(Table1[[#This Row],[Subscription Status]]="Yes",1,IF(Table1[[#This Row],[Subscription Status]]="No",0))</f>
        <v>0</v>
      </c>
    </row>
    <row r="3707" spans="1:21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  <c r="S3707" t="str">
        <f>IF(Table1[[#This Row],[Age]]&lt;=25,"Young",IF(Table1[[#This Row],[Age]]&lt;=50,"Adult","Senior"))</f>
        <v>Adult</v>
      </c>
      <c r="T3707" s="1">
        <f>Table1[[#This Row],[Purchase Amount (USD)]]</f>
        <v>65</v>
      </c>
      <c r="U3707">
        <f>IF(Table1[[#This Row],[Subscription Status]]="Yes",1,IF(Table1[[#This Row],[Subscription Status]]="No",0))</f>
        <v>0</v>
      </c>
    </row>
    <row r="3708" spans="1:21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  <c r="S3708" t="str">
        <f>IF(Table1[[#This Row],[Age]]&lt;=25,"Young",IF(Table1[[#This Row],[Age]]&lt;=50,"Adult","Senior"))</f>
        <v>Adult</v>
      </c>
      <c r="T3708" s="1">
        <f>Table1[[#This Row],[Purchase Amount (USD)]]</f>
        <v>55</v>
      </c>
      <c r="U3708">
        <f>IF(Table1[[#This Row],[Subscription Status]]="Yes",1,IF(Table1[[#This Row],[Subscription Status]]="No",0))</f>
        <v>0</v>
      </c>
    </row>
    <row r="3709" spans="1:21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  <c r="S3709" t="str">
        <f>IF(Table1[[#This Row],[Age]]&lt;=25,"Young",IF(Table1[[#This Row],[Age]]&lt;=50,"Adult","Senior"))</f>
        <v>Adult</v>
      </c>
      <c r="T3709" s="1">
        <f>Table1[[#This Row],[Purchase Amount (USD)]]</f>
        <v>79</v>
      </c>
      <c r="U3709">
        <f>IF(Table1[[#This Row],[Subscription Status]]="Yes",1,IF(Table1[[#This Row],[Subscription Status]]="No",0))</f>
        <v>0</v>
      </c>
    </row>
    <row r="3710" spans="1:21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  <c r="S3710" t="str">
        <f>IF(Table1[[#This Row],[Age]]&lt;=25,"Young",IF(Table1[[#This Row],[Age]]&lt;=50,"Adult","Senior"))</f>
        <v>Adult</v>
      </c>
      <c r="T3710" s="1">
        <f>Table1[[#This Row],[Purchase Amount (USD)]]</f>
        <v>96</v>
      </c>
      <c r="U3710">
        <f>IF(Table1[[#This Row],[Subscription Status]]="Yes",1,IF(Table1[[#This Row],[Subscription Status]]="No",0))</f>
        <v>0</v>
      </c>
    </row>
    <row r="3711" spans="1:21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  <c r="S3711" t="str">
        <f>IF(Table1[[#This Row],[Age]]&lt;=25,"Young",IF(Table1[[#This Row],[Age]]&lt;=50,"Adult","Senior"))</f>
        <v>Adult</v>
      </c>
      <c r="T3711" s="1">
        <f>Table1[[#This Row],[Purchase Amount (USD)]]</f>
        <v>43</v>
      </c>
      <c r="U3711">
        <f>IF(Table1[[#This Row],[Subscription Status]]="Yes",1,IF(Table1[[#This Row],[Subscription Status]]="No",0))</f>
        <v>0</v>
      </c>
    </row>
    <row r="3712" spans="1:21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  <c r="S3712" t="str">
        <f>IF(Table1[[#This Row],[Age]]&lt;=25,"Young",IF(Table1[[#This Row],[Age]]&lt;=50,"Adult","Senior"))</f>
        <v>Senior</v>
      </c>
      <c r="T3712" s="1">
        <f>Table1[[#This Row],[Purchase Amount (USD)]]</f>
        <v>40</v>
      </c>
      <c r="U3712">
        <f>IF(Table1[[#This Row],[Subscription Status]]="Yes",1,IF(Table1[[#This Row],[Subscription Status]]="No",0))</f>
        <v>0</v>
      </c>
    </row>
    <row r="3713" spans="1:21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  <c r="S3713" t="str">
        <f>IF(Table1[[#This Row],[Age]]&lt;=25,"Young",IF(Table1[[#This Row],[Age]]&lt;=50,"Adult","Senior"))</f>
        <v>Senior</v>
      </c>
      <c r="T3713" s="1">
        <f>Table1[[#This Row],[Purchase Amount (USD)]]</f>
        <v>62</v>
      </c>
      <c r="U3713">
        <f>IF(Table1[[#This Row],[Subscription Status]]="Yes",1,IF(Table1[[#This Row],[Subscription Status]]="No",0))</f>
        <v>0</v>
      </c>
    </row>
    <row r="3714" spans="1:21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  <c r="S3714" t="str">
        <f>IF(Table1[[#This Row],[Age]]&lt;=25,"Young",IF(Table1[[#This Row],[Age]]&lt;=50,"Adult","Senior"))</f>
        <v>Senior</v>
      </c>
      <c r="T3714" s="1">
        <f>Table1[[#This Row],[Purchase Amount (USD)]]</f>
        <v>72</v>
      </c>
      <c r="U3714">
        <f>IF(Table1[[#This Row],[Subscription Status]]="Yes",1,IF(Table1[[#This Row],[Subscription Status]]="No",0))</f>
        <v>0</v>
      </c>
    </row>
    <row r="3715" spans="1:21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  <c r="S3715" t="str">
        <f>IF(Table1[[#This Row],[Age]]&lt;=25,"Young",IF(Table1[[#This Row],[Age]]&lt;=50,"Adult","Senior"))</f>
        <v>Adult</v>
      </c>
      <c r="T3715" s="1">
        <f>Table1[[#This Row],[Purchase Amount (USD)]]</f>
        <v>87</v>
      </c>
      <c r="U3715">
        <f>IF(Table1[[#This Row],[Subscription Status]]="Yes",1,IF(Table1[[#This Row],[Subscription Status]]="No",0))</f>
        <v>0</v>
      </c>
    </row>
    <row r="3716" spans="1:21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  <c r="S3716" t="str">
        <f>IF(Table1[[#This Row],[Age]]&lt;=25,"Young",IF(Table1[[#This Row],[Age]]&lt;=50,"Adult","Senior"))</f>
        <v>Young</v>
      </c>
      <c r="T3716" s="1">
        <f>Table1[[#This Row],[Purchase Amount (USD)]]</f>
        <v>31</v>
      </c>
      <c r="U3716">
        <f>IF(Table1[[#This Row],[Subscription Status]]="Yes",1,IF(Table1[[#This Row],[Subscription Status]]="No",0))</f>
        <v>0</v>
      </c>
    </row>
    <row r="3717" spans="1:21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  <c r="S3717" t="str">
        <f>IF(Table1[[#This Row],[Age]]&lt;=25,"Young",IF(Table1[[#This Row],[Age]]&lt;=50,"Adult","Senior"))</f>
        <v>Senior</v>
      </c>
      <c r="T3717" s="1">
        <f>Table1[[#This Row],[Purchase Amount (USD)]]</f>
        <v>34</v>
      </c>
      <c r="U3717">
        <f>IF(Table1[[#This Row],[Subscription Status]]="Yes",1,IF(Table1[[#This Row],[Subscription Status]]="No",0))</f>
        <v>0</v>
      </c>
    </row>
    <row r="3718" spans="1:21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  <c r="S3718" t="str">
        <f>IF(Table1[[#This Row],[Age]]&lt;=25,"Young",IF(Table1[[#This Row],[Age]]&lt;=50,"Adult","Senior"))</f>
        <v>Senior</v>
      </c>
      <c r="T3718" s="1">
        <f>Table1[[#This Row],[Purchase Amount (USD)]]</f>
        <v>53</v>
      </c>
      <c r="U3718">
        <f>IF(Table1[[#This Row],[Subscription Status]]="Yes",1,IF(Table1[[#This Row],[Subscription Status]]="No",0))</f>
        <v>0</v>
      </c>
    </row>
    <row r="3719" spans="1:21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  <c r="S3719" t="str">
        <f>IF(Table1[[#This Row],[Age]]&lt;=25,"Young",IF(Table1[[#This Row],[Age]]&lt;=50,"Adult","Senior"))</f>
        <v>Adult</v>
      </c>
      <c r="T3719" s="1">
        <f>Table1[[#This Row],[Purchase Amount (USD)]]</f>
        <v>85</v>
      </c>
      <c r="U3719">
        <f>IF(Table1[[#This Row],[Subscription Status]]="Yes",1,IF(Table1[[#This Row],[Subscription Status]]="No",0))</f>
        <v>0</v>
      </c>
    </row>
    <row r="3720" spans="1:21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  <c r="S3720" t="str">
        <f>IF(Table1[[#This Row],[Age]]&lt;=25,"Young",IF(Table1[[#This Row],[Age]]&lt;=50,"Adult","Senior"))</f>
        <v>Adult</v>
      </c>
      <c r="T3720" s="1">
        <f>Table1[[#This Row],[Purchase Amount (USD)]]</f>
        <v>50</v>
      </c>
      <c r="U3720">
        <f>IF(Table1[[#This Row],[Subscription Status]]="Yes",1,IF(Table1[[#This Row],[Subscription Status]]="No",0))</f>
        <v>0</v>
      </c>
    </row>
    <row r="3721" spans="1:21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  <c r="S3721" t="str">
        <f>IF(Table1[[#This Row],[Age]]&lt;=25,"Young",IF(Table1[[#This Row],[Age]]&lt;=50,"Adult","Senior"))</f>
        <v>Young</v>
      </c>
      <c r="T3721" s="1">
        <f>Table1[[#This Row],[Purchase Amount (USD)]]</f>
        <v>91</v>
      </c>
      <c r="U3721">
        <f>IF(Table1[[#This Row],[Subscription Status]]="Yes",1,IF(Table1[[#This Row],[Subscription Status]]="No",0))</f>
        <v>0</v>
      </c>
    </row>
    <row r="3722" spans="1:21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  <c r="S3722" t="str">
        <f>IF(Table1[[#This Row],[Age]]&lt;=25,"Young",IF(Table1[[#This Row],[Age]]&lt;=50,"Adult","Senior"))</f>
        <v>Young</v>
      </c>
      <c r="T3722" s="1">
        <f>Table1[[#This Row],[Purchase Amount (USD)]]</f>
        <v>56</v>
      </c>
      <c r="U3722">
        <f>IF(Table1[[#This Row],[Subscription Status]]="Yes",1,IF(Table1[[#This Row],[Subscription Status]]="No",0))</f>
        <v>0</v>
      </c>
    </row>
    <row r="3723" spans="1:21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  <c r="S3723" t="str">
        <f>IF(Table1[[#This Row],[Age]]&lt;=25,"Young",IF(Table1[[#This Row],[Age]]&lt;=50,"Adult","Senior"))</f>
        <v>Senior</v>
      </c>
      <c r="T3723" s="1">
        <f>Table1[[#This Row],[Purchase Amount (USD)]]</f>
        <v>60</v>
      </c>
      <c r="U3723">
        <f>IF(Table1[[#This Row],[Subscription Status]]="Yes",1,IF(Table1[[#This Row],[Subscription Status]]="No",0))</f>
        <v>0</v>
      </c>
    </row>
    <row r="3724" spans="1:21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  <c r="S3724" t="str">
        <f>IF(Table1[[#This Row],[Age]]&lt;=25,"Young",IF(Table1[[#This Row],[Age]]&lt;=50,"Adult","Senior"))</f>
        <v>Young</v>
      </c>
      <c r="T3724" s="1">
        <f>Table1[[#This Row],[Purchase Amount (USD)]]</f>
        <v>34</v>
      </c>
      <c r="U3724">
        <f>IF(Table1[[#This Row],[Subscription Status]]="Yes",1,IF(Table1[[#This Row],[Subscription Status]]="No",0))</f>
        <v>0</v>
      </c>
    </row>
    <row r="3725" spans="1:21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  <c r="S3725" t="str">
        <f>IF(Table1[[#This Row],[Age]]&lt;=25,"Young",IF(Table1[[#This Row],[Age]]&lt;=50,"Adult","Senior"))</f>
        <v>Adult</v>
      </c>
      <c r="T3725" s="1">
        <f>Table1[[#This Row],[Purchase Amount (USD)]]</f>
        <v>30</v>
      </c>
      <c r="U3725">
        <f>IF(Table1[[#This Row],[Subscription Status]]="Yes",1,IF(Table1[[#This Row],[Subscription Status]]="No",0))</f>
        <v>0</v>
      </c>
    </row>
    <row r="3726" spans="1:21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  <c r="S3726" t="str">
        <f>IF(Table1[[#This Row],[Age]]&lt;=25,"Young",IF(Table1[[#This Row],[Age]]&lt;=50,"Adult","Senior"))</f>
        <v>Adult</v>
      </c>
      <c r="T3726" s="1">
        <f>Table1[[#This Row],[Purchase Amount (USD)]]</f>
        <v>71</v>
      </c>
      <c r="U3726">
        <f>IF(Table1[[#This Row],[Subscription Status]]="Yes",1,IF(Table1[[#This Row],[Subscription Status]]="No",0))</f>
        <v>0</v>
      </c>
    </row>
    <row r="3727" spans="1:21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  <c r="S3727" t="str">
        <f>IF(Table1[[#This Row],[Age]]&lt;=25,"Young",IF(Table1[[#This Row],[Age]]&lt;=50,"Adult","Senior"))</f>
        <v>Young</v>
      </c>
      <c r="T3727" s="1">
        <f>Table1[[#This Row],[Purchase Amount (USD)]]</f>
        <v>100</v>
      </c>
      <c r="U3727">
        <f>IF(Table1[[#This Row],[Subscription Status]]="Yes",1,IF(Table1[[#This Row],[Subscription Status]]="No",0))</f>
        <v>0</v>
      </c>
    </row>
    <row r="3728" spans="1:21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  <c r="S3728" t="str">
        <f>IF(Table1[[#This Row],[Age]]&lt;=25,"Young",IF(Table1[[#This Row],[Age]]&lt;=50,"Adult","Senior"))</f>
        <v>Adult</v>
      </c>
      <c r="T3728" s="1">
        <f>Table1[[#This Row],[Purchase Amount (USD)]]</f>
        <v>85</v>
      </c>
      <c r="U3728">
        <f>IF(Table1[[#This Row],[Subscription Status]]="Yes",1,IF(Table1[[#This Row],[Subscription Status]]="No",0))</f>
        <v>0</v>
      </c>
    </row>
    <row r="3729" spans="1:21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  <c r="S3729" t="str">
        <f>IF(Table1[[#This Row],[Age]]&lt;=25,"Young",IF(Table1[[#This Row],[Age]]&lt;=50,"Adult","Senior"))</f>
        <v>Adult</v>
      </c>
      <c r="T3729" s="1">
        <f>Table1[[#This Row],[Purchase Amount (USD)]]</f>
        <v>83</v>
      </c>
      <c r="U3729">
        <f>IF(Table1[[#This Row],[Subscription Status]]="Yes",1,IF(Table1[[#This Row],[Subscription Status]]="No",0))</f>
        <v>0</v>
      </c>
    </row>
    <row r="3730" spans="1:21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  <c r="S3730" t="str">
        <f>IF(Table1[[#This Row],[Age]]&lt;=25,"Young",IF(Table1[[#This Row],[Age]]&lt;=50,"Adult","Senior"))</f>
        <v>Senior</v>
      </c>
      <c r="T3730" s="1">
        <f>Table1[[#This Row],[Purchase Amount (USD)]]</f>
        <v>31</v>
      </c>
      <c r="U3730">
        <f>IF(Table1[[#This Row],[Subscription Status]]="Yes",1,IF(Table1[[#This Row],[Subscription Status]]="No",0))</f>
        <v>0</v>
      </c>
    </row>
    <row r="3731" spans="1:21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  <c r="S3731" t="str">
        <f>IF(Table1[[#This Row],[Age]]&lt;=25,"Young",IF(Table1[[#This Row],[Age]]&lt;=50,"Adult","Senior"))</f>
        <v>Adult</v>
      </c>
      <c r="T3731" s="1">
        <f>Table1[[#This Row],[Purchase Amount (USD)]]</f>
        <v>82</v>
      </c>
      <c r="U3731">
        <f>IF(Table1[[#This Row],[Subscription Status]]="Yes",1,IF(Table1[[#This Row],[Subscription Status]]="No",0))</f>
        <v>0</v>
      </c>
    </row>
    <row r="3732" spans="1:21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  <c r="S3732" t="str">
        <f>IF(Table1[[#This Row],[Age]]&lt;=25,"Young",IF(Table1[[#This Row],[Age]]&lt;=50,"Adult","Senior"))</f>
        <v>Adult</v>
      </c>
      <c r="T3732" s="1">
        <f>Table1[[#This Row],[Purchase Amount (USD)]]</f>
        <v>79</v>
      </c>
      <c r="U3732">
        <f>IF(Table1[[#This Row],[Subscription Status]]="Yes",1,IF(Table1[[#This Row],[Subscription Status]]="No",0))</f>
        <v>0</v>
      </c>
    </row>
    <row r="3733" spans="1:21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  <c r="S3733" t="str">
        <f>IF(Table1[[#This Row],[Age]]&lt;=25,"Young",IF(Table1[[#This Row],[Age]]&lt;=50,"Adult","Senior"))</f>
        <v>Senior</v>
      </c>
      <c r="T3733" s="1">
        <f>Table1[[#This Row],[Purchase Amount (USD)]]</f>
        <v>62</v>
      </c>
      <c r="U3733">
        <f>IF(Table1[[#This Row],[Subscription Status]]="Yes",1,IF(Table1[[#This Row],[Subscription Status]]="No",0))</f>
        <v>0</v>
      </c>
    </row>
    <row r="3734" spans="1:21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  <c r="S3734" t="str">
        <f>IF(Table1[[#This Row],[Age]]&lt;=25,"Young",IF(Table1[[#This Row],[Age]]&lt;=50,"Adult","Senior"))</f>
        <v>Adult</v>
      </c>
      <c r="T3734" s="1">
        <f>Table1[[#This Row],[Purchase Amount (USD)]]</f>
        <v>92</v>
      </c>
      <c r="U3734">
        <f>IF(Table1[[#This Row],[Subscription Status]]="Yes",1,IF(Table1[[#This Row],[Subscription Status]]="No",0))</f>
        <v>0</v>
      </c>
    </row>
    <row r="3735" spans="1:21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  <c r="S3735" t="str">
        <f>IF(Table1[[#This Row],[Age]]&lt;=25,"Young",IF(Table1[[#This Row],[Age]]&lt;=50,"Adult","Senior"))</f>
        <v>Young</v>
      </c>
      <c r="T3735" s="1">
        <f>Table1[[#This Row],[Purchase Amount (USD)]]</f>
        <v>58</v>
      </c>
      <c r="U3735">
        <f>IF(Table1[[#This Row],[Subscription Status]]="Yes",1,IF(Table1[[#This Row],[Subscription Status]]="No",0))</f>
        <v>0</v>
      </c>
    </row>
    <row r="3736" spans="1:21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  <c r="S3736" t="str">
        <f>IF(Table1[[#This Row],[Age]]&lt;=25,"Young",IF(Table1[[#This Row],[Age]]&lt;=50,"Adult","Senior"))</f>
        <v>Adult</v>
      </c>
      <c r="T3736" s="1">
        <f>Table1[[#This Row],[Purchase Amount (USD)]]</f>
        <v>88</v>
      </c>
      <c r="U3736">
        <f>IF(Table1[[#This Row],[Subscription Status]]="Yes",1,IF(Table1[[#This Row],[Subscription Status]]="No",0))</f>
        <v>0</v>
      </c>
    </row>
    <row r="3737" spans="1:21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  <c r="S3737" t="str">
        <f>IF(Table1[[#This Row],[Age]]&lt;=25,"Young",IF(Table1[[#This Row],[Age]]&lt;=50,"Adult","Senior"))</f>
        <v>Adult</v>
      </c>
      <c r="T3737" s="1">
        <f>Table1[[#This Row],[Purchase Amount (USD)]]</f>
        <v>44</v>
      </c>
      <c r="U3737">
        <f>IF(Table1[[#This Row],[Subscription Status]]="Yes",1,IF(Table1[[#This Row],[Subscription Status]]="No",0))</f>
        <v>0</v>
      </c>
    </row>
    <row r="3738" spans="1:21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  <c r="S3738" t="str">
        <f>IF(Table1[[#This Row],[Age]]&lt;=25,"Young",IF(Table1[[#This Row],[Age]]&lt;=50,"Adult","Senior"))</f>
        <v>Adult</v>
      </c>
      <c r="T3738" s="1">
        <f>Table1[[#This Row],[Purchase Amount (USD)]]</f>
        <v>56</v>
      </c>
      <c r="U3738">
        <f>IF(Table1[[#This Row],[Subscription Status]]="Yes",1,IF(Table1[[#This Row],[Subscription Status]]="No",0))</f>
        <v>0</v>
      </c>
    </row>
    <row r="3739" spans="1:21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  <c r="S3739" t="str">
        <f>IF(Table1[[#This Row],[Age]]&lt;=25,"Young",IF(Table1[[#This Row],[Age]]&lt;=50,"Adult","Senior"))</f>
        <v>Young</v>
      </c>
      <c r="T3739" s="1">
        <f>Table1[[#This Row],[Purchase Amount (USD)]]</f>
        <v>23</v>
      </c>
      <c r="U3739">
        <f>IF(Table1[[#This Row],[Subscription Status]]="Yes",1,IF(Table1[[#This Row],[Subscription Status]]="No",0))</f>
        <v>0</v>
      </c>
    </row>
    <row r="3740" spans="1:21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  <c r="S3740" t="str">
        <f>IF(Table1[[#This Row],[Age]]&lt;=25,"Young",IF(Table1[[#This Row],[Age]]&lt;=50,"Adult","Senior"))</f>
        <v>Adult</v>
      </c>
      <c r="T3740" s="1">
        <f>Table1[[#This Row],[Purchase Amount (USD)]]</f>
        <v>45</v>
      </c>
      <c r="U3740">
        <f>IF(Table1[[#This Row],[Subscription Status]]="Yes",1,IF(Table1[[#This Row],[Subscription Status]]="No",0))</f>
        <v>0</v>
      </c>
    </row>
    <row r="3741" spans="1:21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  <c r="S3741" t="str">
        <f>IF(Table1[[#This Row],[Age]]&lt;=25,"Young",IF(Table1[[#This Row],[Age]]&lt;=50,"Adult","Senior"))</f>
        <v>Adult</v>
      </c>
      <c r="T3741" s="1">
        <f>Table1[[#This Row],[Purchase Amount (USD)]]</f>
        <v>31</v>
      </c>
      <c r="U3741">
        <f>IF(Table1[[#This Row],[Subscription Status]]="Yes",1,IF(Table1[[#This Row],[Subscription Status]]="No",0))</f>
        <v>0</v>
      </c>
    </row>
    <row r="3742" spans="1:21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  <c r="S3742" t="str">
        <f>IF(Table1[[#This Row],[Age]]&lt;=25,"Young",IF(Table1[[#This Row],[Age]]&lt;=50,"Adult","Senior"))</f>
        <v>Adult</v>
      </c>
      <c r="T3742" s="1">
        <f>Table1[[#This Row],[Purchase Amount (USD)]]</f>
        <v>96</v>
      </c>
      <c r="U3742">
        <f>IF(Table1[[#This Row],[Subscription Status]]="Yes",1,IF(Table1[[#This Row],[Subscription Status]]="No",0))</f>
        <v>0</v>
      </c>
    </row>
    <row r="3743" spans="1:21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  <c r="S3743" t="str">
        <f>IF(Table1[[#This Row],[Age]]&lt;=25,"Young",IF(Table1[[#This Row],[Age]]&lt;=50,"Adult","Senior"))</f>
        <v>Senior</v>
      </c>
      <c r="T3743" s="1">
        <f>Table1[[#This Row],[Purchase Amount (USD)]]</f>
        <v>96</v>
      </c>
      <c r="U3743">
        <f>IF(Table1[[#This Row],[Subscription Status]]="Yes",1,IF(Table1[[#This Row],[Subscription Status]]="No",0))</f>
        <v>0</v>
      </c>
    </row>
    <row r="3744" spans="1:21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  <c r="S3744" t="str">
        <f>IF(Table1[[#This Row],[Age]]&lt;=25,"Young",IF(Table1[[#This Row],[Age]]&lt;=50,"Adult","Senior"))</f>
        <v>Senior</v>
      </c>
      <c r="T3744" s="1">
        <f>Table1[[#This Row],[Purchase Amount (USD)]]</f>
        <v>80</v>
      </c>
      <c r="U3744">
        <f>IF(Table1[[#This Row],[Subscription Status]]="Yes",1,IF(Table1[[#This Row],[Subscription Status]]="No",0))</f>
        <v>0</v>
      </c>
    </row>
    <row r="3745" spans="1:21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  <c r="S3745" t="str">
        <f>IF(Table1[[#This Row],[Age]]&lt;=25,"Young",IF(Table1[[#This Row],[Age]]&lt;=50,"Adult","Senior"))</f>
        <v>Senior</v>
      </c>
      <c r="T3745" s="1">
        <f>Table1[[#This Row],[Purchase Amount (USD)]]</f>
        <v>28</v>
      </c>
      <c r="U3745">
        <f>IF(Table1[[#This Row],[Subscription Status]]="Yes",1,IF(Table1[[#This Row],[Subscription Status]]="No",0))</f>
        <v>0</v>
      </c>
    </row>
    <row r="3746" spans="1:21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  <c r="S3746" t="str">
        <f>IF(Table1[[#This Row],[Age]]&lt;=25,"Young",IF(Table1[[#This Row],[Age]]&lt;=50,"Adult","Senior"))</f>
        <v>Young</v>
      </c>
      <c r="T3746" s="1">
        <f>Table1[[#This Row],[Purchase Amount (USD)]]</f>
        <v>51</v>
      </c>
      <c r="U3746">
        <f>IF(Table1[[#This Row],[Subscription Status]]="Yes",1,IF(Table1[[#This Row],[Subscription Status]]="No",0))</f>
        <v>0</v>
      </c>
    </row>
    <row r="3747" spans="1:21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  <c r="S3747" t="str">
        <f>IF(Table1[[#This Row],[Age]]&lt;=25,"Young",IF(Table1[[#This Row],[Age]]&lt;=50,"Adult","Senior"))</f>
        <v>Senior</v>
      </c>
      <c r="T3747" s="1">
        <f>Table1[[#This Row],[Purchase Amount (USD)]]</f>
        <v>41</v>
      </c>
      <c r="U3747">
        <f>IF(Table1[[#This Row],[Subscription Status]]="Yes",1,IF(Table1[[#This Row],[Subscription Status]]="No",0))</f>
        <v>0</v>
      </c>
    </row>
    <row r="3748" spans="1:21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  <c r="S3748" t="str">
        <f>IF(Table1[[#This Row],[Age]]&lt;=25,"Young",IF(Table1[[#This Row],[Age]]&lt;=50,"Adult","Senior"))</f>
        <v>Senior</v>
      </c>
      <c r="T3748" s="1">
        <f>Table1[[#This Row],[Purchase Amount (USD)]]</f>
        <v>99</v>
      </c>
      <c r="U3748">
        <f>IF(Table1[[#This Row],[Subscription Status]]="Yes",1,IF(Table1[[#This Row],[Subscription Status]]="No",0))</f>
        <v>0</v>
      </c>
    </row>
    <row r="3749" spans="1:21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  <c r="S3749" t="str">
        <f>IF(Table1[[#This Row],[Age]]&lt;=25,"Young",IF(Table1[[#This Row],[Age]]&lt;=50,"Adult","Senior"))</f>
        <v>Adult</v>
      </c>
      <c r="T3749" s="1">
        <f>Table1[[#This Row],[Purchase Amount (USD)]]</f>
        <v>53</v>
      </c>
      <c r="U3749">
        <f>IF(Table1[[#This Row],[Subscription Status]]="Yes",1,IF(Table1[[#This Row],[Subscription Status]]="No",0))</f>
        <v>0</v>
      </c>
    </row>
    <row r="3750" spans="1:21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  <c r="S3750" t="str">
        <f>IF(Table1[[#This Row],[Age]]&lt;=25,"Young",IF(Table1[[#This Row],[Age]]&lt;=50,"Adult","Senior"))</f>
        <v>Adult</v>
      </c>
      <c r="T3750" s="1">
        <f>Table1[[#This Row],[Purchase Amount (USD)]]</f>
        <v>25</v>
      </c>
      <c r="U3750">
        <f>IF(Table1[[#This Row],[Subscription Status]]="Yes",1,IF(Table1[[#This Row],[Subscription Status]]="No",0))</f>
        <v>0</v>
      </c>
    </row>
    <row r="3751" spans="1:21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  <c r="S3751" t="str">
        <f>IF(Table1[[#This Row],[Age]]&lt;=25,"Young",IF(Table1[[#This Row],[Age]]&lt;=50,"Adult","Senior"))</f>
        <v>Young</v>
      </c>
      <c r="T3751" s="1">
        <f>Table1[[#This Row],[Purchase Amount (USD)]]</f>
        <v>95</v>
      </c>
      <c r="U3751">
        <f>IF(Table1[[#This Row],[Subscription Status]]="Yes",1,IF(Table1[[#This Row],[Subscription Status]]="No",0))</f>
        <v>0</v>
      </c>
    </row>
    <row r="3752" spans="1:21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  <c r="S3752" t="str">
        <f>IF(Table1[[#This Row],[Age]]&lt;=25,"Young",IF(Table1[[#This Row],[Age]]&lt;=50,"Adult","Senior"))</f>
        <v>Adult</v>
      </c>
      <c r="T3752" s="1">
        <f>Table1[[#This Row],[Purchase Amount (USD)]]</f>
        <v>88</v>
      </c>
      <c r="U3752">
        <f>IF(Table1[[#This Row],[Subscription Status]]="Yes",1,IF(Table1[[#This Row],[Subscription Status]]="No",0))</f>
        <v>0</v>
      </c>
    </row>
    <row r="3753" spans="1:21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  <c r="S3753" t="str">
        <f>IF(Table1[[#This Row],[Age]]&lt;=25,"Young",IF(Table1[[#This Row],[Age]]&lt;=50,"Adult","Senior"))</f>
        <v>Adult</v>
      </c>
      <c r="T3753" s="1">
        <f>Table1[[#This Row],[Purchase Amount (USD)]]</f>
        <v>97</v>
      </c>
      <c r="U3753">
        <f>IF(Table1[[#This Row],[Subscription Status]]="Yes",1,IF(Table1[[#This Row],[Subscription Status]]="No",0))</f>
        <v>0</v>
      </c>
    </row>
    <row r="3754" spans="1:21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  <c r="S3754" t="str">
        <f>IF(Table1[[#This Row],[Age]]&lt;=25,"Young",IF(Table1[[#This Row],[Age]]&lt;=50,"Adult","Senior"))</f>
        <v>Young</v>
      </c>
      <c r="T3754" s="1">
        <f>Table1[[#This Row],[Purchase Amount (USD)]]</f>
        <v>81</v>
      </c>
      <c r="U3754">
        <f>IF(Table1[[#This Row],[Subscription Status]]="Yes",1,IF(Table1[[#This Row],[Subscription Status]]="No",0))</f>
        <v>0</v>
      </c>
    </row>
    <row r="3755" spans="1:21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  <c r="S3755" t="str">
        <f>IF(Table1[[#This Row],[Age]]&lt;=25,"Young",IF(Table1[[#This Row],[Age]]&lt;=50,"Adult","Senior"))</f>
        <v>Adult</v>
      </c>
      <c r="T3755" s="1">
        <f>Table1[[#This Row],[Purchase Amount (USD)]]</f>
        <v>26</v>
      </c>
      <c r="U3755">
        <f>IF(Table1[[#This Row],[Subscription Status]]="Yes",1,IF(Table1[[#This Row],[Subscription Status]]="No",0))</f>
        <v>0</v>
      </c>
    </row>
    <row r="3756" spans="1:21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  <c r="S3756" t="str">
        <f>IF(Table1[[#This Row],[Age]]&lt;=25,"Young",IF(Table1[[#This Row],[Age]]&lt;=50,"Adult","Senior"))</f>
        <v>Adult</v>
      </c>
      <c r="T3756" s="1">
        <f>Table1[[#This Row],[Purchase Amount (USD)]]</f>
        <v>41</v>
      </c>
      <c r="U3756">
        <f>IF(Table1[[#This Row],[Subscription Status]]="Yes",1,IF(Table1[[#This Row],[Subscription Status]]="No",0))</f>
        <v>0</v>
      </c>
    </row>
    <row r="3757" spans="1:21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  <c r="S3757" t="str">
        <f>IF(Table1[[#This Row],[Age]]&lt;=25,"Young",IF(Table1[[#This Row],[Age]]&lt;=50,"Adult","Senior"))</f>
        <v>Senior</v>
      </c>
      <c r="T3757" s="1">
        <f>Table1[[#This Row],[Purchase Amount (USD)]]</f>
        <v>93</v>
      </c>
      <c r="U3757">
        <f>IF(Table1[[#This Row],[Subscription Status]]="Yes",1,IF(Table1[[#This Row],[Subscription Status]]="No",0))</f>
        <v>0</v>
      </c>
    </row>
    <row r="3758" spans="1:21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  <c r="S3758" t="str">
        <f>IF(Table1[[#This Row],[Age]]&lt;=25,"Young",IF(Table1[[#This Row],[Age]]&lt;=50,"Adult","Senior"))</f>
        <v>Senior</v>
      </c>
      <c r="T3758" s="1">
        <f>Table1[[#This Row],[Purchase Amount (USD)]]</f>
        <v>69</v>
      </c>
      <c r="U3758">
        <f>IF(Table1[[#This Row],[Subscription Status]]="Yes",1,IF(Table1[[#This Row],[Subscription Status]]="No",0))</f>
        <v>0</v>
      </c>
    </row>
    <row r="3759" spans="1:21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  <c r="S3759" t="str">
        <f>IF(Table1[[#This Row],[Age]]&lt;=25,"Young",IF(Table1[[#This Row],[Age]]&lt;=50,"Adult","Senior"))</f>
        <v>Senior</v>
      </c>
      <c r="T3759" s="1">
        <f>Table1[[#This Row],[Purchase Amount (USD)]]</f>
        <v>44</v>
      </c>
      <c r="U3759">
        <f>IF(Table1[[#This Row],[Subscription Status]]="Yes",1,IF(Table1[[#This Row],[Subscription Status]]="No",0))</f>
        <v>0</v>
      </c>
    </row>
    <row r="3760" spans="1:21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  <c r="S3760" t="str">
        <f>IF(Table1[[#This Row],[Age]]&lt;=25,"Young",IF(Table1[[#This Row],[Age]]&lt;=50,"Adult","Senior"))</f>
        <v>Senior</v>
      </c>
      <c r="T3760" s="1">
        <f>Table1[[#This Row],[Purchase Amount (USD)]]</f>
        <v>54</v>
      </c>
      <c r="U3760">
        <f>IF(Table1[[#This Row],[Subscription Status]]="Yes",1,IF(Table1[[#This Row],[Subscription Status]]="No",0))</f>
        <v>0</v>
      </c>
    </row>
    <row r="3761" spans="1:21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  <c r="S3761" t="str">
        <f>IF(Table1[[#This Row],[Age]]&lt;=25,"Young",IF(Table1[[#This Row],[Age]]&lt;=50,"Adult","Senior"))</f>
        <v>Adult</v>
      </c>
      <c r="T3761" s="1">
        <f>Table1[[#This Row],[Purchase Amount (USD)]]</f>
        <v>61</v>
      </c>
      <c r="U3761">
        <f>IF(Table1[[#This Row],[Subscription Status]]="Yes",1,IF(Table1[[#This Row],[Subscription Status]]="No",0))</f>
        <v>0</v>
      </c>
    </row>
    <row r="3762" spans="1:21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  <c r="S3762" t="str">
        <f>IF(Table1[[#This Row],[Age]]&lt;=25,"Young",IF(Table1[[#This Row],[Age]]&lt;=50,"Adult","Senior"))</f>
        <v>Senior</v>
      </c>
      <c r="T3762" s="1">
        <f>Table1[[#This Row],[Purchase Amount (USD)]]</f>
        <v>80</v>
      </c>
      <c r="U3762">
        <f>IF(Table1[[#This Row],[Subscription Status]]="Yes",1,IF(Table1[[#This Row],[Subscription Status]]="No",0))</f>
        <v>0</v>
      </c>
    </row>
    <row r="3763" spans="1:21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  <c r="S3763" t="str">
        <f>IF(Table1[[#This Row],[Age]]&lt;=25,"Young",IF(Table1[[#This Row],[Age]]&lt;=50,"Adult","Senior"))</f>
        <v>Senior</v>
      </c>
      <c r="T3763" s="1">
        <f>Table1[[#This Row],[Purchase Amount (USD)]]</f>
        <v>30</v>
      </c>
      <c r="U3763">
        <f>IF(Table1[[#This Row],[Subscription Status]]="Yes",1,IF(Table1[[#This Row],[Subscription Status]]="No",0))</f>
        <v>0</v>
      </c>
    </row>
    <row r="3764" spans="1:21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  <c r="S3764" t="str">
        <f>IF(Table1[[#This Row],[Age]]&lt;=25,"Young",IF(Table1[[#This Row],[Age]]&lt;=50,"Adult","Senior"))</f>
        <v>Senior</v>
      </c>
      <c r="T3764" s="1">
        <f>Table1[[#This Row],[Purchase Amount (USD)]]</f>
        <v>94</v>
      </c>
      <c r="U3764">
        <f>IF(Table1[[#This Row],[Subscription Status]]="Yes",1,IF(Table1[[#This Row],[Subscription Status]]="No",0))</f>
        <v>0</v>
      </c>
    </row>
    <row r="3765" spans="1:21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  <c r="S3765" t="str">
        <f>IF(Table1[[#This Row],[Age]]&lt;=25,"Young",IF(Table1[[#This Row],[Age]]&lt;=50,"Adult","Senior"))</f>
        <v>Adult</v>
      </c>
      <c r="T3765" s="1">
        <f>Table1[[#This Row],[Purchase Amount (USD)]]</f>
        <v>24</v>
      </c>
      <c r="U3765">
        <f>IF(Table1[[#This Row],[Subscription Status]]="Yes",1,IF(Table1[[#This Row],[Subscription Status]]="No",0))</f>
        <v>0</v>
      </c>
    </row>
    <row r="3766" spans="1:21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  <c r="S3766" t="str">
        <f>IF(Table1[[#This Row],[Age]]&lt;=25,"Young",IF(Table1[[#This Row],[Age]]&lt;=50,"Adult","Senior"))</f>
        <v>Adult</v>
      </c>
      <c r="T3766" s="1">
        <f>Table1[[#This Row],[Purchase Amount (USD)]]</f>
        <v>21</v>
      </c>
      <c r="U3766">
        <f>IF(Table1[[#This Row],[Subscription Status]]="Yes",1,IF(Table1[[#This Row],[Subscription Status]]="No",0))</f>
        <v>0</v>
      </c>
    </row>
    <row r="3767" spans="1:21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  <c r="S3767" t="str">
        <f>IF(Table1[[#This Row],[Age]]&lt;=25,"Young",IF(Table1[[#This Row],[Age]]&lt;=50,"Adult","Senior"))</f>
        <v>Young</v>
      </c>
      <c r="T3767" s="1">
        <f>Table1[[#This Row],[Purchase Amount (USD)]]</f>
        <v>52</v>
      </c>
      <c r="U3767">
        <f>IF(Table1[[#This Row],[Subscription Status]]="Yes",1,IF(Table1[[#This Row],[Subscription Status]]="No",0))</f>
        <v>0</v>
      </c>
    </row>
    <row r="3768" spans="1:21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  <c r="S3768" t="str">
        <f>IF(Table1[[#This Row],[Age]]&lt;=25,"Young",IF(Table1[[#This Row],[Age]]&lt;=50,"Adult","Senior"))</f>
        <v>Senior</v>
      </c>
      <c r="T3768" s="1">
        <f>Table1[[#This Row],[Purchase Amount (USD)]]</f>
        <v>59</v>
      </c>
      <c r="U3768">
        <f>IF(Table1[[#This Row],[Subscription Status]]="Yes",1,IF(Table1[[#This Row],[Subscription Status]]="No",0))</f>
        <v>0</v>
      </c>
    </row>
    <row r="3769" spans="1:21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  <c r="S3769" t="str">
        <f>IF(Table1[[#This Row],[Age]]&lt;=25,"Young",IF(Table1[[#This Row],[Age]]&lt;=50,"Adult","Senior"))</f>
        <v>Senior</v>
      </c>
      <c r="T3769" s="1">
        <f>Table1[[#This Row],[Purchase Amount (USD)]]</f>
        <v>51</v>
      </c>
      <c r="U3769">
        <f>IF(Table1[[#This Row],[Subscription Status]]="Yes",1,IF(Table1[[#This Row],[Subscription Status]]="No",0))</f>
        <v>0</v>
      </c>
    </row>
    <row r="3770" spans="1:21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  <c r="S3770" t="str">
        <f>IF(Table1[[#This Row],[Age]]&lt;=25,"Young",IF(Table1[[#This Row],[Age]]&lt;=50,"Adult","Senior"))</f>
        <v>Adult</v>
      </c>
      <c r="T3770" s="1">
        <f>Table1[[#This Row],[Purchase Amount (USD)]]</f>
        <v>35</v>
      </c>
      <c r="U3770">
        <f>IF(Table1[[#This Row],[Subscription Status]]="Yes",1,IF(Table1[[#This Row],[Subscription Status]]="No",0))</f>
        <v>0</v>
      </c>
    </row>
    <row r="3771" spans="1:21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  <c r="S3771" t="str">
        <f>IF(Table1[[#This Row],[Age]]&lt;=25,"Young",IF(Table1[[#This Row],[Age]]&lt;=50,"Adult","Senior"))</f>
        <v>Senior</v>
      </c>
      <c r="T3771" s="1">
        <f>Table1[[#This Row],[Purchase Amount (USD)]]</f>
        <v>87</v>
      </c>
      <c r="U3771">
        <f>IF(Table1[[#This Row],[Subscription Status]]="Yes",1,IF(Table1[[#This Row],[Subscription Status]]="No",0))</f>
        <v>0</v>
      </c>
    </row>
    <row r="3772" spans="1:21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  <c r="S3772" t="str">
        <f>IF(Table1[[#This Row],[Age]]&lt;=25,"Young",IF(Table1[[#This Row],[Age]]&lt;=50,"Adult","Senior"))</f>
        <v>Young</v>
      </c>
      <c r="T3772" s="1">
        <f>Table1[[#This Row],[Purchase Amount (USD)]]</f>
        <v>42</v>
      </c>
      <c r="U3772">
        <f>IF(Table1[[#This Row],[Subscription Status]]="Yes",1,IF(Table1[[#This Row],[Subscription Status]]="No",0))</f>
        <v>0</v>
      </c>
    </row>
    <row r="3773" spans="1:21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  <c r="S3773" t="str">
        <f>IF(Table1[[#This Row],[Age]]&lt;=25,"Young",IF(Table1[[#This Row],[Age]]&lt;=50,"Adult","Senior"))</f>
        <v>Young</v>
      </c>
      <c r="T3773" s="1">
        <f>Table1[[#This Row],[Purchase Amount (USD)]]</f>
        <v>86</v>
      </c>
      <c r="U3773">
        <f>IF(Table1[[#This Row],[Subscription Status]]="Yes",1,IF(Table1[[#This Row],[Subscription Status]]="No",0))</f>
        <v>0</v>
      </c>
    </row>
    <row r="3774" spans="1:21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  <c r="S3774" t="str">
        <f>IF(Table1[[#This Row],[Age]]&lt;=25,"Young",IF(Table1[[#This Row],[Age]]&lt;=50,"Adult","Senior"))</f>
        <v>Adult</v>
      </c>
      <c r="T3774" s="1">
        <f>Table1[[#This Row],[Purchase Amount (USD)]]</f>
        <v>26</v>
      </c>
      <c r="U3774">
        <f>IF(Table1[[#This Row],[Subscription Status]]="Yes",1,IF(Table1[[#This Row],[Subscription Status]]="No",0))</f>
        <v>0</v>
      </c>
    </row>
    <row r="3775" spans="1:21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  <c r="S3775" t="str">
        <f>IF(Table1[[#This Row],[Age]]&lt;=25,"Young",IF(Table1[[#This Row],[Age]]&lt;=50,"Adult","Senior"))</f>
        <v>Young</v>
      </c>
      <c r="T3775" s="1">
        <f>Table1[[#This Row],[Purchase Amount (USD)]]</f>
        <v>60</v>
      </c>
      <c r="U3775">
        <f>IF(Table1[[#This Row],[Subscription Status]]="Yes",1,IF(Table1[[#This Row],[Subscription Status]]="No",0))</f>
        <v>0</v>
      </c>
    </row>
    <row r="3776" spans="1:21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  <c r="S3776" t="str">
        <f>IF(Table1[[#This Row],[Age]]&lt;=25,"Young",IF(Table1[[#This Row],[Age]]&lt;=50,"Adult","Senior"))</f>
        <v>Senior</v>
      </c>
      <c r="T3776" s="1">
        <f>Table1[[#This Row],[Purchase Amount (USD)]]</f>
        <v>83</v>
      </c>
      <c r="U3776">
        <f>IF(Table1[[#This Row],[Subscription Status]]="Yes",1,IF(Table1[[#This Row],[Subscription Status]]="No",0))</f>
        <v>0</v>
      </c>
    </row>
    <row r="3777" spans="1:21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  <c r="S3777" t="str">
        <f>IF(Table1[[#This Row],[Age]]&lt;=25,"Young",IF(Table1[[#This Row],[Age]]&lt;=50,"Adult","Senior"))</f>
        <v>Adult</v>
      </c>
      <c r="T3777" s="1">
        <f>Table1[[#This Row],[Purchase Amount (USD)]]</f>
        <v>63</v>
      </c>
      <c r="U3777">
        <f>IF(Table1[[#This Row],[Subscription Status]]="Yes",1,IF(Table1[[#This Row],[Subscription Status]]="No",0))</f>
        <v>0</v>
      </c>
    </row>
    <row r="3778" spans="1:21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  <c r="S3778" t="str">
        <f>IF(Table1[[#This Row],[Age]]&lt;=25,"Young",IF(Table1[[#This Row],[Age]]&lt;=50,"Adult","Senior"))</f>
        <v>Young</v>
      </c>
      <c r="T3778" s="1">
        <f>Table1[[#This Row],[Purchase Amount (USD)]]</f>
        <v>25</v>
      </c>
      <c r="U3778">
        <f>IF(Table1[[#This Row],[Subscription Status]]="Yes",1,IF(Table1[[#This Row],[Subscription Status]]="No",0))</f>
        <v>0</v>
      </c>
    </row>
    <row r="3779" spans="1:21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  <c r="S3779" t="str">
        <f>IF(Table1[[#This Row],[Age]]&lt;=25,"Young",IF(Table1[[#This Row],[Age]]&lt;=50,"Adult","Senior"))</f>
        <v>Adult</v>
      </c>
      <c r="T3779" s="1">
        <f>Table1[[#This Row],[Purchase Amount (USD)]]</f>
        <v>65</v>
      </c>
      <c r="U3779">
        <f>IF(Table1[[#This Row],[Subscription Status]]="Yes",1,IF(Table1[[#This Row],[Subscription Status]]="No",0))</f>
        <v>0</v>
      </c>
    </row>
    <row r="3780" spans="1:21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  <c r="S3780" t="str">
        <f>IF(Table1[[#This Row],[Age]]&lt;=25,"Young",IF(Table1[[#This Row],[Age]]&lt;=50,"Adult","Senior"))</f>
        <v>Young</v>
      </c>
      <c r="T3780" s="1">
        <f>Table1[[#This Row],[Purchase Amount (USD)]]</f>
        <v>60</v>
      </c>
      <c r="U3780">
        <f>IF(Table1[[#This Row],[Subscription Status]]="Yes",1,IF(Table1[[#This Row],[Subscription Status]]="No",0))</f>
        <v>0</v>
      </c>
    </row>
    <row r="3781" spans="1:21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  <c r="S3781" t="str">
        <f>IF(Table1[[#This Row],[Age]]&lt;=25,"Young",IF(Table1[[#This Row],[Age]]&lt;=50,"Adult","Senior"))</f>
        <v>Senior</v>
      </c>
      <c r="T3781" s="1">
        <f>Table1[[#This Row],[Purchase Amount (USD)]]</f>
        <v>75</v>
      </c>
      <c r="U3781">
        <f>IF(Table1[[#This Row],[Subscription Status]]="Yes",1,IF(Table1[[#This Row],[Subscription Status]]="No",0))</f>
        <v>0</v>
      </c>
    </row>
    <row r="3782" spans="1:21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  <c r="S3782" t="str">
        <f>IF(Table1[[#This Row],[Age]]&lt;=25,"Young",IF(Table1[[#This Row],[Age]]&lt;=50,"Adult","Senior"))</f>
        <v>Senior</v>
      </c>
      <c r="T3782" s="1">
        <f>Table1[[#This Row],[Purchase Amount (USD)]]</f>
        <v>57</v>
      </c>
      <c r="U3782">
        <f>IF(Table1[[#This Row],[Subscription Status]]="Yes",1,IF(Table1[[#This Row],[Subscription Status]]="No",0))</f>
        <v>0</v>
      </c>
    </row>
    <row r="3783" spans="1:21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  <c r="S3783" t="str">
        <f>IF(Table1[[#This Row],[Age]]&lt;=25,"Young",IF(Table1[[#This Row],[Age]]&lt;=50,"Adult","Senior"))</f>
        <v>Senior</v>
      </c>
      <c r="T3783" s="1">
        <f>Table1[[#This Row],[Purchase Amount (USD)]]</f>
        <v>99</v>
      </c>
      <c r="U3783">
        <f>IF(Table1[[#This Row],[Subscription Status]]="Yes",1,IF(Table1[[#This Row],[Subscription Status]]="No",0))</f>
        <v>0</v>
      </c>
    </row>
    <row r="3784" spans="1:21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  <c r="S3784" t="str">
        <f>IF(Table1[[#This Row],[Age]]&lt;=25,"Young",IF(Table1[[#This Row],[Age]]&lt;=50,"Adult","Senior"))</f>
        <v>Adult</v>
      </c>
      <c r="T3784" s="1">
        <f>Table1[[#This Row],[Purchase Amount (USD)]]</f>
        <v>45</v>
      </c>
      <c r="U3784">
        <f>IF(Table1[[#This Row],[Subscription Status]]="Yes",1,IF(Table1[[#This Row],[Subscription Status]]="No",0))</f>
        <v>0</v>
      </c>
    </row>
    <row r="3785" spans="1:21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  <c r="S3785" t="str">
        <f>IF(Table1[[#This Row],[Age]]&lt;=25,"Young",IF(Table1[[#This Row],[Age]]&lt;=50,"Adult","Senior"))</f>
        <v>Adult</v>
      </c>
      <c r="T3785" s="1">
        <f>Table1[[#This Row],[Purchase Amount (USD)]]</f>
        <v>66</v>
      </c>
      <c r="U3785">
        <f>IF(Table1[[#This Row],[Subscription Status]]="Yes",1,IF(Table1[[#This Row],[Subscription Status]]="No",0))</f>
        <v>0</v>
      </c>
    </row>
    <row r="3786" spans="1:21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  <c r="S3786" t="str">
        <f>IF(Table1[[#This Row],[Age]]&lt;=25,"Young",IF(Table1[[#This Row],[Age]]&lt;=50,"Adult","Senior"))</f>
        <v>Senior</v>
      </c>
      <c r="T3786" s="1">
        <f>Table1[[#This Row],[Purchase Amount (USD)]]</f>
        <v>53</v>
      </c>
      <c r="U3786">
        <f>IF(Table1[[#This Row],[Subscription Status]]="Yes",1,IF(Table1[[#This Row],[Subscription Status]]="No",0))</f>
        <v>0</v>
      </c>
    </row>
    <row r="3787" spans="1:21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  <c r="S3787" t="str">
        <f>IF(Table1[[#This Row],[Age]]&lt;=25,"Young",IF(Table1[[#This Row],[Age]]&lt;=50,"Adult","Senior"))</f>
        <v>Senior</v>
      </c>
      <c r="T3787" s="1">
        <f>Table1[[#This Row],[Purchase Amount (USD)]]</f>
        <v>94</v>
      </c>
      <c r="U3787">
        <f>IF(Table1[[#This Row],[Subscription Status]]="Yes",1,IF(Table1[[#This Row],[Subscription Status]]="No",0))</f>
        <v>0</v>
      </c>
    </row>
    <row r="3788" spans="1:21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  <c r="S3788" t="str">
        <f>IF(Table1[[#This Row],[Age]]&lt;=25,"Young",IF(Table1[[#This Row],[Age]]&lt;=50,"Adult","Senior"))</f>
        <v>Adult</v>
      </c>
      <c r="T3788" s="1">
        <f>Table1[[#This Row],[Purchase Amount (USD)]]</f>
        <v>47</v>
      </c>
      <c r="U3788">
        <f>IF(Table1[[#This Row],[Subscription Status]]="Yes",1,IF(Table1[[#This Row],[Subscription Status]]="No",0))</f>
        <v>0</v>
      </c>
    </row>
    <row r="3789" spans="1:21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  <c r="S3789" t="str">
        <f>IF(Table1[[#This Row],[Age]]&lt;=25,"Young",IF(Table1[[#This Row],[Age]]&lt;=50,"Adult","Senior"))</f>
        <v>Adult</v>
      </c>
      <c r="T3789" s="1">
        <f>Table1[[#This Row],[Purchase Amount (USD)]]</f>
        <v>80</v>
      </c>
      <c r="U3789">
        <f>IF(Table1[[#This Row],[Subscription Status]]="Yes",1,IF(Table1[[#This Row],[Subscription Status]]="No",0))</f>
        <v>0</v>
      </c>
    </row>
    <row r="3790" spans="1:21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  <c r="S3790" t="str">
        <f>IF(Table1[[#This Row],[Age]]&lt;=25,"Young",IF(Table1[[#This Row],[Age]]&lt;=50,"Adult","Senior"))</f>
        <v>Adult</v>
      </c>
      <c r="T3790" s="1">
        <f>Table1[[#This Row],[Purchase Amount (USD)]]</f>
        <v>65</v>
      </c>
      <c r="U3790">
        <f>IF(Table1[[#This Row],[Subscription Status]]="Yes",1,IF(Table1[[#This Row],[Subscription Status]]="No",0))</f>
        <v>0</v>
      </c>
    </row>
    <row r="3791" spans="1:21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  <c r="S3791" t="str">
        <f>IF(Table1[[#This Row],[Age]]&lt;=25,"Young",IF(Table1[[#This Row],[Age]]&lt;=50,"Adult","Senior"))</f>
        <v>Senior</v>
      </c>
      <c r="T3791" s="1">
        <f>Table1[[#This Row],[Purchase Amount (USD)]]</f>
        <v>75</v>
      </c>
      <c r="U3791">
        <f>IF(Table1[[#This Row],[Subscription Status]]="Yes",1,IF(Table1[[#This Row],[Subscription Status]]="No",0))</f>
        <v>0</v>
      </c>
    </row>
    <row r="3792" spans="1:21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  <c r="S3792" t="str">
        <f>IF(Table1[[#This Row],[Age]]&lt;=25,"Young",IF(Table1[[#This Row],[Age]]&lt;=50,"Adult","Senior"))</f>
        <v>Adult</v>
      </c>
      <c r="T3792" s="1">
        <f>Table1[[#This Row],[Purchase Amount (USD)]]</f>
        <v>45</v>
      </c>
      <c r="U3792">
        <f>IF(Table1[[#This Row],[Subscription Status]]="Yes",1,IF(Table1[[#This Row],[Subscription Status]]="No",0))</f>
        <v>0</v>
      </c>
    </row>
    <row r="3793" spans="1:21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  <c r="S3793" t="str">
        <f>IF(Table1[[#This Row],[Age]]&lt;=25,"Young",IF(Table1[[#This Row],[Age]]&lt;=50,"Adult","Senior"))</f>
        <v>Adult</v>
      </c>
      <c r="T3793" s="1">
        <f>Table1[[#This Row],[Purchase Amount (USD)]]</f>
        <v>51</v>
      </c>
      <c r="U3793">
        <f>IF(Table1[[#This Row],[Subscription Status]]="Yes",1,IF(Table1[[#This Row],[Subscription Status]]="No",0))</f>
        <v>0</v>
      </c>
    </row>
    <row r="3794" spans="1:21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  <c r="S3794" t="str">
        <f>IF(Table1[[#This Row],[Age]]&lt;=25,"Young",IF(Table1[[#This Row],[Age]]&lt;=50,"Adult","Senior"))</f>
        <v>Adult</v>
      </c>
      <c r="T3794" s="1">
        <f>Table1[[#This Row],[Purchase Amount (USD)]]</f>
        <v>58</v>
      </c>
      <c r="U3794">
        <f>IF(Table1[[#This Row],[Subscription Status]]="Yes",1,IF(Table1[[#This Row],[Subscription Status]]="No",0))</f>
        <v>0</v>
      </c>
    </row>
    <row r="3795" spans="1:21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  <c r="S3795" t="str">
        <f>IF(Table1[[#This Row],[Age]]&lt;=25,"Young",IF(Table1[[#This Row],[Age]]&lt;=50,"Adult","Senior"))</f>
        <v>Senior</v>
      </c>
      <c r="T3795" s="1">
        <f>Table1[[#This Row],[Purchase Amount (USD)]]</f>
        <v>20</v>
      </c>
      <c r="U3795">
        <f>IF(Table1[[#This Row],[Subscription Status]]="Yes",1,IF(Table1[[#This Row],[Subscription Status]]="No",0))</f>
        <v>0</v>
      </c>
    </row>
    <row r="3796" spans="1:21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  <c r="S3796" t="str">
        <f>IF(Table1[[#This Row],[Age]]&lt;=25,"Young",IF(Table1[[#This Row],[Age]]&lt;=50,"Adult","Senior"))</f>
        <v>Adult</v>
      </c>
      <c r="T3796" s="1">
        <f>Table1[[#This Row],[Purchase Amount (USD)]]</f>
        <v>82</v>
      </c>
      <c r="U3796">
        <f>IF(Table1[[#This Row],[Subscription Status]]="Yes",1,IF(Table1[[#This Row],[Subscription Status]]="No",0))</f>
        <v>0</v>
      </c>
    </row>
    <row r="3797" spans="1:21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  <c r="S3797" t="str">
        <f>IF(Table1[[#This Row],[Age]]&lt;=25,"Young",IF(Table1[[#This Row],[Age]]&lt;=50,"Adult","Senior"))</f>
        <v>Adult</v>
      </c>
      <c r="T3797" s="1">
        <f>Table1[[#This Row],[Purchase Amount (USD)]]</f>
        <v>92</v>
      </c>
      <c r="U3797">
        <f>IF(Table1[[#This Row],[Subscription Status]]="Yes",1,IF(Table1[[#This Row],[Subscription Status]]="No",0))</f>
        <v>0</v>
      </c>
    </row>
    <row r="3798" spans="1:21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  <c r="S3798" t="str">
        <f>IF(Table1[[#This Row],[Age]]&lt;=25,"Young",IF(Table1[[#This Row],[Age]]&lt;=50,"Adult","Senior"))</f>
        <v>Adult</v>
      </c>
      <c r="T3798" s="1">
        <f>Table1[[#This Row],[Purchase Amount (USD)]]</f>
        <v>81</v>
      </c>
      <c r="U3798">
        <f>IF(Table1[[#This Row],[Subscription Status]]="Yes",1,IF(Table1[[#This Row],[Subscription Status]]="No",0))</f>
        <v>0</v>
      </c>
    </row>
    <row r="3799" spans="1:21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  <c r="S3799" t="str">
        <f>IF(Table1[[#This Row],[Age]]&lt;=25,"Young",IF(Table1[[#This Row],[Age]]&lt;=50,"Adult","Senior"))</f>
        <v>Senior</v>
      </c>
      <c r="T3799" s="1">
        <f>Table1[[#This Row],[Purchase Amount (USD)]]</f>
        <v>44</v>
      </c>
      <c r="U3799">
        <f>IF(Table1[[#This Row],[Subscription Status]]="Yes",1,IF(Table1[[#This Row],[Subscription Status]]="No",0))</f>
        <v>0</v>
      </c>
    </row>
    <row r="3800" spans="1:21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  <c r="S3800" t="str">
        <f>IF(Table1[[#This Row],[Age]]&lt;=25,"Young",IF(Table1[[#This Row],[Age]]&lt;=50,"Adult","Senior"))</f>
        <v>Senior</v>
      </c>
      <c r="T3800" s="1">
        <f>Table1[[#This Row],[Purchase Amount (USD)]]</f>
        <v>72</v>
      </c>
      <c r="U3800">
        <f>IF(Table1[[#This Row],[Subscription Status]]="Yes",1,IF(Table1[[#This Row],[Subscription Status]]="No",0))</f>
        <v>0</v>
      </c>
    </row>
    <row r="3801" spans="1:21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  <c r="S3801" t="str">
        <f>IF(Table1[[#This Row],[Age]]&lt;=25,"Young",IF(Table1[[#This Row],[Age]]&lt;=50,"Adult","Senior"))</f>
        <v>Senior</v>
      </c>
      <c r="T3801" s="1">
        <f>Table1[[#This Row],[Purchase Amount (USD)]]</f>
        <v>26</v>
      </c>
      <c r="U3801">
        <f>IF(Table1[[#This Row],[Subscription Status]]="Yes",1,IF(Table1[[#This Row],[Subscription Status]]="No",0))</f>
        <v>0</v>
      </c>
    </row>
    <row r="3802" spans="1:21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  <c r="S3802" t="str">
        <f>IF(Table1[[#This Row],[Age]]&lt;=25,"Young",IF(Table1[[#This Row],[Age]]&lt;=50,"Adult","Senior"))</f>
        <v>Young</v>
      </c>
      <c r="T3802" s="1">
        <f>Table1[[#This Row],[Purchase Amount (USD)]]</f>
        <v>26</v>
      </c>
      <c r="U3802">
        <f>IF(Table1[[#This Row],[Subscription Status]]="Yes",1,IF(Table1[[#This Row],[Subscription Status]]="No",0))</f>
        <v>0</v>
      </c>
    </row>
    <row r="3803" spans="1:21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  <c r="S3803" t="str">
        <f>IF(Table1[[#This Row],[Age]]&lt;=25,"Young",IF(Table1[[#This Row],[Age]]&lt;=50,"Adult","Senior"))</f>
        <v>Adult</v>
      </c>
      <c r="T3803" s="1">
        <f>Table1[[#This Row],[Purchase Amount (USD)]]</f>
        <v>84</v>
      </c>
      <c r="U3803">
        <f>IF(Table1[[#This Row],[Subscription Status]]="Yes",1,IF(Table1[[#This Row],[Subscription Status]]="No",0))</f>
        <v>0</v>
      </c>
    </row>
    <row r="3804" spans="1:21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  <c r="S3804" t="str">
        <f>IF(Table1[[#This Row],[Age]]&lt;=25,"Young",IF(Table1[[#This Row],[Age]]&lt;=50,"Adult","Senior"))</f>
        <v>Senior</v>
      </c>
      <c r="T3804" s="1">
        <f>Table1[[#This Row],[Purchase Amount (USD)]]</f>
        <v>72</v>
      </c>
      <c r="U3804">
        <f>IF(Table1[[#This Row],[Subscription Status]]="Yes",1,IF(Table1[[#This Row],[Subscription Status]]="No",0))</f>
        <v>0</v>
      </c>
    </row>
    <row r="3805" spans="1:21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  <c r="S3805" t="str">
        <f>IF(Table1[[#This Row],[Age]]&lt;=25,"Young",IF(Table1[[#This Row],[Age]]&lt;=50,"Adult","Senior"))</f>
        <v>Adult</v>
      </c>
      <c r="T3805" s="1">
        <f>Table1[[#This Row],[Purchase Amount (USD)]]</f>
        <v>55</v>
      </c>
      <c r="U3805">
        <f>IF(Table1[[#This Row],[Subscription Status]]="Yes",1,IF(Table1[[#This Row],[Subscription Status]]="No",0))</f>
        <v>0</v>
      </c>
    </row>
    <row r="3806" spans="1:21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  <c r="S3806" t="str">
        <f>IF(Table1[[#This Row],[Age]]&lt;=25,"Young",IF(Table1[[#This Row],[Age]]&lt;=50,"Adult","Senior"))</f>
        <v>Adult</v>
      </c>
      <c r="T3806" s="1">
        <f>Table1[[#This Row],[Purchase Amount (USD)]]</f>
        <v>77</v>
      </c>
      <c r="U3806">
        <f>IF(Table1[[#This Row],[Subscription Status]]="Yes",1,IF(Table1[[#This Row],[Subscription Status]]="No",0))</f>
        <v>0</v>
      </c>
    </row>
    <row r="3807" spans="1:21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  <c r="S3807" t="str">
        <f>IF(Table1[[#This Row],[Age]]&lt;=25,"Young",IF(Table1[[#This Row],[Age]]&lt;=50,"Adult","Senior"))</f>
        <v>Adult</v>
      </c>
      <c r="T3807" s="1">
        <f>Table1[[#This Row],[Purchase Amount (USD)]]</f>
        <v>57</v>
      </c>
      <c r="U3807">
        <f>IF(Table1[[#This Row],[Subscription Status]]="Yes",1,IF(Table1[[#This Row],[Subscription Status]]="No",0))</f>
        <v>0</v>
      </c>
    </row>
    <row r="3808" spans="1:21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  <c r="S3808" t="str">
        <f>IF(Table1[[#This Row],[Age]]&lt;=25,"Young",IF(Table1[[#This Row],[Age]]&lt;=50,"Adult","Senior"))</f>
        <v>Young</v>
      </c>
      <c r="T3808" s="1">
        <f>Table1[[#This Row],[Purchase Amount (USD)]]</f>
        <v>71</v>
      </c>
      <c r="U3808">
        <f>IF(Table1[[#This Row],[Subscription Status]]="Yes",1,IF(Table1[[#This Row],[Subscription Status]]="No",0))</f>
        <v>0</v>
      </c>
    </row>
    <row r="3809" spans="1:21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  <c r="S3809" t="str">
        <f>IF(Table1[[#This Row],[Age]]&lt;=25,"Young",IF(Table1[[#This Row],[Age]]&lt;=50,"Adult","Senior"))</f>
        <v>Adult</v>
      </c>
      <c r="T3809" s="1">
        <f>Table1[[#This Row],[Purchase Amount (USD)]]</f>
        <v>39</v>
      </c>
      <c r="U3809">
        <f>IF(Table1[[#This Row],[Subscription Status]]="Yes",1,IF(Table1[[#This Row],[Subscription Status]]="No",0))</f>
        <v>0</v>
      </c>
    </row>
    <row r="3810" spans="1:21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  <c r="S3810" t="str">
        <f>IF(Table1[[#This Row],[Age]]&lt;=25,"Young",IF(Table1[[#This Row],[Age]]&lt;=50,"Adult","Senior"))</f>
        <v>Adult</v>
      </c>
      <c r="T3810" s="1">
        <f>Table1[[#This Row],[Purchase Amount (USD)]]</f>
        <v>28</v>
      </c>
      <c r="U3810">
        <f>IF(Table1[[#This Row],[Subscription Status]]="Yes",1,IF(Table1[[#This Row],[Subscription Status]]="No",0))</f>
        <v>0</v>
      </c>
    </row>
    <row r="3811" spans="1:21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  <c r="S3811" t="str">
        <f>IF(Table1[[#This Row],[Age]]&lt;=25,"Young",IF(Table1[[#This Row],[Age]]&lt;=50,"Adult","Senior"))</f>
        <v>Senior</v>
      </c>
      <c r="T3811" s="1">
        <f>Table1[[#This Row],[Purchase Amount (USD)]]</f>
        <v>33</v>
      </c>
      <c r="U3811">
        <f>IF(Table1[[#This Row],[Subscription Status]]="Yes",1,IF(Table1[[#This Row],[Subscription Status]]="No",0))</f>
        <v>0</v>
      </c>
    </row>
    <row r="3812" spans="1:21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  <c r="S3812" t="str">
        <f>IF(Table1[[#This Row],[Age]]&lt;=25,"Young",IF(Table1[[#This Row],[Age]]&lt;=50,"Adult","Senior"))</f>
        <v>Adult</v>
      </c>
      <c r="T3812" s="1">
        <f>Table1[[#This Row],[Purchase Amount (USD)]]</f>
        <v>79</v>
      </c>
      <c r="U3812">
        <f>IF(Table1[[#This Row],[Subscription Status]]="Yes",1,IF(Table1[[#This Row],[Subscription Status]]="No",0))</f>
        <v>0</v>
      </c>
    </row>
    <row r="3813" spans="1:21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  <c r="S3813" t="str">
        <f>IF(Table1[[#This Row],[Age]]&lt;=25,"Young",IF(Table1[[#This Row],[Age]]&lt;=50,"Adult","Senior"))</f>
        <v>Adult</v>
      </c>
      <c r="T3813" s="1">
        <f>Table1[[#This Row],[Purchase Amount (USD)]]</f>
        <v>30</v>
      </c>
      <c r="U3813">
        <f>IF(Table1[[#This Row],[Subscription Status]]="Yes",1,IF(Table1[[#This Row],[Subscription Status]]="No",0))</f>
        <v>0</v>
      </c>
    </row>
    <row r="3814" spans="1:21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  <c r="S3814" t="str">
        <f>IF(Table1[[#This Row],[Age]]&lt;=25,"Young",IF(Table1[[#This Row],[Age]]&lt;=50,"Adult","Senior"))</f>
        <v>Adult</v>
      </c>
      <c r="T3814" s="1">
        <f>Table1[[#This Row],[Purchase Amount (USD)]]</f>
        <v>75</v>
      </c>
      <c r="U3814">
        <f>IF(Table1[[#This Row],[Subscription Status]]="Yes",1,IF(Table1[[#This Row],[Subscription Status]]="No",0))</f>
        <v>0</v>
      </c>
    </row>
    <row r="3815" spans="1:21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  <c r="S3815" t="str">
        <f>IF(Table1[[#This Row],[Age]]&lt;=25,"Young",IF(Table1[[#This Row],[Age]]&lt;=50,"Adult","Senior"))</f>
        <v>Senior</v>
      </c>
      <c r="T3815" s="1">
        <f>Table1[[#This Row],[Purchase Amount (USD)]]</f>
        <v>89</v>
      </c>
      <c r="U3815">
        <f>IF(Table1[[#This Row],[Subscription Status]]="Yes",1,IF(Table1[[#This Row],[Subscription Status]]="No",0))</f>
        <v>0</v>
      </c>
    </row>
    <row r="3816" spans="1:21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  <c r="S3816" t="str">
        <f>IF(Table1[[#This Row],[Age]]&lt;=25,"Young",IF(Table1[[#This Row],[Age]]&lt;=50,"Adult","Senior"))</f>
        <v>Adult</v>
      </c>
      <c r="T3816" s="1">
        <f>Table1[[#This Row],[Purchase Amount (USD)]]</f>
        <v>95</v>
      </c>
      <c r="U3816">
        <f>IF(Table1[[#This Row],[Subscription Status]]="Yes",1,IF(Table1[[#This Row],[Subscription Status]]="No",0))</f>
        <v>0</v>
      </c>
    </row>
    <row r="3817" spans="1:21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  <c r="S3817" t="str">
        <f>IF(Table1[[#This Row],[Age]]&lt;=25,"Young",IF(Table1[[#This Row],[Age]]&lt;=50,"Adult","Senior"))</f>
        <v>Adult</v>
      </c>
      <c r="T3817" s="1">
        <f>Table1[[#This Row],[Purchase Amount (USD)]]</f>
        <v>44</v>
      </c>
      <c r="U3817">
        <f>IF(Table1[[#This Row],[Subscription Status]]="Yes",1,IF(Table1[[#This Row],[Subscription Status]]="No",0))</f>
        <v>0</v>
      </c>
    </row>
    <row r="3818" spans="1:21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  <c r="S3818" t="str">
        <f>IF(Table1[[#This Row],[Age]]&lt;=25,"Young",IF(Table1[[#This Row],[Age]]&lt;=50,"Adult","Senior"))</f>
        <v>Adult</v>
      </c>
      <c r="T3818" s="1">
        <f>Table1[[#This Row],[Purchase Amount (USD)]]</f>
        <v>86</v>
      </c>
      <c r="U3818">
        <f>IF(Table1[[#This Row],[Subscription Status]]="Yes",1,IF(Table1[[#This Row],[Subscription Status]]="No",0))</f>
        <v>0</v>
      </c>
    </row>
    <row r="3819" spans="1:21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  <c r="S3819" t="str">
        <f>IF(Table1[[#This Row],[Age]]&lt;=25,"Young",IF(Table1[[#This Row],[Age]]&lt;=50,"Adult","Senior"))</f>
        <v>Senior</v>
      </c>
      <c r="T3819" s="1">
        <f>Table1[[#This Row],[Purchase Amount (USD)]]</f>
        <v>91</v>
      </c>
      <c r="U3819">
        <f>IF(Table1[[#This Row],[Subscription Status]]="Yes",1,IF(Table1[[#This Row],[Subscription Status]]="No",0))</f>
        <v>0</v>
      </c>
    </row>
    <row r="3820" spans="1:21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  <c r="S3820" t="str">
        <f>IF(Table1[[#This Row],[Age]]&lt;=25,"Young",IF(Table1[[#This Row],[Age]]&lt;=50,"Adult","Senior"))</f>
        <v>Senior</v>
      </c>
      <c r="T3820" s="1">
        <f>Table1[[#This Row],[Purchase Amount (USD)]]</f>
        <v>41</v>
      </c>
      <c r="U3820">
        <f>IF(Table1[[#This Row],[Subscription Status]]="Yes",1,IF(Table1[[#This Row],[Subscription Status]]="No",0))</f>
        <v>0</v>
      </c>
    </row>
    <row r="3821" spans="1:21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  <c r="S3821" t="str">
        <f>IF(Table1[[#This Row],[Age]]&lt;=25,"Young",IF(Table1[[#This Row],[Age]]&lt;=50,"Adult","Senior"))</f>
        <v>Adult</v>
      </c>
      <c r="T3821" s="1">
        <f>Table1[[#This Row],[Purchase Amount (USD)]]</f>
        <v>99</v>
      </c>
      <c r="U3821">
        <f>IF(Table1[[#This Row],[Subscription Status]]="Yes",1,IF(Table1[[#This Row],[Subscription Status]]="No",0))</f>
        <v>0</v>
      </c>
    </row>
    <row r="3822" spans="1:21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  <c r="S3822" t="str">
        <f>IF(Table1[[#This Row],[Age]]&lt;=25,"Young",IF(Table1[[#This Row],[Age]]&lt;=50,"Adult","Senior"))</f>
        <v>Adult</v>
      </c>
      <c r="T3822" s="1">
        <f>Table1[[#This Row],[Purchase Amount (USD)]]</f>
        <v>65</v>
      </c>
      <c r="U3822">
        <f>IF(Table1[[#This Row],[Subscription Status]]="Yes",1,IF(Table1[[#This Row],[Subscription Status]]="No",0))</f>
        <v>0</v>
      </c>
    </row>
    <row r="3823" spans="1:21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  <c r="S3823" t="str">
        <f>IF(Table1[[#This Row],[Age]]&lt;=25,"Young",IF(Table1[[#This Row],[Age]]&lt;=50,"Adult","Senior"))</f>
        <v>Young</v>
      </c>
      <c r="T3823" s="1">
        <f>Table1[[#This Row],[Purchase Amount (USD)]]</f>
        <v>48</v>
      </c>
      <c r="U3823">
        <f>IF(Table1[[#This Row],[Subscription Status]]="Yes",1,IF(Table1[[#This Row],[Subscription Status]]="No",0))</f>
        <v>0</v>
      </c>
    </row>
    <row r="3824" spans="1:21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  <c r="S3824" t="str">
        <f>IF(Table1[[#This Row],[Age]]&lt;=25,"Young",IF(Table1[[#This Row],[Age]]&lt;=50,"Adult","Senior"))</f>
        <v>Senior</v>
      </c>
      <c r="T3824" s="1">
        <f>Table1[[#This Row],[Purchase Amount (USD)]]</f>
        <v>41</v>
      </c>
      <c r="U3824">
        <f>IF(Table1[[#This Row],[Subscription Status]]="Yes",1,IF(Table1[[#This Row],[Subscription Status]]="No",0))</f>
        <v>0</v>
      </c>
    </row>
    <row r="3825" spans="1:21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  <c r="S3825" t="str">
        <f>IF(Table1[[#This Row],[Age]]&lt;=25,"Young",IF(Table1[[#This Row],[Age]]&lt;=50,"Adult","Senior"))</f>
        <v>Adult</v>
      </c>
      <c r="T3825" s="1">
        <f>Table1[[#This Row],[Purchase Amount (USD)]]</f>
        <v>42</v>
      </c>
      <c r="U3825">
        <f>IF(Table1[[#This Row],[Subscription Status]]="Yes",1,IF(Table1[[#This Row],[Subscription Status]]="No",0))</f>
        <v>0</v>
      </c>
    </row>
    <row r="3826" spans="1:21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  <c r="S3826" t="str">
        <f>IF(Table1[[#This Row],[Age]]&lt;=25,"Young",IF(Table1[[#This Row],[Age]]&lt;=50,"Adult","Senior"))</f>
        <v>Senior</v>
      </c>
      <c r="T3826" s="1">
        <f>Table1[[#This Row],[Purchase Amount (USD)]]</f>
        <v>26</v>
      </c>
      <c r="U3826">
        <f>IF(Table1[[#This Row],[Subscription Status]]="Yes",1,IF(Table1[[#This Row],[Subscription Status]]="No",0))</f>
        <v>0</v>
      </c>
    </row>
    <row r="3827" spans="1:21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  <c r="S3827" t="str">
        <f>IF(Table1[[#This Row],[Age]]&lt;=25,"Young",IF(Table1[[#This Row],[Age]]&lt;=50,"Adult","Senior"))</f>
        <v>Adult</v>
      </c>
      <c r="T3827" s="1">
        <f>Table1[[#This Row],[Purchase Amount (USD)]]</f>
        <v>35</v>
      </c>
      <c r="U3827">
        <f>IF(Table1[[#This Row],[Subscription Status]]="Yes",1,IF(Table1[[#This Row],[Subscription Status]]="No",0))</f>
        <v>0</v>
      </c>
    </row>
    <row r="3828" spans="1:21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  <c r="S3828" t="str">
        <f>IF(Table1[[#This Row],[Age]]&lt;=25,"Young",IF(Table1[[#This Row],[Age]]&lt;=50,"Adult","Senior"))</f>
        <v>Adult</v>
      </c>
      <c r="T3828" s="1">
        <f>Table1[[#This Row],[Purchase Amount (USD)]]</f>
        <v>31</v>
      </c>
      <c r="U3828">
        <f>IF(Table1[[#This Row],[Subscription Status]]="Yes",1,IF(Table1[[#This Row],[Subscription Status]]="No",0))</f>
        <v>0</v>
      </c>
    </row>
    <row r="3829" spans="1:21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  <c r="S3829" t="str">
        <f>IF(Table1[[#This Row],[Age]]&lt;=25,"Young",IF(Table1[[#This Row],[Age]]&lt;=50,"Adult","Senior"))</f>
        <v>Senior</v>
      </c>
      <c r="T3829" s="1">
        <f>Table1[[#This Row],[Purchase Amount (USD)]]</f>
        <v>73</v>
      </c>
      <c r="U3829">
        <f>IF(Table1[[#This Row],[Subscription Status]]="Yes",1,IF(Table1[[#This Row],[Subscription Status]]="No",0))</f>
        <v>0</v>
      </c>
    </row>
    <row r="3830" spans="1:21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  <c r="S3830" t="str">
        <f>IF(Table1[[#This Row],[Age]]&lt;=25,"Young",IF(Table1[[#This Row],[Age]]&lt;=50,"Adult","Senior"))</f>
        <v>Adult</v>
      </c>
      <c r="T3830" s="1">
        <f>Table1[[#This Row],[Purchase Amount (USD)]]</f>
        <v>82</v>
      </c>
      <c r="U3830">
        <f>IF(Table1[[#This Row],[Subscription Status]]="Yes",1,IF(Table1[[#This Row],[Subscription Status]]="No",0))</f>
        <v>0</v>
      </c>
    </row>
    <row r="3831" spans="1:21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  <c r="S3831" t="str">
        <f>IF(Table1[[#This Row],[Age]]&lt;=25,"Young",IF(Table1[[#This Row],[Age]]&lt;=50,"Adult","Senior"))</f>
        <v>Senior</v>
      </c>
      <c r="T3831" s="1">
        <f>Table1[[#This Row],[Purchase Amount (USD)]]</f>
        <v>32</v>
      </c>
      <c r="U3831">
        <f>IF(Table1[[#This Row],[Subscription Status]]="Yes",1,IF(Table1[[#This Row],[Subscription Status]]="No",0))</f>
        <v>0</v>
      </c>
    </row>
    <row r="3832" spans="1:21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  <c r="S3832" t="str">
        <f>IF(Table1[[#This Row],[Age]]&lt;=25,"Young",IF(Table1[[#This Row],[Age]]&lt;=50,"Adult","Senior"))</f>
        <v>Young</v>
      </c>
      <c r="T3832" s="1">
        <f>Table1[[#This Row],[Purchase Amount (USD)]]</f>
        <v>27</v>
      </c>
      <c r="U3832">
        <f>IF(Table1[[#This Row],[Subscription Status]]="Yes",1,IF(Table1[[#This Row],[Subscription Status]]="No",0))</f>
        <v>0</v>
      </c>
    </row>
    <row r="3833" spans="1:21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  <c r="S3833" t="str">
        <f>IF(Table1[[#This Row],[Age]]&lt;=25,"Young",IF(Table1[[#This Row],[Age]]&lt;=50,"Adult","Senior"))</f>
        <v>Adult</v>
      </c>
      <c r="T3833" s="1">
        <f>Table1[[#This Row],[Purchase Amount (USD)]]</f>
        <v>86</v>
      </c>
      <c r="U3833">
        <f>IF(Table1[[#This Row],[Subscription Status]]="Yes",1,IF(Table1[[#This Row],[Subscription Status]]="No",0))</f>
        <v>0</v>
      </c>
    </row>
    <row r="3834" spans="1:21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  <c r="S3834" t="str">
        <f>IF(Table1[[#This Row],[Age]]&lt;=25,"Young",IF(Table1[[#This Row],[Age]]&lt;=50,"Adult","Senior"))</f>
        <v>Senior</v>
      </c>
      <c r="T3834" s="1">
        <f>Table1[[#This Row],[Purchase Amount (USD)]]</f>
        <v>38</v>
      </c>
      <c r="U3834">
        <f>IF(Table1[[#This Row],[Subscription Status]]="Yes",1,IF(Table1[[#This Row],[Subscription Status]]="No",0))</f>
        <v>0</v>
      </c>
    </row>
    <row r="3835" spans="1:21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  <c r="S3835" t="str">
        <f>IF(Table1[[#This Row],[Age]]&lt;=25,"Young",IF(Table1[[#This Row],[Age]]&lt;=50,"Adult","Senior"))</f>
        <v>Adult</v>
      </c>
      <c r="T3835" s="1">
        <f>Table1[[#This Row],[Purchase Amount (USD)]]</f>
        <v>93</v>
      </c>
      <c r="U3835">
        <f>IF(Table1[[#This Row],[Subscription Status]]="Yes",1,IF(Table1[[#This Row],[Subscription Status]]="No",0))</f>
        <v>0</v>
      </c>
    </row>
    <row r="3836" spans="1:21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  <c r="S3836" t="str">
        <f>IF(Table1[[#This Row],[Age]]&lt;=25,"Young",IF(Table1[[#This Row],[Age]]&lt;=50,"Adult","Senior"))</f>
        <v>Adult</v>
      </c>
      <c r="T3836" s="1">
        <f>Table1[[#This Row],[Purchase Amount (USD)]]</f>
        <v>59</v>
      </c>
      <c r="U3836">
        <f>IF(Table1[[#This Row],[Subscription Status]]="Yes",1,IF(Table1[[#This Row],[Subscription Status]]="No",0))</f>
        <v>0</v>
      </c>
    </row>
    <row r="3837" spans="1:21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  <c r="S3837" t="str">
        <f>IF(Table1[[#This Row],[Age]]&lt;=25,"Young",IF(Table1[[#This Row],[Age]]&lt;=50,"Adult","Senior"))</f>
        <v>Senior</v>
      </c>
      <c r="T3837" s="1">
        <f>Table1[[#This Row],[Purchase Amount (USD)]]</f>
        <v>58</v>
      </c>
      <c r="U3837">
        <f>IF(Table1[[#This Row],[Subscription Status]]="Yes",1,IF(Table1[[#This Row],[Subscription Status]]="No",0))</f>
        <v>0</v>
      </c>
    </row>
    <row r="3838" spans="1:21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  <c r="S3838" t="str">
        <f>IF(Table1[[#This Row],[Age]]&lt;=25,"Young",IF(Table1[[#This Row],[Age]]&lt;=50,"Adult","Senior"))</f>
        <v>Senior</v>
      </c>
      <c r="T3838" s="1">
        <f>Table1[[#This Row],[Purchase Amount (USD)]]</f>
        <v>84</v>
      </c>
      <c r="U3838">
        <f>IF(Table1[[#This Row],[Subscription Status]]="Yes",1,IF(Table1[[#This Row],[Subscription Status]]="No",0))</f>
        <v>0</v>
      </c>
    </row>
    <row r="3839" spans="1:21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  <c r="S3839" t="str">
        <f>IF(Table1[[#This Row],[Age]]&lt;=25,"Young",IF(Table1[[#This Row],[Age]]&lt;=50,"Adult","Senior"))</f>
        <v>Adult</v>
      </c>
      <c r="T3839" s="1">
        <f>Table1[[#This Row],[Purchase Amount (USD)]]</f>
        <v>100</v>
      </c>
      <c r="U3839">
        <f>IF(Table1[[#This Row],[Subscription Status]]="Yes",1,IF(Table1[[#This Row],[Subscription Status]]="No",0))</f>
        <v>0</v>
      </c>
    </row>
    <row r="3840" spans="1:21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  <c r="S3840" t="str">
        <f>IF(Table1[[#This Row],[Age]]&lt;=25,"Young",IF(Table1[[#This Row],[Age]]&lt;=50,"Adult","Senior"))</f>
        <v>Adult</v>
      </c>
      <c r="T3840" s="1">
        <f>Table1[[#This Row],[Purchase Amount (USD)]]</f>
        <v>25</v>
      </c>
      <c r="U3840">
        <f>IF(Table1[[#This Row],[Subscription Status]]="Yes",1,IF(Table1[[#This Row],[Subscription Status]]="No",0))</f>
        <v>0</v>
      </c>
    </row>
    <row r="3841" spans="1:21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  <c r="S3841" t="str">
        <f>IF(Table1[[#This Row],[Age]]&lt;=25,"Young",IF(Table1[[#This Row],[Age]]&lt;=50,"Adult","Senior"))</f>
        <v>Senior</v>
      </c>
      <c r="T3841" s="1">
        <f>Table1[[#This Row],[Purchase Amount (USD)]]</f>
        <v>29</v>
      </c>
      <c r="U3841">
        <f>IF(Table1[[#This Row],[Subscription Status]]="Yes",1,IF(Table1[[#This Row],[Subscription Status]]="No",0))</f>
        <v>0</v>
      </c>
    </row>
    <row r="3842" spans="1:21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  <c r="S3842" t="str">
        <f>IF(Table1[[#This Row],[Age]]&lt;=25,"Young",IF(Table1[[#This Row],[Age]]&lt;=50,"Adult","Senior"))</f>
        <v>Adult</v>
      </c>
      <c r="T3842" s="1">
        <f>Table1[[#This Row],[Purchase Amount (USD)]]</f>
        <v>42</v>
      </c>
      <c r="U3842">
        <f>IF(Table1[[#This Row],[Subscription Status]]="Yes",1,IF(Table1[[#This Row],[Subscription Status]]="No",0))</f>
        <v>0</v>
      </c>
    </row>
    <row r="3843" spans="1:21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  <c r="S3843" t="str">
        <f>IF(Table1[[#This Row],[Age]]&lt;=25,"Young",IF(Table1[[#This Row],[Age]]&lt;=50,"Adult","Senior"))</f>
        <v>Senior</v>
      </c>
      <c r="T3843" s="1">
        <f>Table1[[#This Row],[Purchase Amount (USD)]]</f>
        <v>57</v>
      </c>
      <c r="U3843">
        <f>IF(Table1[[#This Row],[Subscription Status]]="Yes",1,IF(Table1[[#This Row],[Subscription Status]]="No",0))</f>
        <v>0</v>
      </c>
    </row>
    <row r="3844" spans="1:21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  <c r="S3844" t="str">
        <f>IF(Table1[[#This Row],[Age]]&lt;=25,"Young",IF(Table1[[#This Row],[Age]]&lt;=50,"Adult","Senior"))</f>
        <v>Adult</v>
      </c>
      <c r="T3844" s="1">
        <f>Table1[[#This Row],[Purchase Amount (USD)]]</f>
        <v>84</v>
      </c>
      <c r="U3844">
        <f>IF(Table1[[#This Row],[Subscription Status]]="Yes",1,IF(Table1[[#This Row],[Subscription Status]]="No",0))</f>
        <v>0</v>
      </c>
    </row>
    <row r="3845" spans="1:21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  <c r="S3845" t="str">
        <f>IF(Table1[[#This Row],[Age]]&lt;=25,"Young",IF(Table1[[#This Row],[Age]]&lt;=50,"Adult","Senior"))</f>
        <v>Senior</v>
      </c>
      <c r="T3845" s="1">
        <f>Table1[[#This Row],[Purchase Amount (USD)]]</f>
        <v>71</v>
      </c>
      <c r="U3845">
        <f>IF(Table1[[#This Row],[Subscription Status]]="Yes",1,IF(Table1[[#This Row],[Subscription Status]]="No",0))</f>
        <v>0</v>
      </c>
    </row>
    <row r="3846" spans="1:21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  <c r="S3846" t="str">
        <f>IF(Table1[[#This Row],[Age]]&lt;=25,"Young",IF(Table1[[#This Row],[Age]]&lt;=50,"Adult","Senior"))</f>
        <v>Adult</v>
      </c>
      <c r="T3846" s="1">
        <f>Table1[[#This Row],[Purchase Amount (USD)]]</f>
        <v>87</v>
      </c>
      <c r="U3846">
        <f>IF(Table1[[#This Row],[Subscription Status]]="Yes",1,IF(Table1[[#This Row],[Subscription Status]]="No",0))</f>
        <v>0</v>
      </c>
    </row>
    <row r="3847" spans="1:21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  <c r="S3847" t="str">
        <f>IF(Table1[[#This Row],[Age]]&lt;=25,"Young",IF(Table1[[#This Row],[Age]]&lt;=50,"Adult","Senior"))</f>
        <v>Senior</v>
      </c>
      <c r="T3847" s="1">
        <f>Table1[[#This Row],[Purchase Amount (USD)]]</f>
        <v>52</v>
      </c>
      <c r="U3847">
        <f>IF(Table1[[#This Row],[Subscription Status]]="Yes",1,IF(Table1[[#This Row],[Subscription Status]]="No",0))</f>
        <v>0</v>
      </c>
    </row>
    <row r="3848" spans="1:21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  <c r="S3848" t="str">
        <f>IF(Table1[[#This Row],[Age]]&lt;=25,"Young",IF(Table1[[#This Row],[Age]]&lt;=50,"Adult","Senior"))</f>
        <v>Senior</v>
      </c>
      <c r="T3848" s="1">
        <f>Table1[[#This Row],[Purchase Amount (USD)]]</f>
        <v>58</v>
      </c>
      <c r="U3848">
        <f>IF(Table1[[#This Row],[Subscription Status]]="Yes",1,IF(Table1[[#This Row],[Subscription Status]]="No",0))</f>
        <v>0</v>
      </c>
    </row>
    <row r="3849" spans="1:21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  <c r="S3849" t="str">
        <f>IF(Table1[[#This Row],[Age]]&lt;=25,"Young",IF(Table1[[#This Row],[Age]]&lt;=50,"Adult","Senior"))</f>
        <v>Senior</v>
      </c>
      <c r="T3849" s="1">
        <f>Table1[[#This Row],[Purchase Amount (USD)]]</f>
        <v>34</v>
      </c>
      <c r="U3849">
        <f>IF(Table1[[#This Row],[Subscription Status]]="Yes",1,IF(Table1[[#This Row],[Subscription Status]]="No",0))</f>
        <v>0</v>
      </c>
    </row>
    <row r="3850" spans="1:21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  <c r="S3850" t="str">
        <f>IF(Table1[[#This Row],[Age]]&lt;=25,"Young",IF(Table1[[#This Row],[Age]]&lt;=50,"Adult","Senior"))</f>
        <v>Young</v>
      </c>
      <c r="T3850" s="1">
        <f>Table1[[#This Row],[Purchase Amount (USD)]]</f>
        <v>60</v>
      </c>
      <c r="U3850">
        <f>IF(Table1[[#This Row],[Subscription Status]]="Yes",1,IF(Table1[[#This Row],[Subscription Status]]="No",0))</f>
        <v>0</v>
      </c>
    </row>
    <row r="3851" spans="1:21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  <c r="S3851" t="str">
        <f>IF(Table1[[#This Row],[Age]]&lt;=25,"Young",IF(Table1[[#This Row],[Age]]&lt;=50,"Adult","Senior"))</f>
        <v>Adult</v>
      </c>
      <c r="T3851" s="1">
        <f>Table1[[#This Row],[Purchase Amount (USD)]]</f>
        <v>68</v>
      </c>
      <c r="U3851">
        <f>IF(Table1[[#This Row],[Subscription Status]]="Yes",1,IF(Table1[[#This Row],[Subscription Status]]="No",0))</f>
        <v>0</v>
      </c>
    </row>
    <row r="3852" spans="1:21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  <c r="S3852" t="str">
        <f>IF(Table1[[#This Row],[Age]]&lt;=25,"Young",IF(Table1[[#This Row],[Age]]&lt;=50,"Adult","Senior"))</f>
        <v>Adult</v>
      </c>
      <c r="T3852" s="1">
        <f>Table1[[#This Row],[Purchase Amount (USD)]]</f>
        <v>74</v>
      </c>
      <c r="U3852">
        <f>IF(Table1[[#This Row],[Subscription Status]]="Yes",1,IF(Table1[[#This Row],[Subscription Status]]="No",0))</f>
        <v>0</v>
      </c>
    </row>
    <row r="3853" spans="1:21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  <c r="S3853" t="str">
        <f>IF(Table1[[#This Row],[Age]]&lt;=25,"Young",IF(Table1[[#This Row],[Age]]&lt;=50,"Adult","Senior"))</f>
        <v>Adult</v>
      </c>
      <c r="T3853" s="1">
        <f>Table1[[#This Row],[Purchase Amount (USD)]]</f>
        <v>83</v>
      </c>
      <c r="U3853">
        <f>IF(Table1[[#This Row],[Subscription Status]]="Yes",1,IF(Table1[[#This Row],[Subscription Status]]="No",0))</f>
        <v>0</v>
      </c>
    </row>
    <row r="3854" spans="1:21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  <c r="S3854" t="str">
        <f>IF(Table1[[#This Row],[Age]]&lt;=25,"Young",IF(Table1[[#This Row],[Age]]&lt;=50,"Adult","Senior"))</f>
        <v>Senior</v>
      </c>
      <c r="T3854" s="1">
        <f>Table1[[#This Row],[Purchase Amount (USD)]]</f>
        <v>79</v>
      </c>
      <c r="U3854">
        <f>IF(Table1[[#This Row],[Subscription Status]]="Yes",1,IF(Table1[[#This Row],[Subscription Status]]="No",0))</f>
        <v>0</v>
      </c>
    </row>
    <row r="3855" spans="1:21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  <c r="S3855" t="str">
        <f>IF(Table1[[#This Row],[Age]]&lt;=25,"Young",IF(Table1[[#This Row],[Age]]&lt;=50,"Adult","Senior"))</f>
        <v>Senior</v>
      </c>
      <c r="T3855" s="1">
        <f>Table1[[#This Row],[Purchase Amount (USD)]]</f>
        <v>76</v>
      </c>
      <c r="U3855">
        <f>IF(Table1[[#This Row],[Subscription Status]]="Yes",1,IF(Table1[[#This Row],[Subscription Status]]="No",0))</f>
        <v>0</v>
      </c>
    </row>
    <row r="3856" spans="1:21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  <c r="S3856" t="str">
        <f>IF(Table1[[#This Row],[Age]]&lt;=25,"Young",IF(Table1[[#This Row],[Age]]&lt;=50,"Adult","Senior"))</f>
        <v>Senior</v>
      </c>
      <c r="T3856" s="1">
        <f>Table1[[#This Row],[Purchase Amount (USD)]]</f>
        <v>20</v>
      </c>
      <c r="U3856">
        <f>IF(Table1[[#This Row],[Subscription Status]]="Yes",1,IF(Table1[[#This Row],[Subscription Status]]="No",0))</f>
        <v>0</v>
      </c>
    </row>
    <row r="3857" spans="1:21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  <c r="S3857" t="str">
        <f>IF(Table1[[#This Row],[Age]]&lt;=25,"Young",IF(Table1[[#This Row],[Age]]&lt;=50,"Adult","Senior"))</f>
        <v>Adult</v>
      </c>
      <c r="T3857" s="1">
        <f>Table1[[#This Row],[Purchase Amount (USD)]]</f>
        <v>61</v>
      </c>
      <c r="U3857">
        <f>IF(Table1[[#This Row],[Subscription Status]]="Yes",1,IF(Table1[[#This Row],[Subscription Status]]="No",0))</f>
        <v>0</v>
      </c>
    </row>
    <row r="3858" spans="1:21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  <c r="S3858" t="str">
        <f>IF(Table1[[#This Row],[Age]]&lt;=25,"Young",IF(Table1[[#This Row],[Age]]&lt;=50,"Adult","Senior"))</f>
        <v>Adult</v>
      </c>
      <c r="T3858" s="1">
        <f>Table1[[#This Row],[Purchase Amount (USD)]]</f>
        <v>78</v>
      </c>
      <c r="U3858">
        <f>IF(Table1[[#This Row],[Subscription Status]]="Yes",1,IF(Table1[[#This Row],[Subscription Status]]="No",0))</f>
        <v>0</v>
      </c>
    </row>
    <row r="3859" spans="1:21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  <c r="S3859" t="str">
        <f>IF(Table1[[#This Row],[Age]]&lt;=25,"Young",IF(Table1[[#This Row],[Age]]&lt;=50,"Adult","Senior"))</f>
        <v>Adult</v>
      </c>
      <c r="T3859" s="1">
        <f>Table1[[#This Row],[Purchase Amount (USD)]]</f>
        <v>21</v>
      </c>
      <c r="U3859">
        <f>IF(Table1[[#This Row],[Subscription Status]]="Yes",1,IF(Table1[[#This Row],[Subscription Status]]="No",0))</f>
        <v>0</v>
      </c>
    </row>
    <row r="3860" spans="1:21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  <c r="S3860" t="str">
        <f>IF(Table1[[#This Row],[Age]]&lt;=25,"Young",IF(Table1[[#This Row],[Age]]&lt;=50,"Adult","Senior"))</f>
        <v>Adult</v>
      </c>
      <c r="T3860" s="1">
        <f>Table1[[#This Row],[Purchase Amount (USD)]]</f>
        <v>77</v>
      </c>
      <c r="U3860">
        <f>IF(Table1[[#This Row],[Subscription Status]]="Yes",1,IF(Table1[[#This Row],[Subscription Status]]="No",0))</f>
        <v>0</v>
      </c>
    </row>
    <row r="3861" spans="1:21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  <c r="S3861" t="str">
        <f>IF(Table1[[#This Row],[Age]]&lt;=25,"Young",IF(Table1[[#This Row],[Age]]&lt;=50,"Adult","Senior"))</f>
        <v>Senior</v>
      </c>
      <c r="T3861" s="1">
        <f>Table1[[#This Row],[Purchase Amount (USD)]]</f>
        <v>88</v>
      </c>
      <c r="U3861">
        <f>IF(Table1[[#This Row],[Subscription Status]]="Yes",1,IF(Table1[[#This Row],[Subscription Status]]="No",0))</f>
        <v>0</v>
      </c>
    </row>
    <row r="3862" spans="1:21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  <c r="S3862" t="str">
        <f>IF(Table1[[#This Row],[Age]]&lt;=25,"Young",IF(Table1[[#This Row],[Age]]&lt;=50,"Adult","Senior"))</f>
        <v>Senior</v>
      </c>
      <c r="T3862" s="1">
        <f>Table1[[#This Row],[Purchase Amount (USD)]]</f>
        <v>64</v>
      </c>
      <c r="U3862">
        <f>IF(Table1[[#This Row],[Subscription Status]]="Yes",1,IF(Table1[[#This Row],[Subscription Status]]="No",0))</f>
        <v>0</v>
      </c>
    </row>
    <row r="3863" spans="1:21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  <c r="S3863" t="str">
        <f>IF(Table1[[#This Row],[Age]]&lt;=25,"Young",IF(Table1[[#This Row],[Age]]&lt;=50,"Adult","Senior"))</f>
        <v>Senior</v>
      </c>
      <c r="T3863" s="1">
        <f>Table1[[#This Row],[Purchase Amount (USD)]]</f>
        <v>57</v>
      </c>
      <c r="U3863">
        <f>IF(Table1[[#This Row],[Subscription Status]]="Yes",1,IF(Table1[[#This Row],[Subscription Status]]="No",0))</f>
        <v>0</v>
      </c>
    </row>
    <row r="3864" spans="1:21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  <c r="S3864" t="str">
        <f>IF(Table1[[#This Row],[Age]]&lt;=25,"Young",IF(Table1[[#This Row],[Age]]&lt;=50,"Adult","Senior"))</f>
        <v>Senior</v>
      </c>
      <c r="T3864" s="1">
        <f>Table1[[#This Row],[Purchase Amount (USD)]]</f>
        <v>49</v>
      </c>
      <c r="U3864">
        <f>IF(Table1[[#This Row],[Subscription Status]]="Yes",1,IF(Table1[[#This Row],[Subscription Status]]="No",0))</f>
        <v>0</v>
      </c>
    </row>
    <row r="3865" spans="1:21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  <c r="S3865" t="str">
        <f>IF(Table1[[#This Row],[Age]]&lt;=25,"Young",IF(Table1[[#This Row],[Age]]&lt;=50,"Adult","Senior"))</f>
        <v>Adult</v>
      </c>
      <c r="T3865" s="1">
        <f>Table1[[#This Row],[Purchase Amount (USD)]]</f>
        <v>35</v>
      </c>
      <c r="U3865">
        <f>IF(Table1[[#This Row],[Subscription Status]]="Yes",1,IF(Table1[[#This Row],[Subscription Status]]="No",0))</f>
        <v>0</v>
      </c>
    </row>
    <row r="3866" spans="1:21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  <c r="S3866" t="str">
        <f>IF(Table1[[#This Row],[Age]]&lt;=25,"Young",IF(Table1[[#This Row],[Age]]&lt;=50,"Adult","Senior"))</f>
        <v>Senior</v>
      </c>
      <c r="T3866" s="1">
        <f>Table1[[#This Row],[Purchase Amount (USD)]]</f>
        <v>99</v>
      </c>
      <c r="U3866">
        <f>IF(Table1[[#This Row],[Subscription Status]]="Yes",1,IF(Table1[[#This Row],[Subscription Status]]="No",0))</f>
        <v>0</v>
      </c>
    </row>
    <row r="3867" spans="1:21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  <c r="S3867" t="str">
        <f>IF(Table1[[#This Row],[Age]]&lt;=25,"Young",IF(Table1[[#This Row],[Age]]&lt;=50,"Adult","Senior"))</f>
        <v>Young</v>
      </c>
      <c r="T3867" s="1">
        <f>Table1[[#This Row],[Purchase Amount (USD)]]</f>
        <v>42</v>
      </c>
      <c r="U3867">
        <f>IF(Table1[[#This Row],[Subscription Status]]="Yes",1,IF(Table1[[#This Row],[Subscription Status]]="No",0))</f>
        <v>0</v>
      </c>
    </row>
    <row r="3868" spans="1:21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  <c r="S3868" t="str">
        <f>IF(Table1[[#This Row],[Age]]&lt;=25,"Young",IF(Table1[[#This Row],[Age]]&lt;=50,"Adult","Senior"))</f>
        <v>Senior</v>
      </c>
      <c r="T3868" s="1">
        <f>Table1[[#This Row],[Purchase Amount (USD)]]</f>
        <v>32</v>
      </c>
      <c r="U3868">
        <f>IF(Table1[[#This Row],[Subscription Status]]="Yes",1,IF(Table1[[#This Row],[Subscription Status]]="No",0))</f>
        <v>0</v>
      </c>
    </row>
    <row r="3869" spans="1:21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  <c r="S3869" t="str">
        <f>IF(Table1[[#This Row],[Age]]&lt;=25,"Young",IF(Table1[[#This Row],[Age]]&lt;=50,"Adult","Senior"))</f>
        <v>Adult</v>
      </c>
      <c r="T3869" s="1">
        <f>Table1[[#This Row],[Purchase Amount (USD)]]</f>
        <v>21</v>
      </c>
      <c r="U3869">
        <f>IF(Table1[[#This Row],[Subscription Status]]="Yes",1,IF(Table1[[#This Row],[Subscription Status]]="No",0))</f>
        <v>0</v>
      </c>
    </row>
    <row r="3870" spans="1:21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  <c r="S3870" t="str">
        <f>IF(Table1[[#This Row],[Age]]&lt;=25,"Young",IF(Table1[[#This Row],[Age]]&lt;=50,"Adult","Senior"))</f>
        <v>Young</v>
      </c>
      <c r="T3870" s="1">
        <f>Table1[[#This Row],[Purchase Amount (USD)]]</f>
        <v>29</v>
      </c>
      <c r="U3870">
        <f>IF(Table1[[#This Row],[Subscription Status]]="Yes",1,IF(Table1[[#This Row],[Subscription Status]]="No",0))</f>
        <v>0</v>
      </c>
    </row>
    <row r="3871" spans="1:21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  <c r="S3871" t="str">
        <f>IF(Table1[[#This Row],[Age]]&lt;=25,"Young",IF(Table1[[#This Row],[Age]]&lt;=50,"Adult","Senior"))</f>
        <v>Adult</v>
      </c>
      <c r="T3871" s="1">
        <f>Table1[[#This Row],[Purchase Amount (USD)]]</f>
        <v>64</v>
      </c>
      <c r="U3871">
        <f>IF(Table1[[#This Row],[Subscription Status]]="Yes",1,IF(Table1[[#This Row],[Subscription Status]]="No",0))</f>
        <v>0</v>
      </c>
    </row>
    <row r="3872" spans="1:21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  <c r="S3872" t="str">
        <f>IF(Table1[[#This Row],[Age]]&lt;=25,"Young",IF(Table1[[#This Row],[Age]]&lt;=50,"Adult","Senior"))</f>
        <v>Senior</v>
      </c>
      <c r="T3872" s="1">
        <f>Table1[[#This Row],[Purchase Amount (USD)]]</f>
        <v>46</v>
      </c>
      <c r="U3872">
        <f>IF(Table1[[#This Row],[Subscription Status]]="Yes",1,IF(Table1[[#This Row],[Subscription Status]]="No",0))</f>
        <v>0</v>
      </c>
    </row>
    <row r="3873" spans="1:21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  <c r="S3873" t="str">
        <f>IF(Table1[[#This Row],[Age]]&lt;=25,"Young",IF(Table1[[#This Row],[Age]]&lt;=50,"Adult","Senior"))</f>
        <v>Senior</v>
      </c>
      <c r="T3873" s="1">
        <f>Table1[[#This Row],[Purchase Amount (USD)]]</f>
        <v>97</v>
      </c>
      <c r="U3873">
        <f>IF(Table1[[#This Row],[Subscription Status]]="Yes",1,IF(Table1[[#This Row],[Subscription Status]]="No",0))</f>
        <v>0</v>
      </c>
    </row>
    <row r="3874" spans="1:21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  <c r="S3874" t="str">
        <f>IF(Table1[[#This Row],[Age]]&lt;=25,"Young",IF(Table1[[#This Row],[Age]]&lt;=50,"Adult","Senior"))</f>
        <v>Adult</v>
      </c>
      <c r="T3874" s="1">
        <f>Table1[[#This Row],[Purchase Amount (USD)]]</f>
        <v>94</v>
      </c>
      <c r="U3874">
        <f>IF(Table1[[#This Row],[Subscription Status]]="Yes",1,IF(Table1[[#This Row],[Subscription Status]]="No",0))</f>
        <v>0</v>
      </c>
    </row>
    <row r="3875" spans="1:21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  <c r="S3875" t="str">
        <f>IF(Table1[[#This Row],[Age]]&lt;=25,"Young",IF(Table1[[#This Row],[Age]]&lt;=50,"Adult","Senior"))</f>
        <v>Adult</v>
      </c>
      <c r="T3875" s="1">
        <f>Table1[[#This Row],[Purchase Amount (USD)]]</f>
        <v>43</v>
      </c>
      <c r="U3875">
        <f>IF(Table1[[#This Row],[Subscription Status]]="Yes",1,IF(Table1[[#This Row],[Subscription Status]]="No",0))</f>
        <v>0</v>
      </c>
    </row>
    <row r="3876" spans="1:21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  <c r="S3876" t="str">
        <f>IF(Table1[[#This Row],[Age]]&lt;=25,"Young",IF(Table1[[#This Row],[Age]]&lt;=50,"Adult","Senior"))</f>
        <v>Senior</v>
      </c>
      <c r="T3876" s="1">
        <f>Table1[[#This Row],[Purchase Amount (USD)]]</f>
        <v>54</v>
      </c>
      <c r="U3876">
        <f>IF(Table1[[#This Row],[Subscription Status]]="Yes",1,IF(Table1[[#This Row],[Subscription Status]]="No",0))</f>
        <v>0</v>
      </c>
    </row>
    <row r="3877" spans="1:21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  <c r="S3877" t="str">
        <f>IF(Table1[[#This Row],[Age]]&lt;=25,"Young",IF(Table1[[#This Row],[Age]]&lt;=50,"Adult","Senior"))</f>
        <v>Senior</v>
      </c>
      <c r="T3877" s="1">
        <f>Table1[[#This Row],[Purchase Amount (USD)]]</f>
        <v>51</v>
      </c>
      <c r="U3877">
        <f>IF(Table1[[#This Row],[Subscription Status]]="Yes",1,IF(Table1[[#This Row],[Subscription Status]]="No",0))</f>
        <v>0</v>
      </c>
    </row>
    <row r="3878" spans="1:21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  <c r="S3878" t="str">
        <f>IF(Table1[[#This Row],[Age]]&lt;=25,"Young",IF(Table1[[#This Row],[Age]]&lt;=50,"Adult","Senior"))</f>
        <v>Senior</v>
      </c>
      <c r="T3878" s="1">
        <f>Table1[[#This Row],[Purchase Amount (USD)]]</f>
        <v>85</v>
      </c>
      <c r="U3878">
        <f>IF(Table1[[#This Row],[Subscription Status]]="Yes",1,IF(Table1[[#This Row],[Subscription Status]]="No",0))</f>
        <v>0</v>
      </c>
    </row>
    <row r="3879" spans="1:21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  <c r="S3879" t="str">
        <f>IF(Table1[[#This Row],[Age]]&lt;=25,"Young",IF(Table1[[#This Row],[Age]]&lt;=50,"Adult","Senior"))</f>
        <v>Adult</v>
      </c>
      <c r="T3879" s="1">
        <f>Table1[[#This Row],[Purchase Amount (USD)]]</f>
        <v>96</v>
      </c>
      <c r="U3879">
        <f>IF(Table1[[#This Row],[Subscription Status]]="Yes",1,IF(Table1[[#This Row],[Subscription Status]]="No",0))</f>
        <v>0</v>
      </c>
    </row>
    <row r="3880" spans="1:21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  <c r="S3880" t="str">
        <f>IF(Table1[[#This Row],[Age]]&lt;=25,"Young",IF(Table1[[#This Row],[Age]]&lt;=50,"Adult","Senior"))</f>
        <v>Senior</v>
      </c>
      <c r="T3880" s="1">
        <f>Table1[[#This Row],[Purchase Amount (USD)]]</f>
        <v>42</v>
      </c>
      <c r="U3880">
        <f>IF(Table1[[#This Row],[Subscription Status]]="Yes",1,IF(Table1[[#This Row],[Subscription Status]]="No",0))</f>
        <v>0</v>
      </c>
    </row>
    <row r="3881" spans="1:21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  <c r="S3881" t="str">
        <f>IF(Table1[[#This Row],[Age]]&lt;=25,"Young",IF(Table1[[#This Row],[Age]]&lt;=50,"Adult","Senior"))</f>
        <v>Adult</v>
      </c>
      <c r="T3881" s="1">
        <f>Table1[[#This Row],[Purchase Amount (USD)]]</f>
        <v>63</v>
      </c>
      <c r="U3881">
        <f>IF(Table1[[#This Row],[Subscription Status]]="Yes",1,IF(Table1[[#This Row],[Subscription Status]]="No",0))</f>
        <v>0</v>
      </c>
    </row>
    <row r="3882" spans="1:21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  <c r="S3882" t="str">
        <f>IF(Table1[[#This Row],[Age]]&lt;=25,"Young",IF(Table1[[#This Row],[Age]]&lt;=50,"Adult","Senior"))</f>
        <v>Adult</v>
      </c>
      <c r="T3882" s="1">
        <f>Table1[[#This Row],[Purchase Amount (USD)]]</f>
        <v>20</v>
      </c>
      <c r="U3882">
        <f>IF(Table1[[#This Row],[Subscription Status]]="Yes",1,IF(Table1[[#This Row],[Subscription Status]]="No",0))</f>
        <v>0</v>
      </c>
    </row>
    <row r="3883" spans="1:21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  <c r="S3883" t="str">
        <f>IF(Table1[[#This Row],[Age]]&lt;=25,"Young",IF(Table1[[#This Row],[Age]]&lt;=50,"Adult","Senior"))</f>
        <v>Senior</v>
      </c>
      <c r="T3883" s="1">
        <f>Table1[[#This Row],[Purchase Amount (USD)]]</f>
        <v>25</v>
      </c>
      <c r="U3883">
        <f>IF(Table1[[#This Row],[Subscription Status]]="Yes",1,IF(Table1[[#This Row],[Subscription Status]]="No",0))</f>
        <v>0</v>
      </c>
    </row>
    <row r="3884" spans="1:21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  <c r="S3884" t="str">
        <f>IF(Table1[[#This Row],[Age]]&lt;=25,"Young",IF(Table1[[#This Row],[Age]]&lt;=50,"Adult","Senior"))</f>
        <v>Adult</v>
      </c>
      <c r="T3884" s="1">
        <f>Table1[[#This Row],[Purchase Amount (USD)]]</f>
        <v>95</v>
      </c>
      <c r="U3884">
        <f>IF(Table1[[#This Row],[Subscription Status]]="Yes",1,IF(Table1[[#This Row],[Subscription Status]]="No",0))</f>
        <v>0</v>
      </c>
    </row>
    <row r="3885" spans="1:21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  <c r="S3885" t="str">
        <f>IF(Table1[[#This Row],[Age]]&lt;=25,"Young",IF(Table1[[#This Row],[Age]]&lt;=50,"Adult","Senior"))</f>
        <v>Adult</v>
      </c>
      <c r="T3885" s="1">
        <f>Table1[[#This Row],[Purchase Amount (USD)]]</f>
        <v>38</v>
      </c>
      <c r="U3885">
        <f>IF(Table1[[#This Row],[Subscription Status]]="Yes",1,IF(Table1[[#This Row],[Subscription Status]]="No",0))</f>
        <v>0</v>
      </c>
    </row>
    <row r="3886" spans="1:21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  <c r="S3886" t="str">
        <f>IF(Table1[[#This Row],[Age]]&lt;=25,"Young",IF(Table1[[#This Row],[Age]]&lt;=50,"Adult","Senior"))</f>
        <v>Adult</v>
      </c>
      <c r="T3886" s="1">
        <f>Table1[[#This Row],[Purchase Amount (USD)]]</f>
        <v>29</v>
      </c>
      <c r="U3886">
        <f>IF(Table1[[#This Row],[Subscription Status]]="Yes",1,IF(Table1[[#This Row],[Subscription Status]]="No",0))</f>
        <v>0</v>
      </c>
    </row>
    <row r="3887" spans="1:21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  <c r="S3887" t="str">
        <f>IF(Table1[[#This Row],[Age]]&lt;=25,"Young",IF(Table1[[#This Row],[Age]]&lt;=50,"Adult","Senior"))</f>
        <v>Adult</v>
      </c>
      <c r="T3887" s="1">
        <f>Table1[[#This Row],[Purchase Amount (USD)]]</f>
        <v>64</v>
      </c>
      <c r="U3887">
        <f>IF(Table1[[#This Row],[Subscription Status]]="Yes",1,IF(Table1[[#This Row],[Subscription Status]]="No",0))</f>
        <v>0</v>
      </c>
    </row>
    <row r="3888" spans="1:21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  <c r="S3888" t="str">
        <f>IF(Table1[[#This Row],[Age]]&lt;=25,"Young",IF(Table1[[#This Row],[Age]]&lt;=50,"Adult","Senior"))</f>
        <v>Adult</v>
      </c>
      <c r="T3888" s="1">
        <f>Table1[[#This Row],[Purchase Amount (USD)]]</f>
        <v>92</v>
      </c>
      <c r="U3888">
        <f>IF(Table1[[#This Row],[Subscription Status]]="Yes",1,IF(Table1[[#This Row],[Subscription Status]]="No",0))</f>
        <v>0</v>
      </c>
    </row>
    <row r="3889" spans="1:21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  <c r="S3889" t="str">
        <f>IF(Table1[[#This Row],[Age]]&lt;=25,"Young",IF(Table1[[#This Row],[Age]]&lt;=50,"Adult","Senior"))</f>
        <v>Adult</v>
      </c>
      <c r="T3889" s="1">
        <f>Table1[[#This Row],[Purchase Amount (USD)]]</f>
        <v>34</v>
      </c>
      <c r="U3889">
        <f>IF(Table1[[#This Row],[Subscription Status]]="Yes",1,IF(Table1[[#This Row],[Subscription Status]]="No",0))</f>
        <v>0</v>
      </c>
    </row>
    <row r="3890" spans="1:21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  <c r="S3890" t="str">
        <f>IF(Table1[[#This Row],[Age]]&lt;=25,"Young",IF(Table1[[#This Row],[Age]]&lt;=50,"Adult","Senior"))</f>
        <v>Adult</v>
      </c>
      <c r="T3890" s="1">
        <f>Table1[[#This Row],[Purchase Amount (USD)]]</f>
        <v>69</v>
      </c>
      <c r="U3890">
        <f>IF(Table1[[#This Row],[Subscription Status]]="Yes",1,IF(Table1[[#This Row],[Subscription Status]]="No",0))</f>
        <v>0</v>
      </c>
    </row>
    <row r="3891" spans="1:21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  <c r="S3891" t="str">
        <f>IF(Table1[[#This Row],[Age]]&lt;=25,"Young",IF(Table1[[#This Row],[Age]]&lt;=50,"Adult","Senior"))</f>
        <v>Senior</v>
      </c>
      <c r="T3891" s="1">
        <f>Table1[[#This Row],[Purchase Amount (USD)]]</f>
        <v>65</v>
      </c>
      <c r="U3891">
        <f>IF(Table1[[#This Row],[Subscription Status]]="Yes",1,IF(Table1[[#This Row],[Subscription Status]]="No",0))</f>
        <v>0</v>
      </c>
    </row>
    <row r="3892" spans="1:21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  <c r="S3892" t="str">
        <f>IF(Table1[[#This Row],[Age]]&lt;=25,"Young",IF(Table1[[#This Row],[Age]]&lt;=50,"Adult","Senior"))</f>
        <v>Adult</v>
      </c>
      <c r="T3892" s="1">
        <f>Table1[[#This Row],[Purchase Amount (USD)]]</f>
        <v>81</v>
      </c>
      <c r="U3892">
        <f>IF(Table1[[#This Row],[Subscription Status]]="Yes",1,IF(Table1[[#This Row],[Subscription Status]]="No",0))</f>
        <v>0</v>
      </c>
    </row>
    <row r="3893" spans="1:21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  <c r="S3893" t="str">
        <f>IF(Table1[[#This Row],[Age]]&lt;=25,"Young",IF(Table1[[#This Row],[Age]]&lt;=50,"Adult","Senior"))</f>
        <v>Adult</v>
      </c>
      <c r="T3893" s="1">
        <f>Table1[[#This Row],[Purchase Amount (USD)]]</f>
        <v>30</v>
      </c>
      <c r="U3893">
        <f>IF(Table1[[#This Row],[Subscription Status]]="Yes",1,IF(Table1[[#This Row],[Subscription Status]]="No",0))</f>
        <v>0</v>
      </c>
    </row>
    <row r="3894" spans="1:21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  <c r="S3894" t="str">
        <f>IF(Table1[[#This Row],[Age]]&lt;=25,"Young",IF(Table1[[#This Row],[Age]]&lt;=50,"Adult","Senior"))</f>
        <v>Adult</v>
      </c>
      <c r="T3894" s="1">
        <f>Table1[[#This Row],[Purchase Amount (USD)]]</f>
        <v>86</v>
      </c>
      <c r="U3894">
        <f>IF(Table1[[#This Row],[Subscription Status]]="Yes",1,IF(Table1[[#This Row],[Subscription Status]]="No",0))</f>
        <v>0</v>
      </c>
    </row>
    <row r="3895" spans="1:21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  <c r="S3895" t="str">
        <f>IF(Table1[[#This Row],[Age]]&lt;=25,"Young",IF(Table1[[#This Row],[Age]]&lt;=50,"Adult","Senior"))</f>
        <v>Young</v>
      </c>
      <c r="T3895" s="1">
        <f>Table1[[#This Row],[Purchase Amount (USD)]]</f>
        <v>64</v>
      </c>
      <c r="U3895">
        <f>IF(Table1[[#This Row],[Subscription Status]]="Yes",1,IF(Table1[[#This Row],[Subscription Status]]="No",0))</f>
        <v>0</v>
      </c>
    </row>
    <row r="3896" spans="1:21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  <c r="S3896" t="str">
        <f>IF(Table1[[#This Row],[Age]]&lt;=25,"Young",IF(Table1[[#This Row],[Age]]&lt;=50,"Adult","Senior"))</f>
        <v>Senior</v>
      </c>
      <c r="T3896" s="1">
        <f>Table1[[#This Row],[Purchase Amount (USD)]]</f>
        <v>78</v>
      </c>
      <c r="U3896">
        <f>IF(Table1[[#This Row],[Subscription Status]]="Yes",1,IF(Table1[[#This Row],[Subscription Status]]="No",0))</f>
        <v>0</v>
      </c>
    </row>
    <row r="3897" spans="1:21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  <c r="S3897" t="str">
        <f>IF(Table1[[#This Row],[Age]]&lt;=25,"Young",IF(Table1[[#This Row],[Age]]&lt;=50,"Adult","Senior"))</f>
        <v>Adult</v>
      </c>
      <c r="T3897" s="1">
        <f>Table1[[#This Row],[Purchase Amount (USD)]]</f>
        <v>28</v>
      </c>
      <c r="U3897">
        <f>IF(Table1[[#This Row],[Subscription Status]]="Yes",1,IF(Table1[[#This Row],[Subscription Status]]="No",0))</f>
        <v>0</v>
      </c>
    </row>
    <row r="3898" spans="1:21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  <c r="S3898" t="str">
        <f>IF(Table1[[#This Row],[Age]]&lt;=25,"Young",IF(Table1[[#This Row],[Age]]&lt;=50,"Adult","Senior"))</f>
        <v>Senior</v>
      </c>
      <c r="T3898" s="1">
        <f>Table1[[#This Row],[Purchase Amount (USD)]]</f>
        <v>49</v>
      </c>
      <c r="U3898">
        <f>IF(Table1[[#This Row],[Subscription Status]]="Yes",1,IF(Table1[[#This Row],[Subscription Status]]="No",0))</f>
        <v>0</v>
      </c>
    </row>
    <row r="3899" spans="1:21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  <c r="S3899" t="str">
        <f>IF(Table1[[#This Row],[Age]]&lt;=25,"Young",IF(Table1[[#This Row],[Age]]&lt;=50,"Adult","Senior"))</f>
        <v>Adult</v>
      </c>
      <c r="T3899" s="1">
        <f>Table1[[#This Row],[Purchase Amount (USD)]]</f>
        <v>33</v>
      </c>
      <c r="U3899">
        <f>IF(Table1[[#This Row],[Subscription Status]]="Yes",1,IF(Table1[[#This Row],[Subscription Status]]="No",0))</f>
        <v>0</v>
      </c>
    </row>
    <row r="3900" spans="1:21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  <c r="S3900" t="str">
        <f>IF(Table1[[#This Row],[Age]]&lt;=25,"Young",IF(Table1[[#This Row],[Age]]&lt;=50,"Adult","Senior"))</f>
        <v>Adult</v>
      </c>
      <c r="T3900" s="1">
        <f>Table1[[#This Row],[Purchase Amount (USD)]]</f>
        <v>77</v>
      </c>
      <c r="U3900">
        <f>IF(Table1[[#This Row],[Subscription Status]]="Yes",1,IF(Table1[[#This Row],[Subscription Status]]="No",0))</f>
        <v>0</v>
      </c>
    </row>
    <row r="3901" spans="1:21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  <c r="S3901" t="str">
        <f>IF(Table1[[#This Row],[Age]]&lt;=25,"Young",IF(Table1[[#This Row],[Age]]&lt;=50,"Adult","Senior"))</f>
        <v>Senior</v>
      </c>
      <c r="T3901" s="1">
        <f>Table1[[#This Row],[Purchase Amount (USD)]]</f>
        <v>81</v>
      </c>
      <c r="U3901">
        <f>IF(Table1[[#This Row],[Subscription Status]]="Yes",1,IF(Table1[[#This Row],[Subscription Status]]="No",0))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 Tables</vt:lpstr>
      <vt:lpstr>Dashboards</vt:lpstr>
      <vt:lpstr>KPI Cards</vt:lpstr>
      <vt:lpstr>Insights</vt:lpstr>
      <vt:lpstr>Sheet5</vt:lpstr>
      <vt:lpstr>shopping_behavior_updated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vajrala</cp:lastModifiedBy>
  <dcterms:created xsi:type="dcterms:W3CDTF">2026-10-02T08:48:59Z</dcterms:created>
  <dcterms:modified xsi:type="dcterms:W3CDTF">2026-10-02T14:17:39Z</dcterms:modified>
</cp:coreProperties>
</file>